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e1cd4466c5509f/"/>
    </mc:Choice>
  </mc:AlternateContent>
  <xr:revisionPtr revIDLastSave="0" documentId="8_{4DB0E58C-93D1-4375-A79F-9BB78FB8C71B}" xr6:coauthVersionLast="47" xr6:coauthVersionMax="47" xr10:uidLastSave="{00000000-0000-0000-0000-000000000000}"/>
  <bookViews>
    <workbookView xWindow="-120" yWindow="-120" windowWidth="20730" windowHeight="11040" xr2:uid="{B7F40C5C-4D4C-40CB-8DC5-B816E55A1D1C}"/>
  </bookViews>
  <sheets>
    <sheet name="Dashboard" sheetId="7" r:id="rId1"/>
    <sheet name="Insights" sheetId="9" r:id="rId2"/>
    <sheet name="Pivot_analysis" sheetId="3" r:id="rId3"/>
    <sheet name="Cleaned_data" sheetId="5" r:id="rId4"/>
    <sheet name="Raw_data" sheetId="1" r:id="rId5"/>
  </sheets>
  <definedNames>
    <definedName name="ExternalData_1" localSheetId="3" hidden="1">Cleaned_data!$A$1:$R$1001</definedName>
  </definedNames>
  <calcPr calcId="191029"/>
  <pivotCaches>
    <pivotCache cacheId="0" r:id="rId6"/>
    <pivotCache cacheId="1" r:id="rId7"/>
  </pivotCaches>
</workbook>
</file>

<file path=xl/calcChain.xml><?xml version="1.0" encoding="utf-8"?>
<calcChain xmlns="http://schemas.openxmlformats.org/spreadsheetml/2006/main">
  <c r="P2" i="5" l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M3" i="5"/>
  <c r="M2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1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9" i="5"/>
  <c r="S610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4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70" i="5"/>
  <c r="S671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2" i="5"/>
  <c r="S693" i="5"/>
  <c r="S694" i="5"/>
  <c r="S695" i="5"/>
  <c r="S697" i="5"/>
  <c r="S698" i="5"/>
  <c r="S699" i="5"/>
  <c r="S700" i="5"/>
  <c r="S701" i="5"/>
  <c r="S703" i="5"/>
  <c r="S705" i="5"/>
  <c r="S706" i="5"/>
  <c r="S707" i="5"/>
  <c r="S708" i="5"/>
  <c r="S711" i="5"/>
  <c r="S712" i="5"/>
  <c r="S713" i="5"/>
  <c r="S715" i="5"/>
  <c r="S717" i="5"/>
  <c r="S718" i="5"/>
  <c r="S719" i="5"/>
  <c r="S720" i="5"/>
  <c r="S721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5" i="5"/>
  <c r="S746" i="5"/>
  <c r="S747" i="5"/>
  <c r="S748" i="5"/>
  <c r="S749" i="5"/>
  <c r="S750" i="5"/>
  <c r="S751" i="5"/>
  <c r="S752" i="5"/>
  <c r="S753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7" i="5"/>
  <c r="S808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2" i="5"/>
  <c r="S883" i="5"/>
  <c r="S884" i="5"/>
  <c r="S886" i="5"/>
  <c r="S887" i="5"/>
  <c r="S889" i="5"/>
  <c r="S890" i="5"/>
  <c r="S891" i="5"/>
  <c r="S892" i="5"/>
  <c r="S894" i="5"/>
  <c r="S895" i="5"/>
  <c r="S897" i="5"/>
  <c r="S898" i="5"/>
  <c r="S901" i="5"/>
  <c r="S902" i="5"/>
  <c r="S903" i="5"/>
  <c r="S904" i="5"/>
  <c r="S905" i="5"/>
  <c r="S906" i="5"/>
  <c r="S907" i="5"/>
  <c r="S908" i="5"/>
  <c r="S909" i="5"/>
  <c r="S910" i="5"/>
  <c r="S912" i="5"/>
  <c r="S913" i="5"/>
  <c r="S914" i="5"/>
  <c r="S915" i="5"/>
  <c r="S916" i="5"/>
  <c r="S917" i="5"/>
  <c r="S918" i="5"/>
  <c r="S919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40" i="5"/>
  <c r="S941" i="5"/>
  <c r="S942" i="5"/>
  <c r="S943" i="5"/>
  <c r="S945" i="5"/>
  <c r="S947" i="5"/>
  <c r="S949" i="5"/>
  <c r="S950" i="5"/>
  <c r="S953" i="5"/>
  <c r="S954" i="5"/>
  <c r="S955" i="5"/>
  <c r="S956" i="5"/>
  <c r="S957" i="5"/>
  <c r="S510" i="5"/>
  <c r="S958" i="5"/>
  <c r="S959" i="5"/>
  <c r="S961" i="5"/>
  <c r="S962" i="5"/>
  <c r="S963" i="5"/>
  <c r="S964" i="5"/>
  <c r="S965" i="5"/>
  <c r="S966" i="5"/>
  <c r="S968" i="5"/>
  <c r="S969" i="5"/>
  <c r="S946" i="5"/>
  <c r="S512" i="5"/>
  <c r="S970" i="5"/>
  <c r="S939" i="5"/>
  <c r="S920" i="5"/>
  <c r="S948" i="5"/>
  <c r="S960" i="5"/>
  <c r="S606" i="5"/>
  <c r="S607" i="5"/>
  <c r="S608" i="5"/>
  <c r="S611" i="5"/>
  <c r="S971" i="5"/>
  <c r="S972" i="5"/>
  <c r="S973" i="5"/>
  <c r="S974" i="5"/>
  <c r="S975" i="5"/>
  <c r="S643" i="5"/>
  <c r="S645" i="5"/>
  <c r="S669" i="5"/>
  <c r="S672" i="5"/>
  <c r="S976" i="5"/>
  <c r="S967" i="5"/>
  <c r="S977" i="5"/>
  <c r="S691" i="5"/>
  <c r="S978" i="5"/>
  <c r="S979" i="5"/>
  <c r="S696" i="5"/>
  <c r="S702" i="5"/>
  <c r="S704" i="5"/>
  <c r="S709" i="5"/>
  <c r="S710" i="5"/>
  <c r="S714" i="5"/>
  <c r="S716" i="5"/>
  <c r="S722" i="5"/>
  <c r="S744" i="5"/>
  <c r="S754" i="5"/>
  <c r="S809" i="5"/>
  <c r="S885" i="5"/>
  <c r="S899" i="5"/>
  <c r="S900" i="5"/>
  <c r="S944" i="5"/>
  <c r="S806" i="5"/>
  <c r="S881" i="5"/>
  <c r="S888" i="5"/>
  <c r="S893" i="5"/>
  <c r="S896" i="5"/>
  <c r="S911" i="5"/>
  <c r="S951" i="5"/>
  <c r="S952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208159-C13D-4741-B8C6-81BFB7BED61D}" keepAlive="1" name="Query - indian_retail_raw_1000" description="Connection to the 'indian_retail_raw_1000' query in the workbook." type="5" refreshedVersion="8" background="1" saveData="1">
    <dbPr connection="Provider=Microsoft.Mashup.OleDb.1;Data Source=$Workbook$;Location=indian_retail_raw_1000;Extended Properties=&quot;&quot;" command="SELECT * FROM [indian_retail_raw_1000]"/>
  </connection>
</connections>
</file>

<file path=xl/sharedStrings.xml><?xml version="1.0" encoding="utf-8"?>
<sst xmlns="http://schemas.openxmlformats.org/spreadsheetml/2006/main" count="18454" uniqueCount="1403">
  <si>
    <t>Order_ID</t>
  </si>
  <si>
    <t>Order_Date</t>
  </si>
  <si>
    <t>Customer_Name</t>
  </si>
  <si>
    <t>Customer_Age</t>
  </si>
  <si>
    <t>Gender</t>
  </si>
  <si>
    <t>Product_Category</t>
  </si>
  <si>
    <t>Product_Name</t>
  </si>
  <si>
    <t>Quantity</t>
  </si>
  <si>
    <t>Price</t>
  </si>
  <si>
    <t>Discount_%</t>
  </si>
  <si>
    <t>Payment_Method</t>
  </si>
  <si>
    <t>Order_Status</t>
  </si>
  <si>
    <t>Total_Sales</t>
  </si>
  <si>
    <t>Region</t>
  </si>
  <si>
    <t>ORD20817</t>
  </si>
  <si>
    <t>Sunita Pandey</t>
  </si>
  <si>
    <t>Female</t>
  </si>
  <si>
    <t>Clothing</t>
  </si>
  <si>
    <t>W Ethnic Wear</t>
  </si>
  <si>
    <t>UPI</t>
  </si>
  <si>
    <t>Delivered</t>
  </si>
  <si>
    <t>South</t>
  </si>
  <si>
    <t>ORD20332</t>
  </si>
  <si>
    <t>Male</t>
  </si>
  <si>
    <t>Allen Solly Formal Shirt</t>
  </si>
  <si>
    <t>COD</t>
  </si>
  <si>
    <t>West</t>
  </si>
  <si>
    <t>ORD20936</t>
  </si>
  <si>
    <t>Deepika Rao</t>
  </si>
  <si>
    <t>female</t>
  </si>
  <si>
    <t>Home &amp; Kitchen</t>
  </si>
  <si>
    <t>Usha Iron</t>
  </si>
  <si>
    <t>Crdit Card</t>
  </si>
  <si>
    <t>west</t>
  </si>
  <si>
    <t>ORD20718</t>
  </si>
  <si>
    <t>Beauty</t>
  </si>
  <si>
    <t>Plum Night Cream</t>
  </si>
  <si>
    <t>Deliverd</t>
  </si>
  <si>
    <t>North</t>
  </si>
  <si>
    <t>ORD20347</t>
  </si>
  <si>
    <t>Puma Track Suit</t>
  </si>
  <si>
    <t>Card</t>
  </si>
  <si>
    <t>ORD20734</t>
  </si>
  <si>
    <t>Manish Agarwal</t>
  </si>
  <si>
    <t>M</t>
  </si>
  <si>
    <t>East</t>
  </si>
  <si>
    <t>ORD20021</t>
  </si>
  <si>
    <t>26/08/2023</t>
  </si>
  <si>
    <t>Shweta Ghosh</t>
  </si>
  <si>
    <t>H&amp;M T-Shirt</t>
  </si>
  <si>
    <t>Cash</t>
  </si>
  <si>
    <t>Cancelled</t>
  </si>
  <si>
    <t>ORD20772</t>
  </si>
  <si>
    <t>Geeta Thakur</t>
  </si>
  <si>
    <t>Electronics</t>
  </si>
  <si>
    <t>LG Washing Machine</t>
  </si>
  <si>
    <t>Returned</t>
  </si>
  <si>
    <t>Wst</t>
  </si>
  <si>
    <t>ORD20085</t>
  </si>
  <si>
    <t>RAHUL GUPTA</t>
  </si>
  <si>
    <t>Philips Air Fryer</t>
  </si>
  <si>
    <t>ORD20165</t>
  </si>
  <si>
    <t>Ashok Yadav</t>
  </si>
  <si>
    <t>Forest Essentials Cream</t>
  </si>
  <si>
    <t>card</t>
  </si>
  <si>
    <t>ORD20963</t>
  </si>
  <si>
    <t>Lakshmi Krishnan</t>
  </si>
  <si>
    <t>Bajaj Mixer Grinder</t>
  </si>
  <si>
    <t>ORD20064</t>
  </si>
  <si>
    <t xml:space="preserve">  Arjun Pillai</t>
  </si>
  <si>
    <t>CLOTHING</t>
  </si>
  <si>
    <t>ORD20825</t>
  </si>
  <si>
    <t>Ananya Singh</t>
  </si>
  <si>
    <t>MALE</t>
  </si>
  <si>
    <t>W</t>
  </si>
  <si>
    <t>ORD20563</t>
  </si>
  <si>
    <t>Smita Desai</t>
  </si>
  <si>
    <t>Lenovo Tab M10</t>
  </si>
  <si>
    <t>ORD20417</t>
  </si>
  <si>
    <t>Suresh Joshi</t>
  </si>
  <si>
    <t>Nike Running Shoes</t>
  </si>
  <si>
    <t>ORD20351</t>
  </si>
  <si>
    <t>Pallavi Deshmukh</t>
  </si>
  <si>
    <t>Upi</t>
  </si>
  <si>
    <t>ORD20383</t>
  </si>
  <si>
    <t>ORD20340</t>
  </si>
  <si>
    <t>20/12/2023</t>
  </si>
  <si>
    <t>Sanjay Dubey</t>
  </si>
  <si>
    <t>Samsung Smart TV 43"</t>
  </si>
  <si>
    <t>upi</t>
  </si>
  <si>
    <t>ORD20658</t>
  </si>
  <si>
    <t>Electroni cs</t>
  </si>
  <si>
    <t>Sony Headphones</t>
  </si>
  <si>
    <t>ORD20185</t>
  </si>
  <si>
    <t>Westside Dress</t>
  </si>
  <si>
    <t>uPI</t>
  </si>
  <si>
    <t>ORD20394</t>
  </si>
  <si>
    <t>Home and Kitchen</t>
  </si>
  <si>
    <t>ORD20761</t>
  </si>
  <si>
    <t>WOW Vitamin C Serum</t>
  </si>
  <si>
    <t>cancelled</t>
  </si>
  <si>
    <t>ORD20107</t>
  </si>
  <si>
    <t>Neha Mishra</t>
  </si>
  <si>
    <t>ELECTRONICS</t>
  </si>
  <si>
    <t>HP Printer</t>
  </si>
  <si>
    <t>CARD</t>
  </si>
  <si>
    <t>ORD20450</t>
  </si>
  <si>
    <t>delivered</t>
  </si>
  <si>
    <t>Est</t>
  </si>
  <si>
    <t>ORD20904</t>
  </si>
  <si>
    <t>Aarav Sharma</t>
  </si>
  <si>
    <t>Nykaa Kajal</t>
  </si>
  <si>
    <t>ORD20193</t>
  </si>
  <si>
    <t>ORD20723</t>
  </si>
  <si>
    <t>iPhone 14</t>
  </si>
  <si>
    <t>U.P.I</t>
  </si>
  <si>
    <t>ORD20756</t>
  </si>
  <si>
    <t>Manyavar Sherwani</t>
  </si>
  <si>
    <t>ORD20265</t>
  </si>
  <si>
    <t>ORD20015</t>
  </si>
  <si>
    <t>21/05/2023</t>
  </si>
  <si>
    <t>Hawkins Cookware Set</t>
  </si>
  <si>
    <t>E</t>
  </si>
  <si>
    <t>ORD20835</t>
  </si>
  <si>
    <t>Raymond Suit</t>
  </si>
  <si>
    <t>ORD20430</t>
  </si>
  <si>
    <t>Dove Body Lotion</t>
  </si>
  <si>
    <t>ORD20771</t>
  </si>
  <si>
    <t>Pranav Kulkarni</t>
  </si>
  <si>
    <t>Home&amp;Kitchen</t>
  </si>
  <si>
    <t>Tupperware Set</t>
  </si>
  <si>
    <t>ORD20912</t>
  </si>
  <si>
    <t xml:space="preserve">  Rohit Verma</t>
  </si>
  <si>
    <t>ORD20937</t>
  </si>
  <si>
    <t>14/08/2023</t>
  </si>
  <si>
    <t>Godrej Almirah</t>
  </si>
  <si>
    <t>ORD20451</t>
  </si>
  <si>
    <t>ORD20486</t>
  </si>
  <si>
    <t>Other</t>
  </si>
  <si>
    <t>Maybelline Lipstick</t>
  </si>
  <si>
    <t>ORD20914</t>
  </si>
  <si>
    <t>16/05/2023</t>
  </si>
  <si>
    <t>Priya Patel</t>
  </si>
  <si>
    <t>Mle</t>
  </si>
  <si>
    <t>Dell Laptop i5</t>
  </si>
  <si>
    <t>ORD20077</t>
  </si>
  <si>
    <t>F</t>
  </si>
  <si>
    <t>Mamaearth Face Wash</t>
  </si>
  <si>
    <t>ORD20647</t>
  </si>
  <si>
    <t>WEST</t>
  </si>
  <si>
    <t>ORD20263</t>
  </si>
  <si>
    <t>ORD20269</t>
  </si>
  <si>
    <t>Pooja Nair</t>
  </si>
  <si>
    <t>Nilkamal Plastic Chair</t>
  </si>
  <si>
    <t>ORD20512</t>
  </si>
  <si>
    <t>24/09/2023</t>
  </si>
  <si>
    <t>Rekha Sinha</t>
  </si>
  <si>
    <t>ORD20961</t>
  </si>
  <si>
    <t>L'Oreal Shampoo</t>
  </si>
  <si>
    <t>ORD20363</t>
  </si>
  <si>
    <t>Arjun Pillai</t>
  </si>
  <si>
    <t>ORD20312</t>
  </si>
  <si>
    <t>ORD20461</t>
  </si>
  <si>
    <t>Sneha  Iyer</t>
  </si>
  <si>
    <t>ORD20437</t>
  </si>
  <si>
    <t>Nikhil Bose</t>
  </si>
  <si>
    <t>Lakme Foundation</t>
  </si>
  <si>
    <t>north</t>
  </si>
  <si>
    <t>ORD20896</t>
  </si>
  <si>
    <t>ORD20667</t>
  </si>
  <si>
    <t>Vikram Mehta</t>
  </si>
  <si>
    <t>Femle</t>
  </si>
  <si>
    <t>ORD20574</t>
  </si>
  <si>
    <t>Rajesh Tiwari</t>
  </si>
  <si>
    <t>ORD20823</t>
  </si>
  <si>
    <t>29/04/2023</t>
  </si>
  <si>
    <t>Rahul Gupta</t>
  </si>
  <si>
    <t>Beuty</t>
  </si>
  <si>
    <t>ORD20703</t>
  </si>
  <si>
    <t>Vinod Patil</t>
  </si>
  <si>
    <t>Xiaomi Smart TV 32"</t>
  </si>
  <si>
    <t>ORD20432</t>
  </si>
  <si>
    <t xml:space="preserve">  Shweta Ghosh</t>
  </si>
  <si>
    <t>ORD20429</t>
  </si>
  <si>
    <t>ORD20307</t>
  </si>
  <si>
    <t>26/06/2023</t>
  </si>
  <si>
    <t>Fabindia Kurta</t>
  </si>
  <si>
    <t>ORD20727</t>
  </si>
  <si>
    <t>Swati Jain</t>
  </si>
  <si>
    <t>Biba Salwar Suit</t>
  </si>
  <si>
    <t>ORD20206</t>
  </si>
  <si>
    <t>ORD20928</t>
  </si>
  <si>
    <t>Gaurav Bansal</t>
  </si>
  <si>
    <t>ORD20238</t>
  </si>
  <si>
    <t>27/05/2023</t>
  </si>
  <si>
    <t>Orient Ceiling Fan</t>
  </si>
  <si>
    <t>ORD20707</t>
  </si>
  <si>
    <t>ORD20944</t>
  </si>
  <si>
    <t>Ritu Bhatia</t>
  </si>
  <si>
    <t>OnePlus 11 5G</t>
  </si>
  <si>
    <t>ORD20154</t>
  </si>
  <si>
    <t>ORD20054</t>
  </si>
  <si>
    <t>ORD20149</t>
  </si>
  <si>
    <t>VLCC Gold Facial Kit</t>
  </si>
  <si>
    <t>DELIVERED</t>
  </si>
  <si>
    <t>ORD20934</t>
  </si>
  <si>
    <t>ORD20209</t>
  </si>
  <si>
    <t>Harish Menon</t>
  </si>
  <si>
    <t>ORD20180</t>
  </si>
  <si>
    <t>ORD20030</t>
  </si>
  <si>
    <t>ORD20583</t>
  </si>
  <si>
    <t>Nitin Kapoor</t>
  </si>
  <si>
    <t>ORD20403</t>
  </si>
  <si>
    <t>Biotique Sunscreen</t>
  </si>
  <si>
    <t>ORD20168</t>
  </si>
  <si>
    <t>ORD20893</t>
  </si>
  <si>
    <t>ORD20066</t>
  </si>
  <si>
    <t>Manoj Chauhan</t>
  </si>
  <si>
    <t>Pigeon Induction Cooktop</t>
  </si>
  <si>
    <t>ORD20616</t>
  </si>
  <si>
    <t>HOME &amp; KITCHEN</t>
  </si>
  <si>
    <t>ORD20016</t>
  </si>
  <si>
    <t>cash</t>
  </si>
  <si>
    <t>ORD20972</t>
  </si>
  <si>
    <t>Milton Steel Bottles</t>
  </si>
  <si>
    <t>Sout</t>
  </si>
  <si>
    <t>ORD20796</t>
  </si>
  <si>
    <t>ORD20047</t>
  </si>
  <si>
    <t>ORD20128</t>
  </si>
  <si>
    <t>32/13/2023</t>
  </si>
  <si>
    <t>ORD20653</t>
  </si>
  <si>
    <t>ORD20795</t>
  </si>
  <si>
    <t>16/08/2023</t>
  </si>
  <si>
    <t>ORD20299</t>
  </si>
  <si>
    <t>ORD20119</t>
  </si>
  <si>
    <t>Asian Paints 4L</t>
  </si>
  <si>
    <t>ORD20445</t>
  </si>
  <si>
    <t>Whirlpool Refrigerator</t>
  </si>
  <si>
    <t>ORD20561</t>
  </si>
  <si>
    <t>ORD20741</t>
  </si>
  <si>
    <t>ORD20357</t>
  </si>
  <si>
    <t>Priyanka Choudhary</t>
  </si>
  <si>
    <t>ORD20510</t>
  </si>
  <si>
    <t>Tanvi Kulkarni</t>
  </si>
  <si>
    <t>ORD20687</t>
  </si>
  <si>
    <t xml:space="preserve">  Deepika Rao</t>
  </si>
  <si>
    <t>ORD20306</t>
  </si>
  <si>
    <t>ORD20162</t>
  </si>
  <si>
    <t>ORD20081</t>
  </si>
  <si>
    <t>ORD20262</t>
  </si>
  <si>
    <t>Clothiing</t>
  </si>
  <si>
    <t>ORD20469</t>
  </si>
  <si>
    <t>ORD20609</t>
  </si>
  <si>
    <t>28/04/2023</t>
  </si>
  <si>
    <t>electronics</t>
  </si>
  <si>
    <t>ORD20876</t>
  </si>
  <si>
    <t xml:space="preserve">  Rajan Bhatt</t>
  </si>
  <si>
    <t>Kama Ayurveda Hair Oil</t>
  </si>
  <si>
    <t>ORD20246</t>
  </si>
  <si>
    <t>Levi's Jeans</t>
  </si>
  <si>
    <t>ORD20266</t>
  </si>
  <si>
    <t>Csh</t>
  </si>
  <si>
    <t>ORD20580</t>
  </si>
  <si>
    <t>ORD20662</t>
  </si>
  <si>
    <t>ORD20871</t>
  </si>
  <si>
    <t>Shreya Pandey</t>
  </si>
  <si>
    <t>ORD20201</t>
  </si>
  <si>
    <t>ORD20890</t>
  </si>
  <si>
    <t>Borosil Glass Set</t>
  </si>
  <si>
    <t>ORD20786</t>
  </si>
  <si>
    <t>ORD20011</t>
  </si>
  <si>
    <t>Garnier Micellar Water</t>
  </si>
  <si>
    <t>ORD20953</t>
  </si>
  <si>
    <t>29/02/2023</t>
  </si>
  <si>
    <t>Peter England Trousers</t>
  </si>
  <si>
    <t>ORD20518</t>
  </si>
  <si>
    <t>Norht</t>
  </si>
  <si>
    <t>ORD20261</t>
  </si>
  <si>
    <t>19/07/2023</t>
  </si>
  <si>
    <t>ORD20819</t>
  </si>
  <si>
    <t>Canon DSLR Camera</t>
  </si>
  <si>
    <t>ORD20135</t>
  </si>
  <si>
    <t>Realme Smartphone</t>
  </si>
  <si>
    <t>ORD20411</t>
  </si>
  <si>
    <t>ORD20211</t>
  </si>
  <si>
    <t>ORD20229</t>
  </si>
  <si>
    <t>ORD20156</t>
  </si>
  <si>
    <t>ORD20906</t>
  </si>
  <si>
    <t>28/11/2023</t>
  </si>
  <si>
    <t>ORD20341</t>
  </si>
  <si>
    <t>ORD20176</t>
  </si>
  <si>
    <t>Clthing</t>
  </si>
  <si>
    <t>ORD20859</t>
  </si>
  <si>
    <t>ORD20551</t>
  </si>
  <si>
    <t>Cello Water Bottle</t>
  </si>
  <si>
    <t>EAST</t>
  </si>
  <si>
    <t>ORD20115</t>
  </si>
  <si>
    <t>Adidas Sneakers</t>
  </si>
  <si>
    <t>ORD20324</t>
  </si>
  <si>
    <t>30/12/2023</t>
  </si>
  <si>
    <t>ORD20836</t>
  </si>
  <si>
    <t>ORD20545</t>
  </si>
  <si>
    <t>ORD20139</t>
  </si>
  <si>
    <t>ORD20920</t>
  </si>
  <si>
    <t>ORD20235</t>
  </si>
  <si>
    <t>ORD20505</t>
  </si>
  <si>
    <t>ORD20371</t>
  </si>
  <si>
    <t>ORD20159</t>
  </si>
  <si>
    <t>ORD20711</t>
  </si>
  <si>
    <t>ORD20820</t>
  </si>
  <si>
    <t>ORD20974</t>
  </si>
  <si>
    <t>Mi Band 7</t>
  </si>
  <si>
    <t>ORD20020</t>
  </si>
  <si>
    <t>ORD20589</t>
  </si>
  <si>
    <t>28/09/2023</t>
  </si>
  <si>
    <t>ORD20034</t>
  </si>
  <si>
    <t>ORD20725</t>
  </si>
  <si>
    <t>ORD20634</t>
  </si>
  <si>
    <t>Ramesh Naik</t>
  </si>
  <si>
    <t>ORD20733</t>
  </si>
  <si>
    <t>23/12/2023</t>
  </si>
  <si>
    <t>ORD20598</t>
  </si>
  <si>
    <t>ORD20901</t>
  </si>
  <si>
    <t>ORD20372</t>
  </si>
  <si>
    <t>BEUTY</t>
  </si>
  <si>
    <t>ORD20049</t>
  </si>
  <si>
    <t>CASH</t>
  </si>
  <si>
    <t>ORD20740</t>
  </si>
  <si>
    <t>ORD20311</t>
  </si>
  <si>
    <t>ORD20042</t>
  </si>
  <si>
    <t>20/05/2023</t>
  </si>
  <si>
    <t>Himalaya Neem Face Pack</t>
  </si>
  <si>
    <t>N</t>
  </si>
  <si>
    <t>ORD20422</t>
  </si>
  <si>
    <t>30/06/2023</t>
  </si>
  <si>
    <t>ORD20123</t>
  </si>
  <si>
    <t>25/07/2023</t>
  </si>
  <si>
    <t xml:space="preserve">  Pooja Nair</t>
  </si>
  <si>
    <t>JBL Bluetooth Speaker</t>
  </si>
  <si>
    <t>ORD20455</t>
  </si>
  <si>
    <t>ORD20033</t>
  </si>
  <si>
    <t>ORD20247</t>
  </si>
  <si>
    <t>ORD20643</t>
  </si>
  <si>
    <t>ORD20142</t>
  </si>
  <si>
    <t>ORD20978</t>
  </si>
  <si>
    <t>beauty</t>
  </si>
  <si>
    <t>ORD20751</t>
  </si>
  <si>
    <t>Electonics</t>
  </si>
  <si>
    <t>boAt Earbuds</t>
  </si>
  <si>
    <t>SOUTH</t>
  </si>
  <si>
    <t>ORD20845</t>
  </si>
  <si>
    <t>13/02/2023</t>
  </si>
  <si>
    <t>east</t>
  </si>
  <si>
    <t>ORD20178</t>
  </si>
  <si>
    <t>ORD20878</t>
  </si>
  <si>
    <t>Kavya Reddy</t>
  </si>
  <si>
    <t>Eastt</t>
  </si>
  <si>
    <t>ORD20664</t>
  </si>
  <si>
    <t>Meera Nambiar</t>
  </si>
  <si>
    <t>ORD20883</t>
  </si>
  <si>
    <t>ORD20806</t>
  </si>
  <si>
    <t>ORD20039</t>
  </si>
  <si>
    <t>ORD20381</t>
  </si>
  <si>
    <t>Returnd</t>
  </si>
  <si>
    <t>ORD20435</t>
  </si>
  <si>
    <t>ORD20465</t>
  </si>
  <si>
    <t>Rajan Bhatt</t>
  </si>
  <si>
    <t>ORD20116</t>
  </si>
  <si>
    <t>Rahul  Gupta</t>
  </si>
  <si>
    <t>C.O.D</t>
  </si>
  <si>
    <t>ORD20082</t>
  </si>
  <si>
    <t>ORD20654</t>
  </si>
  <si>
    <t>20/10/2023</t>
  </si>
  <si>
    <t>ORD20857</t>
  </si>
  <si>
    <t>ORD20828</t>
  </si>
  <si>
    <t>NORTH</t>
  </si>
  <si>
    <t>ORD20008</t>
  </si>
  <si>
    <t>ORD20745</t>
  </si>
  <si>
    <t>RETURNED</t>
  </si>
  <si>
    <t>south</t>
  </si>
  <si>
    <t>ORD20867</t>
  </si>
  <si>
    <t>cod</t>
  </si>
  <si>
    <t>ORD20473</t>
  </si>
  <si>
    <t>ORD20129</t>
  </si>
  <si>
    <t>Hme &amp; Kitchen</t>
  </si>
  <si>
    <t>ORD20331</t>
  </si>
  <si>
    <t>26/01/2023</t>
  </si>
  <si>
    <t>ORD20617</t>
  </si>
  <si>
    <t>ORD20334</t>
  </si>
  <si>
    <t>20/06/2023</t>
  </si>
  <si>
    <t>ORD20433</t>
  </si>
  <si>
    <t>ORD20131</t>
  </si>
  <si>
    <t>ORD20242</t>
  </si>
  <si>
    <t>Sneha Iyer</t>
  </si>
  <si>
    <t>ORD20948</t>
  </si>
  <si>
    <t>ORD20940</t>
  </si>
  <si>
    <t>ORD20267</t>
  </si>
  <si>
    <t>ORD20495</t>
  </si>
  <si>
    <t>ORD20987</t>
  </si>
  <si>
    <t>ORD20862</t>
  </si>
  <si>
    <t>ORD20376</t>
  </si>
  <si>
    <t>ORD20350</t>
  </si>
  <si>
    <t>ORD20424</t>
  </si>
  <si>
    <t>ORD20885</t>
  </si>
  <si>
    <t>ORD20284</t>
  </si>
  <si>
    <t>ORD20090</t>
  </si>
  <si>
    <t>ORD20537</t>
  </si>
  <si>
    <t>ORD20792</t>
  </si>
  <si>
    <t>ORD20712</t>
  </si>
  <si>
    <t>S</t>
  </si>
  <si>
    <t>ORD20595</t>
  </si>
  <si>
    <t>Anjali Srivastava</t>
  </si>
  <si>
    <t>ORD20233</t>
  </si>
  <si>
    <t xml:space="preserve">  Neha Mishra</t>
  </si>
  <si>
    <t>ORD20386</t>
  </si>
  <si>
    <t>ORD20141</t>
  </si>
  <si>
    <t>ORD20048</t>
  </si>
  <si>
    <t>Cancalled</t>
  </si>
  <si>
    <t>ORD20608</t>
  </si>
  <si>
    <t>ORD20736</t>
  </si>
  <si>
    <t>ORD20402</t>
  </si>
  <si>
    <t>ORD20003</t>
  </si>
  <si>
    <t>ORD20425</t>
  </si>
  <si>
    <t>ORD20109</t>
  </si>
  <si>
    <t>21/11/2023</t>
  </si>
  <si>
    <t>ORD20031</t>
  </si>
  <si>
    <t>ORD20413</t>
  </si>
  <si>
    <t>ORD20717</t>
  </si>
  <si>
    <t>ORD20452</t>
  </si>
  <si>
    <t>ORD20965</t>
  </si>
  <si>
    <t>ORD20590</t>
  </si>
  <si>
    <t>Vikas Saxena</t>
  </si>
  <si>
    <t>ORD20605</t>
  </si>
  <si>
    <t>clothing</t>
  </si>
  <si>
    <t>ORD20783</t>
  </si>
  <si>
    <t>ORD20708</t>
  </si>
  <si>
    <t>ORD20935</t>
  </si>
  <si>
    <t>ORD20112</t>
  </si>
  <si>
    <t>Clothng</t>
  </si>
  <si>
    <t>ORD20688</t>
  </si>
  <si>
    <t>25/11/2023</t>
  </si>
  <si>
    <t>ORD20550</t>
  </si>
  <si>
    <t>ORD20073</t>
  </si>
  <si>
    <t>male</t>
  </si>
  <si>
    <t>ORD20922</t>
  </si>
  <si>
    <t>CashOnDelivery</t>
  </si>
  <si>
    <t>ORD20602</t>
  </si>
  <si>
    <t>ORD20093</t>
  </si>
  <si>
    <t>ORD20566</t>
  </si>
  <si>
    <t>Delvered</t>
  </si>
  <si>
    <t>ORD20956</t>
  </si>
  <si>
    <t>ORD20803</t>
  </si>
  <si>
    <t>Divya Hegde</t>
  </si>
  <si>
    <t>ORD20612</t>
  </si>
  <si>
    <t>ORD20674</t>
  </si>
  <si>
    <t>ORD20577</t>
  </si>
  <si>
    <t>ORD20918</t>
  </si>
  <si>
    <t>ORD20614</t>
  </si>
  <si>
    <t>ORD20101</t>
  </si>
  <si>
    <t>ORD20767</t>
  </si>
  <si>
    <t>ORD20815</t>
  </si>
  <si>
    <t>ORD20053</t>
  </si>
  <si>
    <t>16/04/2023</t>
  </si>
  <si>
    <t>ORD20281</t>
  </si>
  <si>
    <t>ORD20227</t>
  </si>
  <si>
    <t>ORD20409</t>
  </si>
  <si>
    <t>17/05/2023</t>
  </si>
  <si>
    <t>ORD20040</t>
  </si>
  <si>
    <t>30/08/2023</t>
  </si>
  <si>
    <t>ORD20721</t>
  </si>
  <si>
    <t>21/06/2023</t>
  </si>
  <si>
    <t>ORD20163</t>
  </si>
  <si>
    <t>ORD20954</t>
  </si>
  <si>
    <t>ORD20051</t>
  </si>
  <si>
    <t>ORD20923</t>
  </si>
  <si>
    <t>Femal</t>
  </si>
  <si>
    <t>ORD20513</t>
  </si>
  <si>
    <t>ORD20544</t>
  </si>
  <si>
    <t>ORD20446</t>
  </si>
  <si>
    <t>15/05/2023</t>
  </si>
  <si>
    <t>ORD20565</t>
  </si>
  <si>
    <t>24/11/2023</t>
  </si>
  <si>
    <t>ORD20584</t>
  </si>
  <si>
    <t>16/11/2023</t>
  </si>
  <si>
    <t>ORD20729</t>
  </si>
  <si>
    <t>ORD20952</t>
  </si>
  <si>
    <t>ORD20638</t>
  </si>
  <si>
    <t>Debit Card</t>
  </si>
  <si>
    <t>ORD20714</t>
  </si>
  <si>
    <t>ORD20810</t>
  </si>
  <si>
    <t>FEMALE</t>
  </si>
  <si>
    <t>ORD20521</t>
  </si>
  <si>
    <t>Cotton Saree</t>
  </si>
  <si>
    <t>CANCELLED</t>
  </si>
  <si>
    <t>ORD20070</t>
  </si>
  <si>
    <t xml:space="preserve">  Pallavi Deshmukh</t>
  </si>
  <si>
    <t>ORD20877</t>
  </si>
  <si>
    <t>ORD20597</t>
  </si>
  <si>
    <t>ORD20731</t>
  </si>
  <si>
    <t>ORD20603</t>
  </si>
  <si>
    <t>ORD20151</t>
  </si>
  <si>
    <t>ORD20257</t>
  </si>
  <si>
    <t>ORD20793</t>
  </si>
  <si>
    <t>ORD20716</t>
  </si>
  <si>
    <t>Rahull Gupta</t>
  </si>
  <si>
    <t>ORD20773</t>
  </si>
  <si>
    <t>17/11/2023</t>
  </si>
  <si>
    <t>ORD20055</t>
  </si>
  <si>
    <t>ORD20389</t>
  </si>
  <si>
    <t>ORD20964</t>
  </si>
  <si>
    <t>electrnics</t>
  </si>
  <si>
    <t>ORD20295</t>
  </si>
  <si>
    <t>30/11/2023</t>
  </si>
  <si>
    <t>ORD20776</t>
  </si>
  <si>
    <t>ORD20542</t>
  </si>
  <si>
    <t>ORD20316</t>
  </si>
  <si>
    <t>ORD20147</t>
  </si>
  <si>
    <t xml:space="preserve">  Vikram Mehta</t>
  </si>
  <si>
    <t>ORD20102</t>
  </si>
  <si>
    <t>ORD20749</t>
  </si>
  <si>
    <t>ORD20254</t>
  </si>
  <si>
    <t xml:space="preserve">  Ananya Singh</t>
  </si>
  <si>
    <t>ORD20613</t>
  </si>
  <si>
    <t>ORD20596</t>
  </si>
  <si>
    <t>ORD20074</t>
  </si>
  <si>
    <t>ORD20490</t>
  </si>
  <si>
    <t>ORD20648</t>
  </si>
  <si>
    <t>ORD20204</t>
  </si>
  <si>
    <t>ORD20325</t>
  </si>
  <si>
    <t xml:space="preserve">  Ramesh Naik</t>
  </si>
  <si>
    <t>ORD20641</t>
  </si>
  <si>
    <t>Credit Card</t>
  </si>
  <si>
    <t>ORD20639</t>
  </si>
  <si>
    <t>ORD20243</t>
  </si>
  <si>
    <t>ORD20294</t>
  </si>
  <si>
    <t>18/12/2023</t>
  </si>
  <si>
    <t>ORD20058</t>
  </si>
  <si>
    <t>ORD20844</t>
  </si>
  <si>
    <t>ORD20282</t>
  </si>
  <si>
    <t>ORD20758</t>
  </si>
  <si>
    <t>Prestige Pressure Cooker</t>
  </si>
  <si>
    <t>ORD20494</t>
  </si>
  <si>
    <t>ORD20699</t>
  </si>
  <si>
    <t>ORD20970</t>
  </si>
  <si>
    <t>ORD20489</t>
  </si>
  <si>
    <t>ORD20491</t>
  </si>
  <si>
    <t>ORD20028</t>
  </si>
  <si>
    <t>ORD20886</t>
  </si>
  <si>
    <t>ORD20018</t>
  </si>
  <si>
    <t xml:space="preserve">  Pranav Kulkarni</t>
  </si>
  <si>
    <t>ORD20673</t>
  </si>
  <si>
    <t>ORD20529</t>
  </si>
  <si>
    <t>ORD20949</t>
  </si>
  <si>
    <t>ORD20812</t>
  </si>
  <si>
    <t>ORD20067</t>
  </si>
  <si>
    <t>ORD20287</t>
  </si>
  <si>
    <t>ORD20122</t>
  </si>
  <si>
    <t>ORD20434</t>
  </si>
  <si>
    <t>16/01/2023</t>
  </si>
  <si>
    <t>ORD20485</t>
  </si>
  <si>
    <t>ORD20661</t>
  </si>
  <si>
    <t>ORD20552</t>
  </si>
  <si>
    <t>ORD20611</t>
  </si>
  <si>
    <t>ORD20752</t>
  </si>
  <si>
    <t>ORD20889</t>
  </si>
  <si>
    <t>29/07/2023</t>
  </si>
  <si>
    <t>ORD20322</t>
  </si>
  <si>
    <t>ORD20763</t>
  </si>
  <si>
    <t>ORD20285</t>
  </si>
  <si>
    <t>Beauity</t>
  </si>
  <si>
    <t>ORD20619</t>
  </si>
  <si>
    <t>ORD20111</t>
  </si>
  <si>
    <t>ORD20911</t>
  </si>
  <si>
    <t>ORD20027</t>
  </si>
  <si>
    <t>ORD20630</t>
  </si>
  <si>
    <t>ORD20947</t>
  </si>
  <si>
    <t>ORD20532</t>
  </si>
  <si>
    <t>ORD20882</t>
  </si>
  <si>
    <t>ORD20026</t>
  </si>
  <si>
    <t>rohit verma</t>
  </si>
  <si>
    <t>ORD20198</t>
  </si>
  <si>
    <t>ORD20481</t>
  </si>
  <si>
    <t>ORD20880</t>
  </si>
  <si>
    <t>ORD20808</t>
  </si>
  <si>
    <t>ORD20215</t>
  </si>
  <si>
    <t>ORD20509</t>
  </si>
  <si>
    <t>ORD20497</t>
  </si>
  <si>
    <t>Amit Kumar</t>
  </si>
  <si>
    <t>ORD20578</t>
  </si>
  <si>
    <t>ORD20467</t>
  </si>
  <si>
    <t>ORD20766</t>
  </si>
  <si>
    <t>ORD20358</t>
  </si>
  <si>
    <t>ORD20241</t>
  </si>
  <si>
    <t>ORD20951</t>
  </si>
  <si>
    <t>ORD20404</t>
  </si>
  <si>
    <t>ORD20907</t>
  </si>
  <si>
    <t>ORD20361</t>
  </si>
  <si>
    <t>ORD20220</t>
  </si>
  <si>
    <t>ORD20221</t>
  </si>
  <si>
    <t>ORD20172</t>
  </si>
  <si>
    <t>ORD20960</t>
  </si>
  <si>
    <t>ORD20988</t>
  </si>
  <si>
    <t>ORD20001</t>
  </si>
  <si>
    <t>20/07/2023</t>
  </si>
  <si>
    <t>ORD20203</t>
  </si>
  <si>
    <t>ORD20833</t>
  </si>
  <si>
    <t>ORD20594</t>
  </si>
  <si>
    <t>20/08/2023</t>
  </si>
  <si>
    <t>Elctronics</t>
  </si>
  <si>
    <t>ORD20533</t>
  </si>
  <si>
    <t>ORD20802</t>
  </si>
  <si>
    <t>ORD20693</t>
  </si>
  <si>
    <t>ORD20239</t>
  </si>
  <si>
    <t>ORD20456</t>
  </si>
  <si>
    <t>23/02/2023</t>
  </si>
  <si>
    <t>ORD20829</t>
  </si>
  <si>
    <t xml:space="preserve">  Nikhil Bose</t>
  </si>
  <si>
    <t>ORD20526</t>
  </si>
  <si>
    <t>ORD20777</t>
  </si>
  <si>
    <t>ORD20615</t>
  </si>
  <si>
    <t>ORD20799</t>
  </si>
  <si>
    <t>Westt</t>
  </si>
  <si>
    <t>ORD20881</t>
  </si>
  <si>
    <t>ORD20126</t>
  </si>
  <si>
    <t>ORD20854</t>
  </si>
  <si>
    <t>ORD20096</t>
  </si>
  <si>
    <t>ORD20401</t>
  </si>
  <si>
    <t>ORD20846</t>
  </si>
  <si>
    <t>Rohit Verma</t>
  </si>
  <si>
    <t>ORD20454</t>
  </si>
  <si>
    <t>ORD20579</t>
  </si>
  <si>
    <t>ORD20419</t>
  </si>
  <si>
    <t>26/12/2023</t>
  </si>
  <si>
    <t>ORD20301</t>
  </si>
  <si>
    <t>ORD20665</t>
  </si>
  <si>
    <t>29/11/2023</t>
  </si>
  <si>
    <t>ORD20032</t>
  </si>
  <si>
    <t>ORD20345</t>
  </si>
  <si>
    <t>ORD20196</t>
  </si>
  <si>
    <t>ORD20400</t>
  </si>
  <si>
    <t>ORD20448</t>
  </si>
  <si>
    <t>ORD20426</t>
  </si>
  <si>
    <t>ORD20412</t>
  </si>
  <si>
    <t>ORD20359</t>
  </si>
  <si>
    <t>ORD20910</t>
  </si>
  <si>
    <t>ORD20472</t>
  </si>
  <si>
    <t xml:space="preserve">  Aarav Sharma</t>
  </si>
  <si>
    <t>ORD20915</t>
  </si>
  <si>
    <t>ORD20080</t>
  </si>
  <si>
    <t>ORD20546</t>
  </si>
  <si>
    <t>ORD20144</t>
  </si>
  <si>
    <t>ORD20420</t>
  </si>
  <si>
    <t>ORD20291</t>
  </si>
  <si>
    <t>ORD20356</t>
  </si>
  <si>
    <t>ORD20541</t>
  </si>
  <si>
    <t>ORD20679</t>
  </si>
  <si>
    <t>19/03/2023</t>
  </si>
  <si>
    <t>Cash on Delivery</t>
  </si>
  <si>
    <t>returned</t>
  </si>
  <si>
    <t>ORD20065</t>
  </si>
  <si>
    <t>16/10/2023</t>
  </si>
  <si>
    <t>ORD20155</t>
  </si>
  <si>
    <t>ORD20395</t>
  </si>
  <si>
    <t>ORD20416</t>
  </si>
  <si>
    <t>ORD20966</t>
  </si>
  <si>
    <t>ORD20182</t>
  </si>
  <si>
    <t>ORD20633</t>
  </si>
  <si>
    <t>ORD20864</t>
  </si>
  <si>
    <t>ORD20355</t>
  </si>
  <si>
    <t>ORD20062</t>
  </si>
  <si>
    <t>21/10/2023</t>
  </si>
  <si>
    <t>ORD20684</t>
  </si>
  <si>
    <t>Karthik Rajan</t>
  </si>
  <si>
    <t>ORD20800</t>
  </si>
  <si>
    <t>ORD20719</t>
  </si>
  <si>
    <t>ORD20650</t>
  </si>
  <si>
    <t>ORD20117</t>
  </si>
  <si>
    <t>ORD20670</t>
  </si>
  <si>
    <t>ORD20392</t>
  </si>
  <si>
    <t>ORD20477</t>
  </si>
  <si>
    <t>ORD20013</t>
  </si>
  <si>
    <t>ORD20303</t>
  </si>
  <si>
    <t>kavya reddy</t>
  </si>
  <si>
    <t>ORD20234</t>
  </si>
  <si>
    <t>Cancled</t>
  </si>
  <si>
    <t>Soouth</t>
  </si>
  <si>
    <t>ORD20528</t>
  </si>
  <si>
    <t>ORD20921</t>
  </si>
  <si>
    <t>ORD20860</t>
  </si>
  <si>
    <t>ORD20818</t>
  </si>
  <si>
    <t>29/08/2023</t>
  </si>
  <si>
    <t>ORD20138</t>
  </si>
  <si>
    <t>ORD20926</t>
  </si>
  <si>
    <t>ORD20535</t>
  </si>
  <si>
    <t>ORD20314</t>
  </si>
  <si>
    <t>ORD20476</t>
  </si>
  <si>
    <t>ORD20514</t>
  </si>
  <si>
    <t>ORD20898</t>
  </si>
  <si>
    <t>ORD20873</t>
  </si>
  <si>
    <t>ORD20388</t>
  </si>
  <si>
    <t>ORD20865</t>
  </si>
  <si>
    <t>ORD20704</t>
  </si>
  <si>
    <t>ORD20850</t>
  </si>
  <si>
    <t>ORD20075</t>
  </si>
  <si>
    <t>ORD20651</t>
  </si>
  <si>
    <t>ORD20309</t>
  </si>
  <si>
    <t>ORD20458</t>
  </si>
  <si>
    <t>ORD20145</t>
  </si>
  <si>
    <t>ORD20336</t>
  </si>
  <si>
    <t>ORD20487</t>
  </si>
  <si>
    <t>OTHER</t>
  </si>
  <si>
    <t>ORD20501</t>
  </si>
  <si>
    <t>ORD20094</t>
  </si>
  <si>
    <t>ORD20753</t>
  </si>
  <si>
    <t>ORD20121</t>
  </si>
  <si>
    <t>ORD20499</t>
  </si>
  <si>
    <t>ORD20210</t>
  </si>
  <si>
    <t>ORD20571</t>
  </si>
  <si>
    <t>ORD20939</t>
  </si>
  <si>
    <t>ORD20249</t>
  </si>
  <si>
    <t>26/03/2023</t>
  </si>
  <si>
    <t>ORD20620</t>
  </si>
  <si>
    <t>ORD20224</t>
  </si>
  <si>
    <t>ORD20847</t>
  </si>
  <si>
    <t>ORD20502</t>
  </si>
  <si>
    <t>ORD20468</t>
  </si>
  <si>
    <t>ORD20439</t>
  </si>
  <si>
    <t>ORD20554</t>
  </si>
  <si>
    <t>ORD20127</t>
  </si>
  <si>
    <t>ORD20110</t>
  </si>
  <si>
    <t>23/10/2023</t>
  </si>
  <si>
    <t>ORD20360</t>
  </si>
  <si>
    <t>ORD20353</t>
  </si>
  <si>
    <t>ORD20290</t>
  </si>
  <si>
    <t>ORD20941</t>
  </si>
  <si>
    <t>22/06/2023</t>
  </si>
  <si>
    <t>ORD20390</t>
  </si>
  <si>
    <t>ORD20946</t>
  </si>
  <si>
    <t>ORD20174</t>
  </si>
  <si>
    <t>ORD20329</t>
  </si>
  <si>
    <t xml:space="preserve">  Gaurav Bansal</t>
  </si>
  <si>
    <t>Othr</t>
  </si>
  <si>
    <t>ORD20140</t>
  </si>
  <si>
    <t>ORD20500</t>
  </si>
  <si>
    <t>ORD20083</t>
  </si>
  <si>
    <t>ORD20436</t>
  </si>
  <si>
    <t>ORD20060</t>
  </si>
  <si>
    <t>ORD20292</t>
  </si>
  <si>
    <t xml:space="preserve">  Meera Nambiar</t>
  </si>
  <si>
    <t>ORD20044</t>
  </si>
  <si>
    <t>ORD20323</t>
  </si>
  <si>
    <t>25/05/2023</t>
  </si>
  <si>
    <t>ORD20581</t>
  </si>
  <si>
    <t>ORD20644</t>
  </si>
  <si>
    <t>ORD20078</t>
  </si>
  <si>
    <t>ORD20365</t>
  </si>
  <si>
    <t>24/03/2023</t>
  </si>
  <si>
    <t>Kiran Malhotra</t>
  </si>
  <si>
    <t>ORD20891</t>
  </si>
  <si>
    <t>home &amp; kitchen</t>
  </si>
  <si>
    <t>ORD20874</t>
  </si>
  <si>
    <t>ORD20160</t>
  </si>
  <si>
    <t>ORD20009</t>
  </si>
  <si>
    <t>ORD20319</t>
  </si>
  <si>
    <t>ORD20272</t>
  </si>
  <si>
    <t>ORD20623</t>
  </si>
  <si>
    <t>ORD20191</t>
  </si>
  <si>
    <t>28/08/2023</t>
  </si>
  <si>
    <t>ORD20930</t>
  </si>
  <si>
    <t>ORD20245</t>
  </si>
  <si>
    <t>ORD20959</t>
  </si>
  <si>
    <t>15/03/2023</t>
  </si>
  <si>
    <t>ORD20459</t>
  </si>
  <si>
    <t>ORD20007</t>
  </si>
  <si>
    <t>ORD20925</t>
  </si>
  <si>
    <t>ORD20813</t>
  </si>
  <si>
    <t>ORD20519</t>
  </si>
  <si>
    <t>ORD20869</t>
  </si>
  <si>
    <t>ORD20834</t>
  </si>
  <si>
    <t>ORD20286</t>
  </si>
  <si>
    <t>ORD20153</t>
  </si>
  <si>
    <t>ORD20691</t>
  </si>
  <si>
    <t>ORD20560</t>
  </si>
  <si>
    <t>29/09/2023</t>
  </si>
  <si>
    <t>ORD20330</t>
  </si>
  <si>
    <t>ORD20626</t>
  </si>
  <si>
    <t>ORD20308</t>
  </si>
  <si>
    <t>ORD20768</t>
  </si>
  <si>
    <t>ORD20738</t>
  </si>
  <si>
    <t>ORD20161</t>
  </si>
  <si>
    <t>ORD20100</t>
  </si>
  <si>
    <t>ORD20789</t>
  </si>
  <si>
    <t>ORD20438</t>
  </si>
  <si>
    <t>ORD20645</t>
  </si>
  <si>
    <t>ORD20441</t>
  </si>
  <si>
    <t>ORD20735</t>
  </si>
  <si>
    <t>ORD20367</t>
  </si>
  <si>
    <t>ORD20969</t>
  </si>
  <si>
    <t>ORD20683</t>
  </si>
  <si>
    <t>ORD20232</t>
  </si>
  <si>
    <t>ORD20118</t>
  </si>
  <si>
    <t>ORD20493</t>
  </si>
  <si>
    <t>ORD20414</t>
  </si>
  <si>
    <t>ORD20125</t>
  </si>
  <si>
    <t>ORD20562</t>
  </si>
  <si>
    <t>ORD20197</t>
  </si>
  <si>
    <t>ORD20837</t>
  </si>
  <si>
    <t>ORD20586</t>
  </si>
  <si>
    <t>ORD20256</t>
  </si>
  <si>
    <t>ORD20986</t>
  </si>
  <si>
    <t>ORD20861</t>
  </si>
  <si>
    <t>ORD20975</t>
  </si>
  <si>
    <t>ORD20917</t>
  </si>
  <si>
    <t>ORD20313</t>
  </si>
  <si>
    <t>ORD20488</t>
  </si>
  <si>
    <t>ORD20931</t>
  </si>
  <si>
    <t>ORD20212</t>
  </si>
  <si>
    <t>ORD20250</t>
  </si>
  <si>
    <t>ORD20750</t>
  </si>
  <si>
    <t>ORD20666</t>
  </si>
  <si>
    <t>ORD20259</t>
  </si>
  <si>
    <t>ORD20900</t>
  </si>
  <si>
    <t>ORD20498</t>
  </si>
  <si>
    <t>ORD20522</t>
  </si>
  <si>
    <t>ORD20271</t>
  </si>
  <si>
    <t>ORD20270</t>
  </si>
  <si>
    <t>ORD20479</t>
  </si>
  <si>
    <t>ORD20189</t>
  </si>
  <si>
    <t>ORD20443</t>
  </si>
  <si>
    <t>ORD20985</t>
  </si>
  <si>
    <t>19/11/2023</t>
  </si>
  <si>
    <t>ORD20004</t>
  </si>
  <si>
    <t xml:space="preserve">  Manoj Chauhan</t>
  </si>
  <si>
    <t>ORD20774</t>
  </si>
  <si>
    <t>ORD20724</t>
  </si>
  <si>
    <t>25/03/2023</t>
  </si>
  <si>
    <t>ORD20524</t>
  </si>
  <si>
    <t>ORD20029</t>
  </si>
  <si>
    <t>ORD20421</t>
  </si>
  <si>
    <t xml:space="preserve">  Tanvi Kulkarni</t>
  </si>
  <si>
    <t>ORD20549</t>
  </si>
  <si>
    <t>SNEHA IYER</t>
  </si>
  <si>
    <t>ORD20784</t>
  </si>
  <si>
    <t>ORD20344</t>
  </si>
  <si>
    <t>ORD20173</t>
  </si>
  <si>
    <t>ORD20326</t>
  </si>
  <si>
    <t>ORD20827</t>
  </si>
  <si>
    <t>ORD20851</t>
  </si>
  <si>
    <t>ORD20572</t>
  </si>
  <si>
    <t>ORD20782</t>
  </si>
  <si>
    <t>ORD20840</t>
  </si>
  <si>
    <t>ORD20908</t>
  </si>
  <si>
    <t>ORD20069</t>
  </si>
  <si>
    <t>ORD20697</t>
  </si>
  <si>
    <t>ORD20618</t>
  </si>
  <si>
    <t>ORD20599</t>
  </si>
  <si>
    <t>ORD20133</t>
  </si>
  <si>
    <t>ORD20787</t>
  </si>
  <si>
    <t>ORD20327</t>
  </si>
  <si>
    <t>ORD20713</t>
  </si>
  <si>
    <t>ORD20025</t>
  </si>
  <si>
    <t>ORD20807</t>
  </si>
  <si>
    <t>ORD20709</t>
  </si>
  <si>
    <t>ORD20470</t>
  </si>
  <si>
    <t>ORD20636</t>
  </si>
  <si>
    <t xml:space="preserve">  Karthik Rajan</t>
  </si>
  <si>
    <t>ORD20086</t>
  </si>
  <si>
    <t>ORD20868</t>
  </si>
  <si>
    <t>ORD20968</t>
  </si>
  <si>
    <t>ORD20672</t>
  </si>
  <si>
    <t>ORD20913</t>
  </si>
  <si>
    <t>ORD20962</t>
  </si>
  <si>
    <t>ORD20538</t>
  </si>
  <si>
    <t>ORD20585</t>
  </si>
  <si>
    <t>ORD20870</t>
  </si>
  <si>
    <t>ORD20743</t>
  </si>
  <si>
    <t>ORD20449</t>
  </si>
  <si>
    <t>ORD20280</t>
  </si>
  <si>
    <t>18/09/2023</t>
  </si>
  <si>
    <t xml:space="preserve">  Sunita Pandey</t>
  </si>
  <si>
    <t>ORD20680</t>
  </si>
  <si>
    <t>28/12/2023</t>
  </si>
  <si>
    <t>ORD20536</t>
  </si>
  <si>
    <t>ORD20798</t>
  </si>
  <si>
    <t xml:space="preserve">  Ashok Yadav</t>
  </si>
  <si>
    <t>ORD20258</t>
  </si>
  <si>
    <t>ORD20023</t>
  </si>
  <si>
    <t>ORD20158</t>
  </si>
  <si>
    <t>ORD20892</t>
  </si>
  <si>
    <t>ORD20177</t>
  </si>
  <si>
    <t>ORD20849</t>
  </si>
  <si>
    <t>ORD20591</t>
  </si>
  <si>
    <t>ORD20902</t>
  </si>
  <si>
    <t>ORD20396</t>
  </si>
  <si>
    <t>Nort</t>
  </si>
  <si>
    <t>ORD20747</t>
  </si>
  <si>
    <t>ORD20321</t>
  </si>
  <si>
    <t xml:space="preserve">  Vikas Saxena</t>
  </si>
  <si>
    <t>ORD20393</t>
  </si>
  <si>
    <t>ORD20843</t>
  </si>
  <si>
    <t>ORD20655</t>
  </si>
  <si>
    <t>27/09/2023</t>
  </si>
  <si>
    <t>ORD20157</t>
  </si>
  <si>
    <t>ORD20909</t>
  </si>
  <si>
    <t>ORD20019</t>
  </si>
  <si>
    <t>ORD20872</t>
  </si>
  <si>
    <t>ORD20569</t>
  </si>
  <si>
    <t>ORD20106</t>
  </si>
  <si>
    <t>ORD20335</t>
  </si>
  <si>
    <t>27/12/2023</t>
  </si>
  <si>
    <t>ORD20866</t>
  </si>
  <si>
    <t>ORD20830</t>
  </si>
  <si>
    <t>ORD20305</t>
  </si>
  <si>
    <t>ORD20226</t>
  </si>
  <si>
    <t>ORD20276</t>
  </si>
  <si>
    <t>Retruned</t>
  </si>
  <si>
    <t>ORD20822</t>
  </si>
  <si>
    <t>ORD20852</t>
  </si>
  <si>
    <t>ORD20095</t>
  </si>
  <si>
    <t>ORD20228</t>
  </si>
  <si>
    <t>22/10/2023</t>
  </si>
  <si>
    <t>ORD20484</t>
  </si>
  <si>
    <t>ORD20710</t>
  </si>
  <si>
    <t>ORD20530</t>
  </si>
  <si>
    <t>ORD20320</t>
  </si>
  <si>
    <t>ORD20188</t>
  </si>
  <si>
    <t>ORD20601</t>
  </si>
  <si>
    <t>ORD20582</t>
  </si>
  <si>
    <t>ORD20701</t>
  </si>
  <si>
    <t>17/07/2023</t>
  </si>
  <si>
    <t>ORD20148</t>
  </si>
  <si>
    <t>ORD20631</t>
  </si>
  <si>
    <t>ORD20084</t>
  </si>
  <si>
    <t>ORD20632</t>
  </si>
  <si>
    <t>ORD20932</t>
  </si>
  <si>
    <t>ORD20781</t>
  </si>
  <si>
    <t>ORD20722</t>
  </si>
  <si>
    <t>ORD20686</t>
  </si>
  <si>
    <t>ORD20737</t>
  </si>
  <si>
    <t>ORD20511</t>
  </si>
  <si>
    <t>ORD20447</t>
  </si>
  <si>
    <t>ORD20888</t>
  </si>
  <si>
    <t>ROHIT VERMA</t>
  </si>
  <si>
    <t>ORD20260</t>
  </si>
  <si>
    <t>ORD20318</t>
  </si>
  <si>
    <t>ORD20315</t>
  </si>
  <si>
    <t>ORD20237</t>
  </si>
  <si>
    <t>ORD20218</t>
  </si>
  <si>
    <t>ORD20555</t>
  </si>
  <si>
    <t>ORD20899</t>
  </si>
  <si>
    <t>ORD20887</t>
  </si>
  <si>
    <t>ORD20036</t>
  </si>
  <si>
    <t>ORD20132</t>
  </si>
  <si>
    <t>BEAUTY</t>
  </si>
  <si>
    <t>ORD20855</t>
  </si>
  <si>
    <t>ORD20114</t>
  </si>
  <si>
    <t>ORD20214</t>
  </si>
  <si>
    <t>ORD20804</t>
  </si>
  <si>
    <t>ORD20364</t>
  </si>
  <si>
    <t>rahul gupta</t>
  </si>
  <si>
    <t>ORD20399</t>
  </si>
  <si>
    <t>ORD20506</t>
  </si>
  <si>
    <t>ORD20933</t>
  </si>
  <si>
    <t>ORD20059</t>
  </si>
  <si>
    <t>ORD20378</t>
  </si>
  <si>
    <t>ORD20339</t>
  </si>
  <si>
    <t>ORD20167</t>
  </si>
  <si>
    <t>ORD20418</t>
  </si>
  <si>
    <t>ORD20370</t>
  </si>
  <si>
    <t>ORD20715</t>
  </si>
  <si>
    <t>ORD20375</t>
  </si>
  <si>
    <t>ORD20374</t>
  </si>
  <si>
    <t>ORD20897</t>
  </si>
  <si>
    <t>ORD20274</t>
  </si>
  <si>
    <t>ORD20222</t>
  </si>
  <si>
    <t>ORD20225</t>
  </si>
  <si>
    <t>ORD20087</t>
  </si>
  <si>
    <t>ORD20547</t>
  </si>
  <si>
    <t>ORD20057</t>
  </si>
  <si>
    <t>ORD20304</t>
  </si>
  <si>
    <t>ORD20879</t>
  </si>
  <si>
    <t>ORD20024</t>
  </si>
  <si>
    <t>ORD20288</t>
  </si>
  <si>
    <t>ORD20150</t>
  </si>
  <si>
    <t>ORD20621</t>
  </si>
  <si>
    <t>ORD20202</t>
  </si>
  <si>
    <t>ORD20273</t>
  </si>
  <si>
    <t>ORD20014</t>
  </si>
  <si>
    <t>ORD20757</t>
  </si>
  <si>
    <t>14/09/2023</t>
  </si>
  <si>
    <t>ORD20348</t>
  </si>
  <si>
    <t>ORD20482</t>
  </si>
  <si>
    <t>14/03/2023</t>
  </si>
  <si>
    <t>ORD20338</t>
  </si>
  <si>
    <t>ORD20531</t>
  </si>
  <si>
    <t>ORD20875</t>
  </si>
  <si>
    <t>ORD20010</t>
  </si>
  <si>
    <t>ORD20423</t>
  </si>
  <si>
    <t>ORD20231</t>
  </si>
  <si>
    <t>ORD20002</t>
  </si>
  <si>
    <t>ORD20600</t>
  </si>
  <si>
    <t>ORD20958</t>
  </si>
  <si>
    <t>ORD20676</t>
  </si>
  <si>
    <t>ORD20769</t>
  </si>
  <si>
    <t>ORD20483</t>
  </si>
  <si>
    <t>ORD20103</t>
  </si>
  <si>
    <t>ORD20760</t>
  </si>
  <si>
    <t>ORD20927</t>
  </si>
  <si>
    <t>ORD20192</t>
  </si>
  <si>
    <t>ORD20186</t>
  </si>
  <si>
    <t>ORD20659</t>
  </si>
  <si>
    <t>ORD20635</t>
  </si>
  <si>
    <t>ORD20625</t>
  </si>
  <si>
    <t>ORD20275</t>
  </si>
  <si>
    <t>ORD20099</t>
  </si>
  <si>
    <t>ORD20692</t>
  </si>
  <si>
    <t>ORD20200</t>
  </si>
  <si>
    <t>ORD20755</t>
  </si>
  <si>
    <t>ORD20377</t>
  </si>
  <si>
    <t>ORD20440</t>
  </si>
  <si>
    <t>15/11/2023</t>
  </si>
  <si>
    <t>ORD20171</t>
  </si>
  <si>
    <t>ORD20814</t>
  </si>
  <si>
    <t>ORD20164</t>
  </si>
  <si>
    <t>ORD20811</t>
  </si>
  <si>
    <t>23/07/2023</t>
  </si>
  <si>
    <t>ORD20296</t>
  </si>
  <si>
    <t>ORD20298</t>
  </si>
  <si>
    <t>ORD20979</t>
  </si>
  <si>
    <t>ORD20453</t>
  </si>
  <si>
    <t>ORD20570</t>
  </si>
  <si>
    <t>ORD20983</t>
  </si>
  <si>
    <t>ORD20517</t>
  </si>
  <si>
    <t>ORD20496</t>
  </si>
  <si>
    <t>16/12/2023</t>
  </si>
  <si>
    <t>ORD20842</t>
  </si>
  <si>
    <t>ORD20790</t>
  </si>
  <si>
    <t>24/12/2023</t>
  </si>
  <si>
    <t>ORD20624</t>
  </si>
  <si>
    <t>ORD20391</t>
  </si>
  <si>
    <t>ORD20427</t>
  </si>
  <si>
    <t>ORD20744</t>
  </si>
  <si>
    <t>ORD20816</t>
  </si>
  <si>
    <t>ORD20856</t>
  </si>
  <si>
    <t>ORD20742</t>
  </si>
  <si>
    <t>ORD20564</t>
  </si>
  <si>
    <t>ORD20230</t>
  </si>
  <si>
    <t>ORD20130</t>
  </si>
  <si>
    <t>ORD20700</t>
  </si>
  <si>
    <t>ORD20152</t>
  </si>
  <si>
    <t>13/05/2023</t>
  </si>
  <si>
    <t>ORD20660</t>
  </si>
  <si>
    <t>ORD20199</t>
  </si>
  <si>
    <t>ORD20534</t>
  </si>
  <si>
    <t>ORD20984</t>
  </si>
  <si>
    <t>ORD20838</t>
  </si>
  <si>
    <t>ORD20516</t>
  </si>
  <si>
    <t>ORD20976</t>
  </si>
  <si>
    <t>ORD20373</t>
  </si>
  <si>
    <t>ORD20385</t>
  </si>
  <si>
    <t>ORD20606</t>
  </si>
  <si>
    <t>ORD20289</t>
  </si>
  <si>
    <t>ORD20076</t>
  </si>
  <si>
    <t>ORD20929</t>
  </si>
  <si>
    <t>ORD20980</t>
  </si>
  <si>
    <t>ORD20463</t>
  </si>
  <si>
    <t>24/05/2023</t>
  </si>
  <si>
    <t>ORD20248</t>
  </si>
  <si>
    <t>ORD20037</t>
  </si>
  <si>
    <t>ORD20831</t>
  </si>
  <si>
    <t>ORD20397</t>
  </si>
  <si>
    <t>ORD20587</t>
  </si>
  <si>
    <t>27/08/2023</t>
  </si>
  <si>
    <t>ORD20072</t>
  </si>
  <si>
    <t>ORD20297</t>
  </si>
  <si>
    <t>ORD20689</t>
  </si>
  <si>
    <t>16/03/2023</t>
  </si>
  <si>
    <t>ORD20038</t>
  </si>
  <si>
    <t xml:space="preserve">  Manish Agarwal</t>
  </si>
  <si>
    <t>ORD20175</t>
  </si>
  <si>
    <t>ORD20380</t>
  </si>
  <si>
    <t>18/11/2023</t>
  </si>
  <si>
    <t>ORD20354</t>
  </si>
  <si>
    <t>ORD20056</t>
  </si>
  <si>
    <t>15/12/2023</t>
  </si>
  <si>
    <t>ORD20739</t>
  </si>
  <si>
    <t>ORD20955</t>
  </si>
  <si>
    <t>ORD20779</t>
  </si>
  <si>
    <t>ORD20778</t>
  </si>
  <si>
    <t>ORD20043</t>
  </si>
  <si>
    <t>ORD20629</t>
  </si>
  <si>
    <t>ORD20573</t>
  </si>
  <si>
    <t>ORD20805</t>
  </si>
  <si>
    <t>ORD20507</t>
  </si>
  <si>
    <t xml:space="preserve">  Lakshmi Krishnan</t>
  </si>
  <si>
    <t>ORD20300</t>
  </si>
  <si>
    <t>ORD20728</t>
  </si>
  <si>
    <t>ORD20895</t>
  </si>
  <si>
    <t>ORD20088</t>
  </si>
  <si>
    <t>ORD20369</t>
  </si>
  <si>
    <t>ORD20794</t>
  </si>
  <si>
    <t>ORD20005</t>
  </si>
  <si>
    <t>ORD20050</t>
  </si>
  <si>
    <t>ORD20657</t>
  </si>
  <si>
    <t>ORD20460</t>
  </si>
  <si>
    <t>ORD20919</t>
  </si>
  <si>
    <t>ORD20809</t>
  </si>
  <si>
    <t>20/11/2023</t>
  </si>
  <si>
    <t>ORD20884</t>
  </si>
  <si>
    <t>ORD20649</t>
  </si>
  <si>
    <t>ORD20205</t>
  </si>
  <si>
    <t>ORD20428</t>
  </si>
  <si>
    <t>ORD20520</t>
  </si>
  <si>
    <t>ORD20046</t>
  </si>
  <si>
    <t>ORD20475</t>
  </si>
  <si>
    <t>ORD20104</t>
  </si>
  <si>
    <t>ORD20006</t>
  </si>
  <si>
    <t>ORD20677</t>
  </si>
  <si>
    <t>19/12/2023</t>
  </si>
  <si>
    <t>ORD20503</t>
  </si>
  <si>
    <t>ORD20668</t>
  </si>
  <si>
    <t>ORD20184</t>
  </si>
  <si>
    <t>ORD20408</t>
  </si>
  <si>
    <t>ORD20702</t>
  </si>
  <si>
    <t>ORD20791</t>
  </si>
  <si>
    <t>ORD20208</t>
  </si>
  <si>
    <t>ORD20604</t>
  </si>
  <si>
    <t>ORD20278</t>
  </si>
  <si>
    <t>ORD20943</t>
  </si>
  <si>
    <t>ORD20079</t>
  </si>
  <si>
    <t>ORD20754</t>
  </si>
  <si>
    <t>ORD20593</t>
  </si>
  <si>
    <t>ORD20508</t>
  </si>
  <si>
    <t>ORD20832</t>
  </si>
  <si>
    <t>ORD20732</t>
  </si>
  <si>
    <t>ORD20903</t>
  </si>
  <si>
    <t>ORD20092</t>
  </si>
  <si>
    <t>ORD20675</t>
  </si>
  <si>
    <t>ORD20642</t>
  </si>
  <si>
    <t>ORD20219</t>
  </si>
  <si>
    <t>ORD20343</t>
  </si>
  <si>
    <t>30/03/2023</t>
  </si>
  <si>
    <t>ORD20848</t>
  </si>
  <si>
    <t>ORD20762</t>
  </si>
  <si>
    <t>ORD20669</t>
  </si>
  <si>
    <t>ORD20108</t>
  </si>
  <si>
    <t>25/06/2023</t>
  </si>
  <si>
    <t>ORD20527</t>
  </si>
  <si>
    <t>ORD20824</t>
  </si>
  <si>
    <t>ORD20105</t>
  </si>
  <si>
    <t>ORD20098</t>
  </si>
  <si>
    <t>ORD20646</t>
  </si>
  <si>
    <t>ORD20690</t>
  </si>
  <si>
    <t>ORD20982</t>
  </si>
  <si>
    <t>ORD20695</t>
  </si>
  <si>
    <t>ORD20730</t>
  </si>
  <si>
    <t>ORD20244</t>
  </si>
  <si>
    <t>ORD20938</t>
  </si>
  <si>
    <t>ORD20368</t>
  </si>
  <si>
    <t>ORD20091</t>
  </si>
  <si>
    <t>ORD20035</t>
  </si>
  <si>
    <t>ORD20097</t>
  </si>
  <si>
    <t>ORD20576</t>
  </si>
  <si>
    <t>28/06/2023</t>
  </si>
  <si>
    <t>ORD20726</t>
  </si>
  <si>
    <t>ORD20637</t>
  </si>
  <si>
    <t>ORD20957</t>
  </si>
  <si>
    <t>ORD20558</t>
  </si>
  <si>
    <t>ORD20442</t>
  </si>
  <si>
    <t>ORD20492</t>
  </si>
  <si>
    <t>19/01/2023</t>
  </si>
  <si>
    <t>ORD20748</t>
  </si>
  <si>
    <t>ORD20841</t>
  </si>
  <si>
    <t>ORD20352</t>
  </si>
  <si>
    <t>14/11/2023</t>
  </si>
  <si>
    <t>ORD20213</t>
  </si>
  <si>
    <t>ORD20187</t>
  </si>
  <si>
    <t>ORD20567</t>
  </si>
  <si>
    <t>ORD20788</t>
  </si>
  <si>
    <t>ORD20415</t>
  </si>
  <si>
    <t>19/06/2023</t>
  </si>
  <si>
    <t>ORD20277</t>
  </si>
  <si>
    <t>15/10/2023</t>
  </si>
  <si>
    <t>ORD20255</t>
  </si>
  <si>
    <t>ORD20515</t>
  </si>
  <si>
    <t>ORD20022</t>
  </si>
  <si>
    <t>18/04/2023</t>
  </si>
  <si>
    <t>ORD20379</t>
  </si>
  <si>
    <t>ORD20548</t>
  </si>
  <si>
    <t>ORD20398</t>
  </si>
  <si>
    <t>ORD20785</t>
  </si>
  <si>
    <t>ORD20504</t>
  </si>
  <si>
    <t>ORD20698</t>
  </si>
  <si>
    <t>ORD20041</t>
  </si>
  <si>
    <t>ORD20765</t>
  </si>
  <si>
    <t>ORD20588</t>
  </si>
  <si>
    <t>ORD20770</t>
  </si>
  <si>
    <t>ORD20045</t>
  </si>
  <si>
    <t>ORD20977</t>
  </si>
  <si>
    <t>ORD20575</t>
  </si>
  <si>
    <t>ORD20302</t>
  </si>
  <si>
    <t>23/11/2023</t>
  </si>
  <si>
    <t>ORD20466</t>
  </si>
  <si>
    <t>ORD20916</t>
  </si>
  <si>
    <t>ORD20759</t>
  </si>
  <si>
    <t>ORD20720</t>
  </si>
  <si>
    <t>ORD20826</t>
  </si>
  <si>
    <t>ORD20950</t>
  </si>
  <si>
    <t>ORD20557</t>
  </si>
  <si>
    <t>ORD20328</t>
  </si>
  <si>
    <t>ORD20971</t>
  </si>
  <si>
    <t>ORD20120</t>
  </si>
  <si>
    <t>ORD20559</t>
  </si>
  <si>
    <t>ORD20017</t>
  </si>
  <si>
    <t>ORD20821</t>
  </si>
  <si>
    <t>19/02/2023</t>
  </si>
  <si>
    <t>ORD20705</t>
  </si>
  <si>
    <t>ORD20652</t>
  </si>
  <si>
    <t>other</t>
  </si>
  <si>
    <t>ORD20384</t>
  </si>
  <si>
    <t>ORD20681</t>
  </si>
  <si>
    <t>ORD20183</t>
  </si>
  <si>
    <t>ORD20431</t>
  </si>
  <si>
    <t>18/06/2023</t>
  </si>
  <si>
    <t>ORD20252</t>
  </si>
  <si>
    <t>ORD20089</t>
  </si>
  <si>
    <t>ORD20905</t>
  </si>
  <si>
    <t>ORD20195</t>
  </si>
  <si>
    <t>ORD20382</t>
  </si>
  <si>
    <t>ORD20474</t>
  </si>
  <si>
    <t>ORD20333</t>
  </si>
  <si>
    <t>ORD20113</t>
  </si>
  <si>
    <t>ORD20293</t>
  </si>
  <si>
    <t>ORD20337</t>
  </si>
  <si>
    <t>ORD20137</t>
  </si>
  <si>
    <t>ORD20775</t>
  </si>
  <si>
    <t>ORD20061</t>
  </si>
  <si>
    <t>ORD20052</t>
  </si>
  <si>
    <t>ORD20706</t>
  </si>
  <si>
    <t>ORD20853</t>
  </si>
  <si>
    <t>ORD20863</t>
  </si>
  <si>
    <t>ORD20349</t>
  </si>
  <si>
    <t>ORD20924</t>
  </si>
  <si>
    <t>ORD20622</t>
  </si>
  <si>
    <t>ORD20362</t>
  </si>
  <si>
    <t>ORD20685</t>
  </si>
  <si>
    <t>ORD20797</t>
  </si>
  <si>
    <t>ORD20556</t>
  </si>
  <si>
    <t>31/05/2023</t>
  </si>
  <si>
    <t>PRIYA PATEL</t>
  </si>
  <si>
    <t>ORD20945</t>
  </si>
  <si>
    <t>ORD20190</t>
  </si>
  <si>
    <t>ORD20405</t>
  </si>
  <si>
    <t>ORD20194</t>
  </si>
  <si>
    <t>ORD20406</t>
  </si>
  <si>
    <t>ORD20682</t>
  </si>
  <si>
    <t>ORD20317</t>
  </si>
  <si>
    <t>ORD20410</t>
  </si>
  <si>
    <t>14/06/2023</t>
  </si>
  <si>
    <t>ORD20457</t>
  </si>
  <si>
    <t>ORD20012</t>
  </si>
  <si>
    <t>ORD20236</t>
  </si>
  <si>
    <t>ORD20894</t>
  </si>
  <si>
    <t>ORD20478</t>
  </si>
  <si>
    <t>ORD20858</t>
  </si>
  <si>
    <t>26/05/2023</t>
  </si>
  <si>
    <t>ORD20264</t>
  </si>
  <si>
    <t>ORD20640</t>
  </si>
  <si>
    <t>Kavya  Reddy</t>
  </si>
  <si>
    <t>ORD20169</t>
  </si>
  <si>
    <t>ORD20656</t>
  </si>
  <si>
    <t>ORD20480</t>
  </si>
  <si>
    <t>ORD20124</t>
  </si>
  <si>
    <t>ORD20678</t>
  </si>
  <si>
    <t>ORD20539</t>
  </si>
  <si>
    <t>ORD20071</t>
  </si>
  <si>
    <t>ORD20134</t>
  </si>
  <si>
    <t>27/06/2023</t>
  </si>
  <si>
    <t>ORD20568</t>
  </si>
  <si>
    <t>ORD20628</t>
  </si>
  <si>
    <t>ORD20967</t>
  </si>
  <si>
    <t>ORD20253</t>
  </si>
  <si>
    <t>ORD20143</t>
  </si>
  <si>
    <t>ORD20444</t>
  </si>
  <si>
    <t>ORD20268</t>
  </si>
  <si>
    <t>ORD20746</t>
  </si>
  <si>
    <t>ORD20464</t>
  </si>
  <si>
    <t>ORD20387</t>
  </si>
  <si>
    <t>25/08/2023</t>
  </si>
  <si>
    <t>ORD20627</t>
  </si>
  <si>
    <t>ORD20540</t>
  </si>
  <si>
    <t>ORD20068</t>
  </si>
  <si>
    <t>ORD20839</t>
  </si>
  <si>
    <t>ORD20283</t>
  </si>
  <si>
    <t>ORD20166</t>
  </si>
  <si>
    <t>ORD20981</t>
  </si>
  <si>
    <t>ORD20207</t>
  </si>
  <si>
    <t>ORD20764</t>
  </si>
  <si>
    <t>ORD20346</t>
  </si>
  <si>
    <t>ORD20523</t>
  </si>
  <si>
    <t>ORD20592</t>
  </si>
  <si>
    <t>ORD20366</t>
  </si>
  <si>
    <t>ORD20471</t>
  </si>
  <si>
    <t>ORD20216</t>
  </si>
  <si>
    <t>ORD20525</t>
  </si>
  <si>
    <t>ORD20310</t>
  </si>
  <si>
    <t>ORD20407</t>
  </si>
  <si>
    <t>ORD20146</t>
  </si>
  <si>
    <t>ORD20462</t>
  </si>
  <si>
    <t>ORD20063</t>
  </si>
  <si>
    <t>ORD20279</t>
  </si>
  <si>
    <t>ORD20223</t>
  </si>
  <si>
    <t>ORD20553</t>
  </si>
  <si>
    <t>ORD20181</t>
  </si>
  <si>
    <t>ORD20607</t>
  </si>
  <si>
    <t>ORD20251</t>
  </si>
  <si>
    <t>ORD20973</t>
  </si>
  <si>
    <t>ORD20696</t>
  </si>
  <si>
    <t>ORD20942</t>
  </si>
  <si>
    <t>ORD20671</t>
  </si>
  <si>
    <t>ORD20610</t>
  </si>
  <si>
    <t>18/01/2023</t>
  </si>
  <si>
    <t>ORD20179</t>
  </si>
  <si>
    <t>29/05/2023</t>
  </si>
  <si>
    <t>ORD20136</t>
  </si>
  <si>
    <t>ORD20801</t>
  </si>
  <si>
    <t>ORD20780</t>
  </si>
  <si>
    <t>ORD20240</t>
  </si>
  <si>
    <t>ORD20543</t>
  </si>
  <si>
    <t>ORD20170</t>
  </si>
  <si>
    <t>ORD20694</t>
  </si>
  <si>
    <t>ORD20663</t>
  </si>
  <si>
    <t>14/04/2023</t>
  </si>
  <si>
    <t>ORD20217</t>
  </si>
  <si>
    <t>30/05/2023</t>
  </si>
  <si>
    <t>ORD20342</t>
  </si>
  <si>
    <t>Null</t>
  </si>
  <si>
    <t>Row Labels</t>
  </si>
  <si>
    <t>Grand Total</t>
  </si>
  <si>
    <t>Sum of Total_Sales</t>
  </si>
  <si>
    <t>Category</t>
  </si>
  <si>
    <t>Sum of Quantity</t>
  </si>
  <si>
    <t>Gender.1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</si>
  <si>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</si>
  <si>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</si>
  <si>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</si>
  <si>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</si>
  <si>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</si>
  <si>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</si>
  <si>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</si>
  <si>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</si>
  <si>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</si>
  <si>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</si>
  <si>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</si>
  <si>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</si>
  <si>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</si>
  <si>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00/00/0000</t>
  </si>
  <si>
    <t>13/08/2023</t>
  </si>
  <si>
    <t>18/03/2023</t>
  </si>
  <si>
    <t>18/02/2023</t>
  </si>
  <si>
    <t>22/12/2023</t>
  </si>
  <si>
    <t>13/12/2023</t>
  </si>
  <si>
    <t>31/12/2023</t>
  </si>
  <si>
    <t>29/12/2023</t>
  </si>
  <si>
    <t>19/10/2023</t>
  </si>
  <si>
    <t>17/09/2023</t>
  </si>
  <si>
    <t>28/02/2023</t>
  </si>
  <si>
    <t>2023/15/40</t>
  </si>
  <si>
    <t>28/10/2023</t>
  </si>
  <si>
    <t>27/10/2023</t>
  </si>
  <si>
    <t>21/02/2023</t>
  </si>
  <si>
    <t>26/02/2023</t>
  </si>
  <si>
    <t>13/01/2023</t>
  </si>
  <si>
    <t>13/10/2023</t>
  </si>
  <si>
    <t>28/01/2023</t>
  </si>
  <si>
    <t>13/09/2023</t>
  </si>
  <si>
    <t>27/02/2023</t>
  </si>
  <si>
    <t>22/05/2023</t>
  </si>
  <si>
    <t>31/08/2023</t>
  </si>
  <si>
    <t>30/09/2023</t>
  </si>
  <si>
    <t>16/02/2023</t>
  </si>
  <si>
    <t>19/08/2023</t>
  </si>
  <si>
    <t>29/10/2023</t>
  </si>
  <si>
    <t>28/05/2023</t>
  </si>
  <si>
    <t>14/12/2023</t>
  </si>
  <si>
    <t>26/09/2023</t>
  </si>
  <si>
    <t>20/09/2023</t>
  </si>
  <si>
    <t>23/08/2023</t>
  </si>
  <si>
    <t>14/05/2023</t>
  </si>
  <si>
    <t>21/12/2023</t>
  </si>
  <si>
    <t>Count of Quantity</t>
  </si>
  <si>
    <t>Order_Status2</t>
  </si>
  <si>
    <t xml:space="preserve"> </t>
  </si>
  <si>
    <t xml:space="preserve">  </t>
  </si>
  <si>
    <t>.</t>
  </si>
  <si>
    <t xml:space="preserve">. </t>
  </si>
  <si>
    <t>Key Insights</t>
  </si>
  <si>
    <t>Region2</t>
  </si>
  <si>
    <t>Recommendation</t>
  </si>
  <si>
    <r>
      <t xml:space="preserve">Increase marketing efforts for underperforming categories while improving </t>
    </r>
    <r>
      <rPr>
        <b/>
        <sz val="11"/>
        <color theme="1"/>
        <rFont val="Calibri"/>
        <family val="2"/>
        <scheme val="minor"/>
      </rPr>
      <t>AOV</t>
    </r>
    <r>
      <rPr>
        <sz val="11"/>
        <color theme="1"/>
        <rFont val="Calibri"/>
        <family val="2"/>
        <scheme val="minor"/>
      </rPr>
      <t xml:space="preserve"> through upselling strategies.</t>
    </r>
  </si>
  <si>
    <r>
      <t xml:space="preserve">Sales </t>
    </r>
    <r>
      <rPr>
        <sz val="11"/>
        <color rgb="FFFF0000"/>
        <rFont val="Calibri"/>
        <family val="2"/>
        <scheme val="minor"/>
      </rPr>
      <t>declined</t>
    </r>
    <r>
      <rPr>
        <sz val="11"/>
        <color theme="1"/>
        <rFont val="Calibri"/>
        <family val="2"/>
        <scheme val="minor"/>
      </rPr>
      <t xml:space="preserve"> across all regions and categories compared to last month.</t>
    </r>
  </si>
  <si>
    <t>x</t>
  </si>
  <si>
    <r>
      <t xml:space="preserve">Electronics leads revenue contribution, while Home &amp; Kitchen, Clothing, and Beauty categories </t>
    </r>
    <r>
      <rPr>
        <b/>
        <sz val="11"/>
        <color theme="1"/>
        <rFont val="Calibri"/>
        <family val="2"/>
        <scheme val="minor"/>
      </rPr>
      <t>underperform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</si>
</sst>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[$₹-4009]\ * #,##0.00_ ;_ [$₹-4009]\ * \-#,##0.00_ ;_ [$₹-4009]\ * &quot;-&quot;??_ ;_ @_ "/>
    <numFmt numFmtId="165" formatCode="_ [$₹-457]\ * #,##0.00_ ;_ [$₹-457]\ * \-#,##0.00_ ;_ [$₹-457]\ * &quot;-&quot;??_ ;_ @_ "/>
    <numFmt numFmtId="166" formatCode="yyyy\-mm\-dd;@"/>
    <numFmt numFmtId="167" formatCode="_ [$₹-449]\ * #,##0.00_ ;_ [$₹-449]\ * \-#,##0.00_ ;_ [$₹-449]\ * &quot;-&quot;??_ ;_ @_ "/>
    <numFmt numFmtId="168" formatCode="_([$€-2]\ * #,##0.00_);_([$€-2]\ * \(#,##0.00\);_([$€-2]\ 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4"/>
      <color theme="0" tint="-4.9989318521683403E-2"/>
      <name val="Calibri"/>
      <family val="2"/>
      <scheme val="minor"/>
    </font>
    <font>
      <sz val="11"/>
      <color rgb="FF00B05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9FB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33" borderId="0" xfId="0" applyFill="1"/>
    <xf numFmtId="168" fontId="0" fillId="33" borderId="0" xfId="0" applyNumberFormat="1" applyFill="1"/>
    <xf numFmtId="0" fontId="21" fillId="34" borderId="0" xfId="0" applyFont="1" applyFill="1" applyAlignment="1">
      <alignment horizontal="centerContinuous" vertical="center"/>
    </xf>
    <xf numFmtId="0" fontId="19" fillId="34" borderId="0" xfId="0" applyFont="1" applyFill="1" applyAlignment="1">
      <alignment horizontal="centerContinuous" vertical="center"/>
    </xf>
    <xf numFmtId="0" fontId="20" fillId="34" borderId="0" xfId="0" applyFont="1" applyFill="1" applyAlignment="1">
      <alignment horizontal="centerContinuous" vertical="center"/>
    </xf>
    <xf numFmtId="167" fontId="22" fillId="34" borderId="0" xfId="0" applyNumberFormat="1" applyFont="1" applyFill="1" applyAlignment="1">
      <alignment horizontal="centerContinuous" vertical="center"/>
    </xf>
    <xf numFmtId="10" fontId="22" fillId="34" borderId="0" xfId="0" applyNumberFormat="1" applyFont="1" applyFill="1" applyAlignment="1">
      <alignment horizontal="centerContinuous" vertical="center"/>
    </xf>
    <xf numFmtId="165" fontId="22" fillId="34" borderId="0" xfId="0" applyNumberFormat="1" applyFont="1" applyFill="1" applyAlignment="1">
      <alignment horizontal="centerContinuous" vertical="center"/>
    </xf>
    <xf numFmtId="0" fontId="23" fillId="0" borderId="0" xfId="0" applyFont="1"/>
    <xf numFmtId="0" fontId="16" fillId="0" borderId="0" xfId="0" applyFont="1"/>
    <xf numFmtId="0" fontId="0" fillId="34" borderId="0" xfId="0" applyFill="1" applyAlignment="1">
      <alignment horizontal="centerContinuous" vertical="center"/>
    </xf>
    <xf numFmtId="0" fontId="0" fillId="34" borderId="0" xfId="0" applyFill="1" applyAlignment="1">
      <alignment horizontal="centerContinuous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8F9FB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analysis1.xlsx]Pivot_analysis!PivotTable5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>
                <a:solidFill>
                  <a:schemeClr val="accent1"/>
                </a:solidFill>
              </a:rPr>
              <a:t> Revenue by Product category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7.9834689807048706E-2"/>
          <c:y val="4.1152038991312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213558771130149"/>
          <c:y val="0.21743037120785741"/>
          <c:w val="0.71015777855600615"/>
          <c:h val="0.67517019356955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BDD-45B3-B4B3-083B1E675A4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DD-45B3-B4B3-083B1E675A4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FFB-45A8-98AD-607366AC29C6}"/>
              </c:ext>
            </c:extLst>
          </c:dPt>
          <c:cat>
            <c:strRef>
              <c:f>Pivot_analysis!$D$12:$D$16</c:f>
              <c:strCache>
                <c:ptCount val="4"/>
                <c:pt idx="0">
                  <c:v>Electronics</c:v>
                </c:pt>
                <c:pt idx="1">
                  <c:v>Home &amp; Kitchen</c:v>
                </c:pt>
                <c:pt idx="2">
                  <c:v>Clothing</c:v>
                </c:pt>
                <c:pt idx="3">
                  <c:v>Beauty</c:v>
                </c:pt>
              </c:strCache>
            </c:strRef>
          </c:cat>
          <c:val>
            <c:numRef>
              <c:f>Pivot_analysis!$E$12:$E$16</c:f>
              <c:numCache>
                <c:formatCode>General</c:formatCode>
                <c:ptCount val="4"/>
                <c:pt idx="0">
                  <c:v>4416722.3</c:v>
                </c:pt>
                <c:pt idx="1">
                  <c:v>3945121.0000000009</c:v>
                </c:pt>
                <c:pt idx="2">
                  <c:v>1409968.2</c:v>
                </c:pt>
                <c:pt idx="3">
                  <c:v>593398.99999999988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D-45B3-B4B3-083B1E675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008607"/>
        <c:axId val="2122009087"/>
      </c:barChart>
      <c:catAx>
        <c:axId val="212200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09087"/>
        <c:crosses val="autoZero"/>
        <c:auto val="1"/>
        <c:lblAlgn val="ctr"/>
        <c:lblOffset val="90"/>
        <c:tickLblSkip val="1"/>
        <c:noMultiLvlLbl val="0"/>
      </c:catAx>
      <c:valAx>
        <c:axId val="21220090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₹-457]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7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0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analysis1.xlsx]Pivot_analysis!PivotTable4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accent1"/>
                </a:solidFill>
              </a:rPr>
              <a:t>Montly</a:t>
            </a:r>
            <a:r>
              <a:rPr lang="en-US" sz="1100" baseline="0">
                <a:solidFill>
                  <a:schemeClr val="accent1"/>
                </a:solidFill>
              </a:rPr>
              <a:t> sales trend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4.3802326455240827E-2"/>
          <c:y val="3.2407519211535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06596408055421"/>
          <c:y val="0.19484849105583257"/>
          <c:w val="0.69508573928258965"/>
          <c:h val="0.67764690871974331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none"/>
            </a:ln>
            <a:effectLst/>
          </c:spPr>
          <c:marker>
            <c:symbol val="none"/>
          </c:marker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  <a:head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D9-40C5-928C-545DFA21BE2D}"/>
              </c:ext>
            </c:extLst>
          </c:dPt>
          <c:cat>
            <c:strRef>
              <c:f>Pivot_analysis!$A$12:$A$24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Pivot_analysis!$B$12:$B$24</c:f>
              <c:numCache>
                <c:formatCode>General</c:formatCode>
                <c:ptCount val="12"/>
                <c:pt idx="0">
                  <c:v>687524.95</c:v>
                </c:pt>
                <c:pt idx="1">
                  <c:v>1622617.7000000004</c:v>
                </c:pt>
                <c:pt idx="2">
                  <c:v>922868.04999999993</c:v>
                </c:pt>
                <c:pt idx="3">
                  <c:v>740852.29999999993</c:v>
                </c:pt>
                <c:pt idx="4">
                  <c:v>1031166</c:v>
                </c:pt>
                <c:pt idx="5">
                  <c:v>651685.19999999995</c:v>
                </c:pt>
                <c:pt idx="6">
                  <c:v>854771.5</c:v>
                </c:pt>
                <c:pt idx="7">
                  <c:v>501159.95</c:v>
                </c:pt>
                <c:pt idx="8">
                  <c:v>1195860.55</c:v>
                </c:pt>
                <c:pt idx="9">
                  <c:v>971824.35</c:v>
                </c:pt>
                <c:pt idx="10">
                  <c:v>1510730.25</c:v>
                </c:pt>
                <c:pt idx="11">
                  <c:v>1154317.7000000004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9-40C5-928C-545DFA21B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585983"/>
        <c:axId val="654569663"/>
      </c:lineChart>
      <c:catAx>
        <c:axId val="65458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569663"/>
        <c:crosses val="autoZero"/>
        <c:auto val="1"/>
        <c:lblAlgn val="ctr"/>
        <c:lblOffset val="100"/>
        <c:noMultiLvlLbl val="0"/>
      </c:catAx>
      <c:valAx>
        <c:axId val="65456966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₹-457]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58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analysis1.xlsx]Pivot_analysis!PivotTable6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>
                <a:solidFill>
                  <a:schemeClr val="accent1"/>
                </a:solidFill>
              </a:rPr>
              <a:t>Revenue by region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6.3741762469046073E-2"/>
          <c:y val="3.308926195350937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78526874284604"/>
          <c:y val="0.18143195215352179"/>
          <c:w val="0.7231227034120735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Pivot_analysis!$G$28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Pivot_analysis!$F$29:$F$33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Pivot_analysis!$G$29:$G$33</c:f>
              <c:numCache>
                <c:formatCode>General</c:formatCode>
                <c:ptCount val="4"/>
                <c:pt idx="0">
                  <c:v>2003394.5999999999</c:v>
                </c:pt>
                <c:pt idx="1">
                  <c:v>2514678.15</c:v>
                </c:pt>
                <c:pt idx="2">
                  <c:v>2605090.9999999995</c:v>
                </c:pt>
                <c:pt idx="3">
                  <c:v>3242046.7500000009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8-4997-AACD-06088A6C0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6477600"/>
        <c:axId val="466478080"/>
      </c:barChart>
      <c:catAx>
        <c:axId val="46647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78080"/>
        <c:crosses val="autoZero"/>
        <c:auto val="1"/>
        <c:lblAlgn val="ctr"/>
        <c:lblOffset val="100"/>
        <c:noMultiLvlLbl val="0"/>
      </c:catAx>
      <c:valAx>
        <c:axId val="46647808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₹-457]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  <a:alpha val="96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7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accent1"/>
                </a:solidFill>
              </a:rPr>
              <a:t>Sales</a:t>
            </a:r>
            <a:r>
              <a:rPr lang="en-US" sz="1100" baseline="0">
                <a:solidFill>
                  <a:schemeClr val="accent1"/>
                </a:solidFill>
              </a:rPr>
              <a:t> by region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5.8557756703546425E-2"/>
          <c:y val="5.0219808683864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99904676094592"/>
              <c:y val="0.15201351424559503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120956895313459"/>
              <c:y val="-0.15784335164046476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77226727256108"/>
              <c:y val="-0.12777795132799527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710424256669409"/>
              <c:y val="0.16283962075015609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99904676094592"/>
              <c:y val="0.15201351424559503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120956895313459"/>
              <c:y val="-0.15784335164046476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77226727256108"/>
              <c:y val="-0.12777795132799527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710424256669409"/>
              <c:y val="0.16283962075015609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631864282672665"/>
          <c:y val="0.18585634232212916"/>
          <c:w val="0.79916987625235514"/>
          <c:h val="0.67546337620001284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65-403E-9554-98973D33B32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65-403E-9554-98973D33B32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65-403E-9554-98973D33B32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65-403E-9554-98973D33B329}"/>
              </c:ext>
            </c:extLst>
          </c:dPt>
          <c:cat>
            <c:strLit>
              <c:ptCount val="4"/>
              <c:pt idx="0">
                <c:v>South</c:v>
              </c:pt>
              <c:pt idx="1">
                <c:v>West</c:v>
              </c:pt>
              <c:pt idx="2">
                <c:v>North</c:v>
              </c:pt>
              <c:pt idx="3">
                <c:v>East</c:v>
              </c:pt>
            </c:strLit>
          </c:cat>
          <c:val>
            <c:numLit>
              <c:formatCode>General</c:formatCode>
              <c:ptCount val="4"/>
              <c:pt idx="0">
                <c:v>641</c:v>
              </c:pt>
              <c:pt idx="1">
                <c:v>798</c:v>
              </c:pt>
              <c:pt idx="2">
                <c:v>873</c:v>
              </c:pt>
              <c:pt idx="3">
                <c:v>921</c:v>
              </c:pt>
            </c:numLit>
          </c:val>
          <c:extLst>
            <c:ext xmlns:c16="http://schemas.microsoft.com/office/drawing/2014/chart" uri="{C3380CC4-5D6E-409C-BE32-E72D297353CC}">
              <c16:uniqueId val="{00000008-D665-403E-9554-98973D33B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08154336"/>
        <c:axId val="2108158176"/>
      </c:barChart>
      <c:valAx>
        <c:axId val="21081581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54336"/>
        <c:crosses val="autoZero"/>
        <c:crossBetween val="between"/>
      </c:valAx>
      <c:catAx>
        <c:axId val="2108154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58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analysis1.xlsx]Pivot_analysis!PivotTable4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accent1"/>
                </a:solidFill>
              </a:rPr>
              <a:t>Revenue</a:t>
            </a:r>
            <a:r>
              <a:rPr lang="en-US" sz="1100" baseline="0">
                <a:solidFill>
                  <a:schemeClr val="accent1"/>
                </a:solidFill>
              </a:rPr>
              <a:t> droped </a:t>
            </a:r>
            <a:r>
              <a:rPr lang="en-US" sz="1100" baseline="0">
                <a:solidFill>
                  <a:srgbClr val="FF0000"/>
                </a:solidFill>
              </a:rPr>
              <a:t>22.02% </a:t>
            </a:r>
            <a:r>
              <a:rPr lang="en-US" sz="1100" baseline="0">
                <a:solidFill>
                  <a:schemeClr val="accent1"/>
                </a:solidFill>
              </a:rPr>
              <a:t>MOM   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4.3802326455240827E-2"/>
          <c:y val="3.2407519211535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bg1">
                <a:lumMod val="95000"/>
              </a:schemeClr>
            </a:solidFill>
            <a:round/>
            <a:headEnd type="non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F0000"/>
            </a:solidFill>
            <a:round/>
            <a:headEnd type="none"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bg1">
                <a:lumMod val="95000"/>
              </a:schemeClr>
            </a:solidFill>
            <a:round/>
            <a:headEnd type="none"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2206590223967362"/>
          <c:y val="0.19484832838518137"/>
          <c:w val="0.69508573928258965"/>
          <c:h val="0.67764690871974331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>
                  <a:lumMod val="95000"/>
                </a:schemeClr>
              </a:solidFill>
              <a:round/>
              <a:headEnd type="none"/>
            </a:ln>
            <a:effectLst/>
          </c:spPr>
          <c:marker>
            <c:symbol val="none"/>
          </c:marker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  <a:head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F6-4A60-BA13-9A3B1311EAA8}"/>
              </c:ext>
            </c:extLst>
          </c:dPt>
          <c:cat>
            <c:strRef>
              <c:f>Pivot_analysis!$A$12:$A$24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Pivot_analysis!$B$12:$B$24</c:f>
              <c:numCache>
                <c:formatCode>General</c:formatCode>
                <c:ptCount val="12"/>
                <c:pt idx="0">
                  <c:v>687524.95</c:v>
                </c:pt>
                <c:pt idx="1">
                  <c:v>1622617.7000000004</c:v>
                </c:pt>
                <c:pt idx="2">
                  <c:v>922868.04999999993</c:v>
                </c:pt>
                <c:pt idx="3">
                  <c:v>740852.29999999993</c:v>
                </c:pt>
                <c:pt idx="4">
                  <c:v>1031166</c:v>
                </c:pt>
                <c:pt idx="5">
                  <c:v>651685.19999999995</c:v>
                </c:pt>
                <c:pt idx="6">
                  <c:v>854771.5</c:v>
                </c:pt>
                <c:pt idx="7">
                  <c:v>501159.95</c:v>
                </c:pt>
                <c:pt idx="8">
                  <c:v>1195860.55</c:v>
                </c:pt>
                <c:pt idx="9">
                  <c:v>971824.35</c:v>
                </c:pt>
                <c:pt idx="10">
                  <c:v>1510730.25</c:v>
                </c:pt>
                <c:pt idx="11">
                  <c:v>1154317.7000000004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F6-4A60-BA13-9A3B1311E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585983"/>
        <c:axId val="654569663"/>
      </c:lineChart>
      <c:catAx>
        <c:axId val="65458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569663"/>
        <c:crosses val="autoZero"/>
        <c:auto val="1"/>
        <c:lblAlgn val="ctr"/>
        <c:lblOffset val="100"/>
        <c:noMultiLvlLbl val="0"/>
      </c:catAx>
      <c:valAx>
        <c:axId val="65456966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₹-457]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58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analysis1.xlsx]Pivot_analysis!PivotTable5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>
                <a:solidFill>
                  <a:schemeClr val="accent1"/>
                </a:solidFill>
              </a:rPr>
              <a:t> Electronics category leads in revenue 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7.9834689807048706E-2"/>
          <c:y val="4.1152038991312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213558771130149"/>
          <c:y val="0.21743037120785741"/>
          <c:w val="0.71015777855600615"/>
          <c:h val="0.67517019356955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0BCA-40EA-B5DF-9470BE05B726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CA-40EA-B5DF-9470BE05B726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CA-40EA-B5DF-9470BE05B726}"/>
              </c:ext>
            </c:extLst>
          </c:dPt>
          <c:cat>
            <c:strRef>
              <c:f>Pivot_analysis!$D$12:$D$16</c:f>
              <c:strCache>
                <c:ptCount val="4"/>
                <c:pt idx="0">
                  <c:v>Electronics</c:v>
                </c:pt>
                <c:pt idx="1">
                  <c:v>Home &amp; Kitchen</c:v>
                </c:pt>
                <c:pt idx="2">
                  <c:v>Clothing</c:v>
                </c:pt>
                <c:pt idx="3">
                  <c:v>Beauty</c:v>
                </c:pt>
              </c:strCache>
            </c:strRef>
          </c:cat>
          <c:val>
            <c:numRef>
              <c:f>Pivot_analysis!$E$12:$E$16</c:f>
              <c:numCache>
                <c:formatCode>General</c:formatCode>
                <c:ptCount val="4"/>
                <c:pt idx="0">
                  <c:v>4416722.3</c:v>
                </c:pt>
                <c:pt idx="1">
                  <c:v>3945121.0000000009</c:v>
                </c:pt>
                <c:pt idx="2">
                  <c:v>1409968.2</c:v>
                </c:pt>
                <c:pt idx="3">
                  <c:v>593398.99999999988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CA-40EA-B5DF-9470BE05B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008607"/>
        <c:axId val="2122009087"/>
      </c:barChart>
      <c:catAx>
        <c:axId val="212200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09087"/>
        <c:crosses val="autoZero"/>
        <c:auto val="1"/>
        <c:lblAlgn val="ctr"/>
        <c:lblOffset val="100"/>
        <c:noMultiLvlLbl val="0"/>
      </c:catAx>
      <c:valAx>
        <c:axId val="21220090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₹-457]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7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0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195554</xdr:colOff>
      <xdr:row>12</xdr:row>
      <xdr:rowOff>181365</xdr:rowOff>
    </xdr:from>
    <xdr:to>
      <xdr:col>6</xdr:col>
      <xdr:colOff>102726</xdr:colOff>
      <xdr:row>24</xdr:row>
      <xdr:rowOff>67873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CECB75-71DA-413D-AC04-1FA9FF551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519921</xdr:colOff>
      <xdr:row>13</xdr:row>
      <xdr:rowOff>5630</xdr:rowOff>
    </xdr:from>
    <xdr:to>
      <xdr:col>11</xdr:col>
      <xdr:colOff>510395</xdr:colOff>
      <xdr:row>24</xdr:row>
      <xdr:rowOff>58122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257381-7865-4AED-A1BA-4D098B331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174321</xdr:colOff>
      <xdr:row>26</xdr:row>
      <xdr:rowOff>49563</xdr:rowOff>
    </xdr:from>
    <xdr:to>
      <xdr:col>6</xdr:col>
      <xdr:colOff>152400</xdr:colOff>
      <xdr:row>37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2F199-8510-4B75-B9C7-86FFC745A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358756</xdr:colOff>
      <xdr:row>5</xdr:row>
      <xdr:rowOff>139268</xdr:rowOff>
    </xdr:from>
    <xdr:to>
      <xdr:col>2</xdr:col>
      <xdr:colOff>1191402</xdr:colOff>
      <xdr:row>10</xdr:row>
      <xdr:rowOff>25475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3E43B4E-293D-9C1A-7D98-67C75E673336}"/>
            </a:ext>
          </a:extLst>
        </xdr:cNvPr>
        <xdr:cNvSpPr/>
      </xdr:nvSpPr>
      <xdr:spPr>
        <a:xfrm>
          <a:off x="968356" y="1148918"/>
          <a:ext cx="1442246" cy="838707"/>
        </a:xfrm>
        <a:prstGeom prst="roundRect">
          <a:avLst>
            <a:gd name="adj" fmla="val 1325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      Total Sales</a:t>
          </a:r>
        </a:p>
        <a:p>
          <a:pPr algn="ctr"/>
          <a:r>
            <a:rPr lang="en-US" sz="1100" baseline="0"/>
            <a:t>                                                  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</a:t>
          </a:r>
          <a:r>
            <a:rPr lang="en-US" sz="1400"/>
            <a:t>10,365,210.50</a:t>
          </a:r>
        </a:p>
      </xdr:txBody>
    </xdr:sp>
    <xdr:clientData/>
  </xdr:twoCellAnchor>
  <xdr:twoCellAnchor>
    <xdr:from>
      <xdr:col>4</xdr:col>
      <xdr:colOff>431235</xdr:colOff>
      <xdr:row>5</xdr:row>
      <xdr:rowOff>131313</xdr:rowOff>
    </xdr:from>
    <xdr:to>
      <xdr:col>6</xdr:col>
      <xdr:colOff>697853</xdr:colOff>
      <xdr:row>10</xdr:row>
      <xdr:rowOff>29158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9DF3AC3D-B988-6E12-FA40-F2D346C11C21}"/>
            </a:ext>
          </a:extLst>
        </xdr:cNvPr>
        <xdr:cNvGrpSpPr/>
      </xdr:nvGrpSpPr>
      <xdr:grpSpPr>
        <a:xfrm>
          <a:off x="3688170" y="1350103"/>
          <a:ext cx="1495651" cy="870829"/>
          <a:chOff x="3688170" y="1350103"/>
          <a:chExt cx="1495651" cy="870829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04C22EF5-A6DB-4C12-9DAB-82BF479421B8}"/>
              </a:ext>
            </a:extLst>
          </xdr:cNvPr>
          <xdr:cNvSpPr/>
        </xdr:nvSpPr>
        <xdr:spPr>
          <a:xfrm>
            <a:off x="3688170" y="1350103"/>
            <a:ext cx="1495651" cy="870829"/>
          </a:xfrm>
          <a:prstGeom prst="roundRect">
            <a:avLst>
              <a:gd name="adj" fmla="val 13258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/>
              <a:t>MOM</a:t>
            </a:r>
          </a:p>
          <a:p>
            <a:pPr algn="ctr"/>
            <a:r>
              <a:rPr lang="en-US" sz="1100" baseline="0"/>
              <a:t>                                                  </a:t>
            </a:r>
            <a:r>
              <a:rPr lang="en-US" sz="1400" baseline="0">
                <a:solidFill>
                  <a:srgbClr val="FF0000"/>
                </a:solidFill>
              </a:rPr>
              <a:t>-22.02%</a:t>
            </a:r>
            <a:endParaRPr lang="en-US" sz="1400">
              <a:solidFill>
                <a:srgbClr val="FF0000"/>
              </a:solidFill>
            </a:endParaRPr>
          </a:p>
        </xdr:txBody>
      </xdr:sp>
      <xdr:sp macro="" textlink="">
        <xdr:nvSpPr>
          <xdr:cNvPr id="8" name="Arrow: Right 7">
            <a:extLst>
              <a:ext uri="{FF2B5EF4-FFF2-40B4-BE49-F238E27FC236}">
                <a16:creationId xmlns:a16="http://schemas.microsoft.com/office/drawing/2014/main" id="{16CF65ED-2747-707B-C57E-911E7DAE52F8}"/>
              </a:ext>
            </a:extLst>
          </xdr:cNvPr>
          <xdr:cNvSpPr/>
        </xdr:nvSpPr>
        <xdr:spPr>
          <a:xfrm rot="5400000">
            <a:off x="3976406" y="1876920"/>
            <a:ext cx="123011" cy="56272"/>
          </a:xfrm>
          <a:prstGeom prst="rightArrow">
            <a:avLst/>
          </a:prstGeom>
          <a:solidFill>
            <a:srgbClr val="FF33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501131</xdr:colOff>
      <xdr:row>5</xdr:row>
      <xdr:rowOff>116244</xdr:rowOff>
    </xdr:from>
    <xdr:to>
      <xdr:col>10</xdr:col>
      <xdr:colOff>316463</xdr:colOff>
      <xdr:row>10</xdr:row>
      <xdr:rowOff>9041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2E009D8-D90A-4812-917F-02B201597DBB}"/>
            </a:ext>
          </a:extLst>
        </xdr:cNvPr>
        <xdr:cNvSpPr/>
      </xdr:nvSpPr>
      <xdr:spPr>
        <a:xfrm>
          <a:off x="6273281" y="1125894"/>
          <a:ext cx="1491732" cy="845297"/>
        </a:xfrm>
        <a:prstGeom prst="roundRect">
          <a:avLst>
            <a:gd name="adj" fmla="val 1325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            AOV</a:t>
          </a:r>
        </a:p>
        <a:p>
          <a:pPr algn="ctr"/>
          <a:r>
            <a:rPr lang="en-US" sz="1100" baseline="0"/>
            <a:t>                                                  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</a:t>
          </a:r>
          <a:r>
            <a:rPr lang="en-US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400" baseline="0">
              <a:solidFill>
                <a:schemeClr val="tx1"/>
              </a:solidFill>
            </a:rPr>
            <a:t>,206.06</a:t>
          </a:r>
        </a:p>
      </xdr:txBody>
    </xdr:sp>
    <xdr:clientData/>
  </xdr:twoCellAnchor>
  <xdr:twoCellAnchor>
    <xdr:from>
      <xdr:col>6</xdr:col>
      <xdr:colOff>513075</xdr:colOff>
      <xdr:row>26</xdr:row>
      <xdr:rowOff>32076</xdr:rowOff>
    </xdr:from>
    <xdr:to>
      <xdr:col>11</xdr:col>
      <xdr:colOff>464641</xdr:colOff>
      <xdr:row>37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B7E7D0-0004-4A63-8446-F68EFC91E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3</xdr:col>
      <xdr:colOff>209551</xdr:colOff>
      <xdr:row>0</xdr:row>
      <xdr:rowOff>202385</xdr:rowOff>
    </xdr:from>
    <xdr:ext cx="3933824" cy="37414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E94E91C-19CB-B199-823B-F4F1B1CD238C}"/>
            </a:ext>
          </a:extLst>
        </xdr:cNvPr>
        <xdr:cNvSpPr txBox="1"/>
      </xdr:nvSpPr>
      <xdr:spPr>
        <a:xfrm>
          <a:off x="2838451" y="202385"/>
          <a:ext cx="393382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800" b="1"/>
            <a:t> </a:t>
          </a:r>
          <a:r>
            <a:rPr lang="en-US" sz="1800" b="1">
              <a:solidFill>
                <a:schemeClr val="bg1"/>
              </a:solidFill>
            </a:rPr>
            <a:t>Sales Performance Dashboard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4</xdr:row>
      <xdr:rowOff>95250</xdr:rowOff>
    </xdr:from>
    <xdr:to>
      <xdr:col>6</xdr:col>
      <xdr:colOff>257174</xdr:colOff>
      <xdr:row>15</xdr:row>
      <xdr:rowOff>147742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2C540-74FC-43B3-8BD2-C8E075847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4</xdr:row>
      <xdr:rowOff>19050</xdr:rowOff>
    </xdr:from>
    <xdr:to>
      <xdr:col>13</xdr:col>
      <xdr:colOff>592972</xdr:colOff>
      <xdr:row>15</xdr:row>
      <xdr:rowOff>96058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054590-C36E-4FB7-BB34-A548CD8B2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9525</xdr:colOff>
      <xdr:row>0</xdr:row>
      <xdr:rowOff>85725</xdr:rowOff>
    </xdr:from>
    <xdr:ext cx="2895600" cy="381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55C7EF5-FD3D-C52F-78CC-4651917D8E84}"/>
            </a:ext>
          </a:extLst>
        </xdr:cNvPr>
        <xdr:cNvSpPr txBox="1"/>
      </xdr:nvSpPr>
      <xdr:spPr>
        <a:xfrm>
          <a:off x="4276725" y="85725"/>
          <a:ext cx="2895600" cy="381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 b="1">
              <a:solidFill>
                <a:schemeClr val="bg1"/>
              </a:solidFill>
            </a:rPr>
            <a:t>Key Business Insights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le g" refreshedDate="46107.741272916668" createdVersion="8" refreshedVersion="8" minRefreshableVersion="3" recordCount="1002" xr:uid="{E386C9D8-7356-47C8-825E-7598C3F17854}">
  <cacheSource type="worksheet">
    <worksheetSource ref="A1:S1048576" sheet="Cleaned_data"/>
  </cacheSource>
  <cacheFields count="19">
    <cacheField name="Order_ID" numFmtId="0">
      <sharedItems containsBlank="1"/>
    </cacheField>
    <cacheField name="Order_Date" numFmtId="0">
      <sharedItems containsDate="1" containsBlank="1" containsMixedTypes="1" minDate="2023-01-01T00:00:00" maxDate="2024-01-01T00:00:00"/>
    </cacheField>
    <cacheField name="Customer_Name" numFmtId="0">
      <sharedItems containsBlank="1"/>
    </cacheField>
    <cacheField name="Customer_Age" numFmtId="0">
      <sharedItems containsString="0" containsBlank="1" containsNumber="1" containsInteger="1" minValue="5" maxValue="999"/>
    </cacheField>
    <cacheField name="Gender" numFmtId="0">
      <sharedItems containsBlank="1"/>
    </cacheField>
    <cacheField name="Product_Category" numFmtId="0">
      <sharedItems containsBlank="1"/>
    </cacheField>
    <cacheField name="Product_Name" numFmtId="0">
      <sharedItems containsBlank="1"/>
    </cacheField>
    <cacheField name="Quantity" numFmtId="0">
      <sharedItems containsString="0" containsBlank="1" containsNumber="1" containsInteger="1" minValue="-1" maxValue="99"/>
    </cacheField>
    <cacheField name="Price" numFmtId="0">
      <sharedItems containsString="0" containsBlank="1" containsNumber="1" containsInteger="1" minValue="2" maxValue="781586"/>
    </cacheField>
    <cacheField name="Discount_%" numFmtId="0">
      <sharedItems containsString="0" containsBlank="1" containsNumber="1" containsInteger="1" minValue="-10" maxValue="110" count="15">
        <n v="0"/>
        <n v="40"/>
        <n v="10"/>
        <n v="-10"/>
        <n v="5"/>
        <n v="15"/>
        <n v="25"/>
        <n v="20"/>
        <n v="50"/>
        <n v="110"/>
        <n v="30"/>
        <n v="75"/>
        <n v="80"/>
        <m/>
        <n v="-5"/>
      </sharedItems>
    </cacheField>
    <cacheField name="Payment_Method" numFmtId="0">
      <sharedItems containsBlank="1"/>
    </cacheField>
    <cacheField name="Order_Status" numFmtId="0">
      <sharedItems containsBlank="1" count="10">
        <s v="Delivered"/>
        <s v="returned"/>
        <s v="Cancelled"/>
        <s v="Delvered"/>
        <s v="Returnd"/>
        <s v="Deliverd"/>
        <s v="Retruned"/>
        <s v="Cancled"/>
        <s v="Cancalled"/>
        <m/>
      </sharedItems>
    </cacheField>
    <cacheField name="Order_Status2" numFmtId="0">
      <sharedItems containsBlank="1" count="4">
        <s v="Delivered"/>
        <s v="Returned"/>
        <s v="Cancelled"/>
        <m/>
      </sharedItems>
    </cacheField>
    <cacheField name="Total_Sales" numFmtId="0">
      <sharedItems containsBlank="1" containsMixedTypes="1" containsNumber="1" minValue="-25800" maxValue="713464"/>
    </cacheField>
    <cacheField name="Region" numFmtId="0">
      <sharedItems containsBlank="1" count="17">
        <s v="West"/>
        <s v="North"/>
        <s v="East"/>
        <s v="South"/>
        <s v="Nort"/>
        <s v="S"/>
        <s v="E"/>
        <s v="Soouth"/>
        <s v="Wst"/>
        <s v="Sout"/>
        <s v="Est"/>
        <s v="Eastt"/>
        <s v="Norht"/>
        <s v="W"/>
        <s v="N"/>
        <s v="Westt"/>
        <m/>
      </sharedItems>
    </cacheField>
    <cacheField name="Column1" numFmtId="0">
      <sharedItems containsBlank="1" count="5">
        <s v="West"/>
        <s v="North"/>
        <s v="East"/>
        <s v="South"/>
        <m/>
      </sharedItems>
    </cacheField>
    <cacheField name="Category" numFmtId="0">
      <sharedItems containsBlank="1" count="5">
        <s v="Electronics"/>
        <s v="Clothing"/>
        <s v="Beauty"/>
        <s v="Home &amp; Kitchen"/>
        <m/>
      </sharedItems>
    </cacheField>
    <cacheField name="Gender.1" numFmtId="0">
      <sharedItems containsBlank="1"/>
    </cacheField>
    <cacheField name="Month" numFmtId="0">
      <sharedItems containsBlank="1" count="14">
        <s v="Sep"/>
        <s v="Nov"/>
        <s v="Null"/>
        <s v="Jun"/>
        <s v="Dec"/>
        <s v="Aug"/>
        <s v="Oct"/>
        <s v="Mar"/>
        <s v="May"/>
        <s v="Jan"/>
        <s v="Jul"/>
        <s v="Apr"/>
        <s v="Feb"/>
        <m/>
      </sharedItems>
    </cacheField>
  </cacheFields>
  <extLst>
    <ext xmlns:x14="http://schemas.microsoft.com/office/spreadsheetml/2009/9/main" uri="{725AE2AE-9491-48be-B2B4-4EB974FC3084}">
      <x14:pivotCacheDefinition pivotCacheId="52931499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le g" refreshedDate="46109.991764236111" createdVersion="8" refreshedVersion="8" minRefreshableVersion="3" recordCount="1001" xr:uid="{0AF851D0-ED49-42D3-812F-A9C0DCA8F627}">
  <cacheSource type="worksheet">
    <worksheetSource ref="C1:S1048576" sheet="Cleaned_data"/>
  </cacheSource>
  <cacheFields count="17">
    <cacheField name="Customer_Name" numFmtId="0">
      <sharedItems containsBlank="1"/>
    </cacheField>
    <cacheField name="Customer_Age" numFmtId="0">
      <sharedItems containsString="0" containsBlank="1" containsNumber="1" containsInteger="1" minValue="5" maxValue="999"/>
    </cacheField>
    <cacheField name="Gender" numFmtId="0">
      <sharedItems containsBlank="1"/>
    </cacheField>
    <cacheField name="Product_Category" numFmtId="0">
      <sharedItems containsBlank="1"/>
    </cacheField>
    <cacheField name="Product_Name" numFmtId="0">
      <sharedItems containsBlank="1"/>
    </cacheField>
    <cacheField name="Quantity" numFmtId="0">
      <sharedItems containsString="0" containsBlank="1" containsNumber="1" containsInteger="1" minValue="-1" maxValue="99"/>
    </cacheField>
    <cacheField name="Price" numFmtId="0">
      <sharedItems containsString="0" containsBlank="1" containsNumber="1" containsInteger="1" minValue="2" maxValue="781586"/>
    </cacheField>
    <cacheField name="Discount_%" numFmtId="0">
      <sharedItems containsString="0" containsBlank="1" containsNumber="1" containsInteger="1" minValue="-10" maxValue="110"/>
    </cacheField>
    <cacheField name="Payment_Method" numFmtId="0">
      <sharedItems containsBlank="1"/>
    </cacheField>
    <cacheField name="Order_Status" numFmtId="0">
      <sharedItems containsBlank="1"/>
    </cacheField>
    <cacheField name="Order_Status2" numFmtId="0">
      <sharedItems containsBlank="1" count="4">
        <s v="Delivered"/>
        <s v="Returned"/>
        <s v="Cancelled"/>
        <m/>
      </sharedItems>
    </cacheField>
    <cacheField name="Total_Sales" numFmtId="0">
      <sharedItems containsBlank="1" containsMixedTypes="1" containsNumber="1" minValue="-25800" maxValue="713464"/>
    </cacheField>
    <cacheField name="Region" numFmtId="0">
      <sharedItems containsBlank="1"/>
    </cacheField>
    <cacheField name="Region2" numFmtId="0">
      <sharedItems containsBlank="1" count="5">
        <s v="West"/>
        <s v="North"/>
        <s v="East"/>
        <s v="South"/>
        <m/>
      </sharedItems>
    </cacheField>
    <cacheField name="Category" numFmtId="0">
      <sharedItems containsBlank="1" count="5">
        <s v="Electronics"/>
        <s v="Clothing"/>
        <s v="Beauty"/>
        <s v="Home &amp; Kitchen"/>
        <m/>
      </sharedItems>
    </cacheField>
    <cacheField name="Gender.1" numFmtId="0">
      <sharedItems containsBlank="1"/>
    </cacheField>
    <cacheField name="Month" numFmtId="0">
      <sharedItems containsBlank="1"/>
    </cacheField>
  </cacheFields>
  <extLst>
    <ext xmlns:x14="http://schemas.microsoft.com/office/spreadsheetml/2009/9/main" uri="{725AE2AE-9491-48be-B2B4-4EB974FC3084}">
      <x14:pivotCacheDefinition pivotCacheId="14578297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ORD20703"/>
    <d v="2023-09-15T00:00:00"/>
    <s v="Vinod Patil"/>
    <n v="64"/>
    <s v="Male"/>
    <s v="Electronics"/>
    <s v="Xiaomi Smart TV 32&quot;"/>
    <n v="1"/>
    <n v="25800"/>
    <x v="0"/>
    <s v="COD"/>
    <x v="0"/>
    <x v="0"/>
    <n v="-25800"/>
    <x v="0"/>
    <x v="0"/>
    <x v="0"/>
    <s v="Male"/>
    <x v="0"/>
  </r>
  <r>
    <s v="ORD20200"/>
    <d v="2023-11-23T00:00:00"/>
    <s v="Pranav Kulkarni"/>
    <n v="25"/>
    <s v="Female"/>
    <s v="Electronics"/>
    <s v="Lenovo Tab M10"/>
    <n v="2"/>
    <n v="18100"/>
    <x v="1"/>
    <s v="Card"/>
    <x v="0"/>
    <x v="0"/>
    <n v="-21720"/>
    <x v="1"/>
    <x v="1"/>
    <x v="0"/>
    <s v="Female"/>
    <x v="1"/>
  </r>
  <r>
    <s v="ORD20776"/>
    <d v="2023-11-24T00:00:00"/>
    <s v="Manoj Chauhan"/>
    <n v="60"/>
    <s v="Other"/>
    <s v="Clothng"/>
    <s v="Nike Running Shoes"/>
    <n v="3"/>
    <n v="5900"/>
    <x v="2"/>
    <s v="Card"/>
    <x v="0"/>
    <x v="0"/>
    <n v="-15930"/>
    <x v="2"/>
    <x v="2"/>
    <x v="1"/>
    <s v="Other"/>
    <x v="1"/>
  </r>
  <r>
    <s v="ORD20675"/>
    <s v="Null"/>
    <s v="Null"/>
    <n v="30"/>
    <s v="Female"/>
    <s v="clothing"/>
    <s v="Cotton Saree"/>
    <n v="3"/>
    <n v="3750"/>
    <x v="3"/>
    <s v="U.P.I"/>
    <x v="0"/>
    <x v="0"/>
    <n v="-12375"/>
    <x v="1"/>
    <x v="1"/>
    <x v="1"/>
    <s v="Female"/>
    <x v="2"/>
  </r>
  <r>
    <s v="ORD20001"/>
    <s v="Null"/>
    <s v="Ashok Yadav"/>
    <n v="31"/>
    <s v="Male"/>
    <s v="Beauty"/>
    <s v="VLCC Gold Facial Kit"/>
    <n v="9"/>
    <n v="1447"/>
    <x v="4"/>
    <s v="Card"/>
    <x v="0"/>
    <x v="0"/>
    <n v="-12371.85"/>
    <x v="3"/>
    <x v="3"/>
    <x v="2"/>
    <s v="Male"/>
    <x v="2"/>
  </r>
  <r>
    <s v="ORD20154"/>
    <d v="2023-06-06T00:00:00"/>
    <s v="Shweta Ghosh"/>
    <n v="26"/>
    <s v="Female"/>
    <s v="Electronics"/>
    <s v="Sony Headphones"/>
    <n v="1"/>
    <n v="12000"/>
    <x v="0"/>
    <s v="Cash"/>
    <x v="0"/>
    <x v="0"/>
    <n v="-12000"/>
    <x v="1"/>
    <x v="1"/>
    <x v="0"/>
    <s v="Female"/>
    <x v="3"/>
  </r>
  <r>
    <s v="ORD20306"/>
    <d v="2023-12-29T00:00:00"/>
    <s v="Null"/>
    <n v="23"/>
    <s v="Male"/>
    <s v="clothing"/>
    <s v="Nike Running Shoes"/>
    <n v="-1"/>
    <n v="7550"/>
    <x v="0"/>
    <s v="COD"/>
    <x v="0"/>
    <x v="0"/>
    <n v="-7550"/>
    <x v="0"/>
    <x v="0"/>
    <x v="1"/>
    <s v="Male"/>
    <x v="4"/>
  </r>
  <r>
    <s v="ORD20679"/>
    <s v="Null"/>
    <s v="Harish Menon"/>
    <n v="23"/>
    <s v="Female"/>
    <s v="clothing"/>
    <s v="Raymond Suit"/>
    <n v="-1"/>
    <n v="7450"/>
    <x v="4"/>
    <s v="Cash on Delivery"/>
    <x v="1"/>
    <x v="1"/>
    <n v="-7077.5"/>
    <x v="3"/>
    <x v="3"/>
    <x v="1"/>
    <s v="Female"/>
    <x v="2"/>
  </r>
  <r>
    <s v="ORD20352"/>
    <s v="Null"/>
    <s v="Sanjay Dubey"/>
    <n v="58"/>
    <s v="Femle"/>
    <s v="Beauty"/>
    <s v="Maybelline Lipstick"/>
    <n v="10"/>
    <n v="432"/>
    <x v="0"/>
    <s v="UPI"/>
    <x v="0"/>
    <x v="0"/>
    <n v="-4320"/>
    <x v="1"/>
    <x v="1"/>
    <x v="2"/>
    <s v="Other"/>
    <x v="2"/>
  </r>
  <r>
    <s v="ORD20638"/>
    <d v="2023-09-24T00:00:00"/>
    <s v="Rekha Sinha"/>
    <n v="25"/>
    <s v="Male"/>
    <s v="Home &amp; Kitchen"/>
    <s v="Orient Ceiling Fan"/>
    <n v="-1"/>
    <n v="4453"/>
    <x v="5"/>
    <s v="Debit Card"/>
    <x v="2"/>
    <x v="2"/>
    <n v="-3785.05"/>
    <x v="2"/>
    <x v="2"/>
    <x v="3"/>
    <s v="Male"/>
    <x v="0"/>
  </r>
  <r>
    <s v="ORD20973"/>
    <s v="Null"/>
    <s v="Null"/>
    <n v="63"/>
    <s v="Female"/>
    <s v="Home &amp; Kitchen"/>
    <s v="Orient Ceiling Fan"/>
    <n v="-1"/>
    <n v="3572"/>
    <x v="6"/>
    <s v="Cash"/>
    <x v="0"/>
    <x v="0"/>
    <n v="-2679"/>
    <x v="3"/>
    <x v="3"/>
    <x v="3"/>
    <s v="Female"/>
    <x v="2"/>
  </r>
  <r>
    <s v="ORD20304"/>
    <d v="2023-08-29T00:00:00"/>
    <s v="Suresh Joshi"/>
    <n v="45"/>
    <s v="Male"/>
    <s v="clothing"/>
    <s v="Biba Salwar Suit"/>
    <n v="-1"/>
    <n v="2750"/>
    <x v="7"/>
    <s v="UPI"/>
    <x v="2"/>
    <x v="2"/>
    <n v="-2200"/>
    <x v="4"/>
    <x v="1"/>
    <x v="1"/>
    <s v="Male"/>
    <x v="5"/>
  </r>
  <r>
    <s v="ORD20036"/>
    <d v="2023-06-13T00:00:00"/>
    <s v="Deepika Rao"/>
    <n v="60"/>
    <s v="Male"/>
    <s v="clothing"/>
    <s v="Fabindia Kurta"/>
    <n v="1"/>
    <n v="2400"/>
    <x v="2"/>
    <s v="C.O.D"/>
    <x v="3"/>
    <x v="0"/>
    <n v="-2160"/>
    <x v="5"/>
    <x v="3"/>
    <x v="1"/>
    <s v="Male"/>
    <x v="3"/>
  </r>
  <r>
    <s v="ORD20551"/>
    <d v="2023-10-04T00:00:00"/>
    <s v="Null"/>
    <n v="61"/>
    <s v="Female"/>
    <s v="Home &amp; Kitchen"/>
    <s v="Cello Water Bottle"/>
    <n v="5"/>
    <n v="675"/>
    <x v="1"/>
    <s v="UPI"/>
    <x v="0"/>
    <x v="0"/>
    <n v="-2025"/>
    <x v="2"/>
    <x v="2"/>
    <x v="3"/>
    <s v="Female"/>
    <x v="6"/>
  </r>
  <r>
    <s v="ORD20147"/>
    <s v="Null"/>
    <s v="Vikram Mehta"/>
    <n v="62"/>
    <s v="Male"/>
    <s v="clothing"/>
    <s v="W Ethnic Wear"/>
    <n v="1"/>
    <n v="2200"/>
    <x v="5"/>
    <s v="UPI"/>
    <x v="0"/>
    <x v="0"/>
    <n v="-1870"/>
    <x v="3"/>
    <x v="3"/>
    <x v="1"/>
    <s v="Male"/>
    <x v="2"/>
  </r>
  <r>
    <s v="ORD20341"/>
    <d v="2023-12-16T00:00:00"/>
    <s v="Null"/>
    <n v="59"/>
    <s v="Male"/>
    <s v="Home &amp; Kitchen"/>
    <s v="Tupperware Set"/>
    <n v="-1"/>
    <n v="1814"/>
    <x v="0"/>
    <s v="Card"/>
    <x v="0"/>
    <x v="0"/>
    <n v="-1814"/>
    <x v="0"/>
    <x v="0"/>
    <x v="3"/>
    <s v="Male"/>
    <x v="4"/>
  </r>
  <r>
    <s v="ORD20342"/>
    <d v="2023-03-27T00:00:00"/>
    <s v="Sanjay Dubey"/>
    <n v="20"/>
    <s v="Male"/>
    <s v="Beauty"/>
    <s v="Garnier Micellar Water"/>
    <n v="6"/>
    <n v="319"/>
    <x v="1"/>
    <s v="UPI"/>
    <x v="0"/>
    <x v="0"/>
    <n v="-1148.4000000000001"/>
    <x v="2"/>
    <x v="2"/>
    <x v="2"/>
    <s v="Male"/>
    <x v="7"/>
  </r>
  <r>
    <s v="ORD20822"/>
    <d v="2023-06-15T00:00:00"/>
    <s v="Lakshmi Krishnan"/>
    <n v="51"/>
    <s v="Female"/>
    <s v="Beauty"/>
    <s v="Nykaa Kajal"/>
    <n v="2"/>
    <n v="473"/>
    <x v="5"/>
    <s v="Card"/>
    <x v="0"/>
    <x v="0"/>
    <n v="-804.1"/>
    <x v="2"/>
    <x v="2"/>
    <x v="2"/>
    <s v="Female"/>
    <x v="3"/>
  </r>
  <r>
    <s v="ORD20873"/>
    <s v="Null"/>
    <s v="Rekha Sinha"/>
    <n v="47"/>
    <s v="Male"/>
    <s v="Beauty"/>
    <s v="Dove Body Lotion"/>
    <n v="2"/>
    <n v="400"/>
    <x v="4"/>
    <s v="Card"/>
    <x v="2"/>
    <x v="2"/>
    <n v="-760"/>
    <x v="0"/>
    <x v="0"/>
    <x v="2"/>
    <s v="Male"/>
    <x v="2"/>
  </r>
  <r>
    <s v="ORD20858"/>
    <s v="Null"/>
    <s v="Vikram Mehta"/>
    <n v="19"/>
    <s v="Other"/>
    <s v="Beauty"/>
    <s v="Nykaa Kajal"/>
    <n v="3"/>
    <n v="493"/>
    <x v="8"/>
    <s v="COD"/>
    <x v="1"/>
    <x v="1"/>
    <n v="-739.5"/>
    <x v="0"/>
    <x v="0"/>
    <x v="2"/>
    <s v="Other"/>
    <x v="2"/>
  </r>
  <r>
    <s v="ORD20173"/>
    <s v="Null"/>
    <s v="Nikhil Bose"/>
    <m/>
    <s v="Female"/>
    <s v="Electronics"/>
    <s v="Mi Band 7"/>
    <n v="1"/>
    <n v="3900"/>
    <x v="9"/>
    <s v="UPI"/>
    <x v="0"/>
    <x v="0"/>
    <n v="-390"/>
    <x v="0"/>
    <x v="0"/>
    <x v="0"/>
    <s v="Female"/>
    <x v="2"/>
  </r>
  <r>
    <s v="ORD20336"/>
    <d v="2023-09-08T00:00:00"/>
    <s v="Pooja Nair"/>
    <n v="38"/>
    <s v="Female"/>
    <s v="Beauty"/>
    <s v="Himalaya Neem Face Pack"/>
    <n v="-1"/>
    <n v="289"/>
    <x v="10"/>
    <s v="COD"/>
    <x v="0"/>
    <x v="0"/>
    <n v="-202.3"/>
    <x v="3"/>
    <x v="3"/>
    <x v="2"/>
    <s v="Female"/>
    <x v="0"/>
  </r>
  <r>
    <s v="ORD20562"/>
    <d v="2023-12-31T00:00:00"/>
    <s v="Meera Nambiar"/>
    <n v="22"/>
    <s v="Female"/>
    <s v="clothing"/>
    <s v="Allen Solly Formal Shirt"/>
    <n v="2"/>
    <n v="6"/>
    <x v="2"/>
    <s v="UPI"/>
    <x v="0"/>
    <x v="0"/>
    <n v="-10.8"/>
    <x v="2"/>
    <x v="2"/>
    <x v="1"/>
    <s v="Female"/>
    <x v="4"/>
  </r>
  <r>
    <s v="ORD20299"/>
    <d v="2023-10-11T00:00:00"/>
    <s v="Arjun Pillai"/>
    <n v="29"/>
    <s v="Male"/>
    <s v="clothing"/>
    <s v="Fabindia Kurta"/>
    <n v="0"/>
    <n v="1250"/>
    <x v="1"/>
    <s v="UPI"/>
    <x v="2"/>
    <x v="2"/>
    <n v="0"/>
    <x v="1"/>
    <x v="1"/>
    <x v="1"/>
    <s v="Male"/>
    <x v="6"/>
  </r>
  <r>
    <s v="ORD20885"/>
    <d v="2023-10-14T00:00:00"/>
    <s v="Vikram Mehta"/>
    <n v="42"/>
    <s v="Male"/>
    <s v="clothing"/>
    <s v="Biba Salwar Suit"/>
    <n v="0"/>
    <n v="3600"/>
    <x v="6"/>
    <s v="Cash"/>
    <x v="2"/>
    <x v="2"/>
    <n v="0"/>
    <x v="2"/>
    <x v="2"/>
    <x v="1"/>
    <s v="Male"/>
    <x v="6"/>
  </r>
  <r>
    <s v="ORD20489"/>
    <d v="2023-06-19T00:00:00"/>
    <s v="Ashok Yadav"/>
    <n v="52"/>
    <s v="Female"/>
    <s v="Electronics"/>
    <s v="Sony Headphones"/>
    <n v="0"/>
    <n v="13500"/>
    <x v="8"/>
    <s v="Card"/>
    <x v="0"/>
    <x v="0"/>
    <n v="0"/>
    <x v="6"/>
    <x v="2"/>
    <x v="0"/>
    <s v="Female"/>
    <x v="3"/>
  </r>
  <r>
    <s v="ORD20239"/>
    <d v="2023-11-16T00:00:00"/>
    <s v="Pooja Nair"/>
    <n v="29"/>
    <s v="Female"/>
    <s v="clothing"/>
    <s v="Nike Running Shoes"/>
    <n v="0"/>
    <n v="7850"/>
    <x v="7"/>
    <s v="COD"/>
    <x v="0"/>
    <x v="0"/>
    <n v="0"/>
    <x v="0"/>
    <x v="0"/>
    <x v="1"/>
    <s v="Female"/>
    <x v="1"/>
  </r>
  <r>
    <s v="ORD20314"/>
    <d v="2023-11-14T00:00:00"/>
    <s v="Pranav Kulkarni"/>
    <n v="18"/>
    <s v="Male"/>
    <s v="Beauty"/>
    <s v="Kama Ayurveda Hair Oil"/>
    <n v="0"/>
    <n v="847"/>
    <x v="10"/>
    <s v="Card"/>
    <x v="0"/>
    <x v="0"/>
    <n v="0"/>
    <x v="3"/>
    <x v="3"/>
    <x v="2"/>
    <s v="Male"/>
    <x v="1"/>
  </r>
  <r>
    <s v="ORD20591"/>
    <d v="2023-05-08T00:00:00"/>
    <s v="Vikram Mehta"/>
    <n v="64"/>
    <s v="Male"/>
    <s v="Beauty"/>
    <s v="Mamaearth Face Wash"/>
    <n v="0"/>
    <n v="358"/>
    <x v="10"/>
    <s v="COD"/>
    <x v="2"/>
    <x v="2"/>
    <n v="0"/>
    <x v="1"/>
    <x v="1"/>
    <x v="2"/>
    <s v="Male"/>
    <x v="8"/>
  </r>
  <r>
    <s v="ORD20569"/>
    <d v="2023-11-19T00:00:00"/>
    <s v="Rahul Gupta"/>
    <n v="42"/>
    <s v="Male"/>
    <s v="Home &amp; Kitchen"/>
    <s v="Godrej Almirah"/>
    <n v="0"/>
    <n v="13365"/>
    <x v="10"/>
    <s v="Cash"/>
    <x v="0"/>
    <x v="0"/>
    <n v="0"/>
    <x v="3"/>
    <x v="3"/>
    <x v="3"/>
    <s v="Male"/>
    <x v="1"/>
  </r>
  <r>
    <s v="ORD20591"/>
    <d v="2023-05-08T00:00:00"/>
    <s v="Vikram Mehta"/>
    <n v="64"/>
    <s v="Male"/>
    <s v="Beauty"/>
    <s v="Mamaearth Face Wash"/>
    <n v="0"/>
    <n v="358"/>
    <x v="10"/>
    <s v="COD"/>
    <x v="2"/>
    <x v="2"/>
    <n v="0"/>
    <x v="1"/>
    <x v="1"/>
    <x v="2"/>
    <s v="Male"/>
    <x v="8"/>
  </r>
  <r>
    <s v="ORD20132"/>
    <d v="2023-05-03T00:00:00"/>
    <s v="Null"/>
    <n v="56"/>
    <s v="Female"/>
    <s v="Beauty"/>
    <s v="Dove Body Lotion"/>
    <n v="0"/>
    <n v="432"/>
    <x v="5"/>
    <s v="COD"/>
    <x v="0"/>
    <x v="0"/>
    <n v="0"/>
    <x v="0"/>
    <x v="0"/>
    <x v="2"/>
    <s v="Female"/>
    <x v="8"/>
  </r>
  <r>
    <s v="ORD20531"/>
    <d v="2023-01-11T00:00:00"/>
    <s v="Null"/>
    <n v="30"/>
    <s v="Female"/>
    <s v="clothing"/>
    <s v="Adidas Sneakers"/>
    <n v="0"/>
    <n v="5650"/>
    <x v="1"/>
    <s v="Card"/>
    <x v="0"/>
    <x v="0"/>
    <n v="0"/>
    <x v="2"/>
    <x v="2"/>
    <x v="1"/>
    <s v="Female"/>
    <x v="9"/>
  </r>
  <r>
    <s v="ORD20002"/>
    <d v="2023-12-12T00:00:00"/>
    <s v="Null"/>
    <n v="65"/>
    <s v="Female"/>
    <s v="Beauty"/>
    <s v="Garnier Micellar Water"/>
    <n v="0"/>
    <n v="514"/>
    <x v="2"/>
    <s v="Credit Card"/>
    <x v="0"/>
    <x v="0"/>
    <n v="0"/>
    <x v="3"/>
    <x v="3"/>
    <x v="2"/>
    <s v="Female"/>
    <x v="4"/>
  </r>
  <r>
    <s v="ORD20275"/>
    <d v="2023-11-29T00:00:00"/>
    <s v="Pranav Kulkarni"/>
    <n v="29"/>
    <s v="Female"/>
    <s v="Electronics"/>
    <s v="Xiaomi Smart TV 32&quot;"/>
    <n v="0"/>
    <n v="24600"/>
    <x v="6"/>
    <s v="UPI"/>
    <x v="0"/>
    <x v="0"/>
    <n v="0"/>
    <x v="3"/>
    <x v="3"/>
    <x v="0"/>
    <s v="Female"/>
    <x v="1"/>
  </r>
  <r>
    <s v="ORD20809"/>
    <s v="Null"/>
    <s v="Null"/>
    <n v="22"/>
    <s v="Female"/>
    <s v="Electronics"/>
    <s v="LG Washing Machine"/>
    <n v="0"/>
    <n v="40900"/>
    <x v="2"/>
    <s v="COD"/>
    <x v="0"/>
    <x v="0"/>
    <n v="0"/>
    <x v="1"/>
    <x v="1"/>
    <x v="0"/>
    <s v="Female"/>
    <x v="2"/>
  </r>
  <r>
    <s v="ORD20091"/>
    <d v="2023-01-12T00:00:00"/>
    <s v="Vikram Mehta"/>
    <n v="57"/>
    <s v="Female"/>
    <s v="Electonics"/>
    <s v="Whirlpool Refrigerator"/>
    <n v="0"/>
    <n v="44300"/>
    <x v="0"/>
    <s v="Card"/>
    <x v="1"/>
    <x v="1"/>
    <n v="0"/>
    <x v="0"/>
    <x v="0"/>
    <x v="0"/>
    <s v="Female"/>
    <x v="9"/>
  </r>
  <r>
    <s v="ORD20474"/>
    <d v="2023-11-09T00:00:00"/>
    <s v="Gaurav Bansal"/>
    <n v="26"/>
    <s v="Female"/>
    <s v="Home &amp; Kitchen"/>
    <s v="Prestige Pressure Cooker"/>
    <n v="0"/>
    <n v="4331"/>
    <x v="10"/>
    <s v="UPI"/>
    <x v="0"/>
    <x v="0"/>
    <n v="0"/>
    <x v="1"/>
    <x v="1"/>
    <x v="3"/>
    <s v="Female"/>
    <x v="1"/>
  </r>
  <r>
    <s v="ORD20869"/>
    <d v="2023-07-15T00:00:00"/>
    <s v="Smita Desai"/>
    <n v="37"/>
    <s v="Female"/>
    <s v="clothing"/>
    <s v="Raymond Suit"/>
    <n v="1"/>
    <n v="4"/>
    <x v="8"/>
    <s v="Card"/>
    <x v="0"/>
    <x v="0"/>
    <n v="2"/>
    <x v="2"/>
    <x v="2"/>
    <x v="1"/>
    <s v="Female"/>
    <x v="10"/>
  </r>
  <r>
    <s v="ORD20255"/>
    <d v="2023-09-28T00:00:00"/>
    <s v="Nikhil Bose"/>
    <n v="26"/>
    <s v="Female"/>
    <s v="Electronics"/>
    <s v="iPhone 14"/>
    <n v="2"/>
    <n v="2"/>
    <x v="10"/>
    <s v="UPI"/>
    <x v="0"/>
    <x v="0"/>
    <n v="2.8"/>
    <x v="1"/>
    <x v="1"/>
    <x v="0"/>
    <s v="Female"/>
    <x v="0"/>
  </r>
  <r>
    <s v="ORD20021"/>
    <s v="Null"/>
    <s v="Shweta Ghosh"/>
    <n v="45"/>
    <s v="Female"/>
    <s v="clothing"/>
    <s v="H&amp;M T-Shirt"/>
    <n v="3"/>
    <n v="2"/>
    <x v="0"/>
    <s v="Cash"/>
    <x v="2"/>
    <x v="2"/>
    <n v="6"/>
    <x v="2"/>
    <x v="2"/>
    <x v="1"/>
    <s v="Female"/>
    <x v="2"/>
  </r>
  <r>
    <s v="ORD20423"/>
    <d v="2023-03-04T00:00:00"/>
    <s v="Arjun Pillai"/>
    <n v="39"/>
    <s v="Male"/>
    <s v="Beauty"/>
    <s v="Biotique Sunscreen"/>
    <n v="2"/>
    <n v="4"/>
    <x v="0"/>
    <s v="UPI"/>
    <x v="0"/>
    <x v="0"/>
    <n v="8"/>
    <x v="1"/>
    <x v="1"/>
    <x v="2"/>
    <s v="Male"/>
    <x v="7"/>
  </r>
  <r>
    <s v="ORD20698"/>
    <s v="Null"/>
    <s v="Shreya Pandey"/>
    <n v="54"/>
    <s v="Female"/>
    <s v="Electronics"/>
    <s v="Whirlpool Refrigerator"/>
    <n v="2"/>
    <n v="5"/>
    <x v="5"/>
    <s v="Card"/>
    <x v="0"/>
    <x v="0"/>
    <n v="8.5"/>
    <x v="1"/>
    <x v="1"/>
    <x v="0"/>
    <s v="Female"/>
    <x v="2"/>
  </r>
  <r>
    <s v="ORD20286"/>
    <d v="2023-09-26T00:00:00"/>
    <s v="Deepika Rao"/>
    <n v="30"/>
    <s v="Male"/>
    <s v="clothing"/>
    <s v="Adidas Sneakers"/>
    <n v="3"/>
    <n v="4"/>
    <x v="5"/>
    <s v="UPI"/>
    <x v="0"/>
    <x v="0"/>
    <n v="10.199999999999999"/>
    <x v="2"/>
    <x v="2"/>
    <x v="1"/>
    <s v="Male"/>
    <x v="0"/>
  </r>
  <r>
    <s v="ORD20485"/>
    <d v="2023-07-12T00:00:00"/>
    <s v="Pooja Nair"/>
    <n v="41"/>
    <s v="Female"/>
    <s v="clothing"/>
    <s v="Adidas Sneakers"/>
    <n v="3"/>
    <n v="4"/>
    <x v="2"/>
    <s v="COD"/>
    <x v="3"/>
    <x v="0"/>
    <n v="10.8"/>
    <x v="0"/>
    <x v="0"/>
    <x v="1"/>
    <s v="Female"/>
    <x v="10"/>
  </r>
  <r>
    <s v="ORD20771"/>
    <d v="2023-11-16T00:00:00"/>
    <s v="Pranav Kulkarni"/>
    <n v="21"/>
    <s v="Female"/>
    <s v="Home&amp;Kitchen"/>
    <s v="Tupperware Set"/>
    <n v="3"/>
    <n v="9"/>
    <x v="8"/>
    <s v="U.P.I"/>
    <x v="0"/>
    <x v="0"/>
    <n v="13.5"/>
    <x v="0"/>
    <x v="0"/>
    <x v="3"/>
    <s v="Female"/>
    <x v="1"/>
  </r>
  <r>
    <s v="ORD20050"/>
    <d v="2023-04-12T00:00:00"/>
    <s v="Null"/>
    <n v="21"/>
    <s v="Female"/>
    <s v="Beauty"/>
    <s v="Lakme Foundation"/>
    <n v="3"/>
    <n v="9"/>
    <x v="8"/>
    <s v="UPI"/>
    <x v="0"/>
    <x v="0"/>
    <n v="13.5"/>
    <x v="2"/>
    <x v="2"/>
    <x v="2"/>
    <s v="Female"/>
    <x v="11"/>
  </r>
  <r>
    <s v="ORD20766"/>
    <d v="2023-11-08T00:00:00"/>
    <s v="Deepika Rao"/>
    <n v="52"/>
    <s v="Female"/>
    <s v="Home &amp; Kitchen"/>
    <s v="Cello Water Bottle"/>
    <n v="9"/>
    <n v="2"/>
    <x v="5"/>
    <s v="UPI"/>
    <x v="2"/>
    <x v="2"/>
    <n v="15.3"/>
    <x v="3"/>
    <x v="3"/>
    <x v="3"/>
    <s v="Female"/>
    <x v="1"/>
  </r>
  <r>
    <s v="ORD20575"/>
    <d v="2023-01-10T00:00:00"/>
    <s v="Rajesh Tiwari"/>
    <n v="26"/>
    <s v="Other"/>
    <s v="Electronics"/>
    <s v="Dell Laptop i5"/>
    <n v="2"/>
    <n v="9"/>
    <x v="0"/>
    <s v="UPI"/>
    <x v="0"/>
    <x v="0"/>
    <n v="18"/>
    <x v="3"/>
    <x v="3"/>
    <x v="0"/>
    <s v="Other"/>
    <x v="9"/>
  </r>
  <r>
    <s v="ORD20545"/>
    <d v="2023-11-14T00:00:00"/>
    <s v="Nikhil Bose"/>
    <n v="40"/>
    <s v="Female"/>
    <s v="Home &amp; Kitchen"/>
    <s v="Asian Paints 4L"/>
    <n v="4"/>
    <n v="8"/>
    <x v="6"/>
    <s v="Cash"/>
    <x v="2"/>
    <x v="2"/>
    <n v="24"/>
    <x v="3"/>
    <x v="3"/>
    <x v="3"/>
    <s v="Female"/>
    <x v="1"/>
  </r>
  <r>
    <s v="ORD20321"/>
    <d v="2023-06-26T00:00:00"/>
    <s v="Vikas Saxena"/>
    <n v="26"/>
    <s v="Male"/>
    <s v="Home &amp; Kitchen"/>
    <s v="Bajaj Mixer Grinder"/>
    <n v="6"/>
    <n v="8"/>
    <x v="8"/>
    <s v="UPI"/>
    <x v="2"/>
    <x v="2"/>
    <n v="24"/>
    <x v="7"/>
    <x v="3"/>
    <x v="3"/>
    <s v="Male"/>
    <x v="3"/>
  </r>
  <r>
    <s v="ORD20148"/>
    <s v="Null"/>
    <s v="Null"/>
    <n v="21"/>
    <s v="Female"/>
    <s v="Home &amp; Kitchen"/>
    <s v="Pigeon Induction Cooktop"/>
    <n v="7"/>
    <n v="6"/>
    <x v="1"/>
    <s v="Card"/>
    <x v="0"/>
    <x v="0"/>
    <n v="25.2"/>
    <x v="3"/>
    <x v="3"/>
    <x v="3"/>
    <s v="Female"/>
    <x v="2"/>
  </r>
  <r>
    <s v="ORD20214"/>
    <s v="Null"/>
    <s v="Manoj Chauhan"/>
    <n v="34"/>
    <s v="Female"/>
    <s v="clothing"/>
    <s v="Biba Salwar Suit"/>
    <n v="3"/>
    <n v="9"/>
    <x v="0"/>
    <s v="Cash"/>
    <x v="0"/>
    <x v="0"/>
    <n v="27"/>
    <x v="3"/>
    <x v="3"/>
    <x v="1"/>
    <s v="Female"/>
    <x v="2"/>
  </r>
  <r>
    <s v="ORD20310"/>
    <s v="Null"/>
    <s v="Null"/>
    <n v="65"/>
    <s v="Female"/>
    <s v="Hme &amp; Kitchen"/>
    <s v="Pigeon Induction Cooktop"/>
    <n v="6"/>
    <n v="6"/>
    <x v="2"/>
    <s v="Credit Card"/>
    <x v="3"/>
    <x v="0"/>
    <n v="32.4"/>
    <x v="2"/>
    <x v="2"/>
    <x v="3"/>
    <s v="Female"/>
    <x v="2"/>
  </r>
  <r>
    <s v="ORD20309"/>
    <d v="2023-04-14T00:00:00"/>
    <s v="Pranav Kulkarni"/>
    <n v="38"/>
    <s v="Male"/>
    <s v="Home &amp; Kitchen"/>
    <s v="Borosil Glass Set"/>
    <n v="9"/>
    <n v="5"/>
    <x v="4"/>
    <s v="Cash"/>
    <x v="0"/>
    <x v="0"/>
    <n v="42.75"/>
    <x v="0"/>
    <x v="0"/>
    <x v="3"/>
    <s v="Male"/>
    <x v="11"/>
  </r>
  <r>
    <s v="ORD20672"/>
    <d v="2023-11-22T00:00:00"/>
    <s v="Lakshmi Krishnan"/>
    <n v="58"/>
    <s v="Male"/>
    <s v="Home &amp; Kitchen"/>
    <s v="Prestige Pressure Cooker"/>
    <n v="7"/>
    <n v="8"/>
    <x v="4"/>
    <s v="Cash"/>
    <x v="2"/>
    <x v="2"/>
    <n v="53.2"/>
    <x v="8"/>
    <x v="0"/>
    <x v="3"/>
    <s v="Male"/>
    <x v="1"/>
  </r>
  <r>
    <s v="ORD20884"/>
    <d v="2023-11-28T00:00:00"/>
    <s v="Swati Jain"/>
    <n v="51"/>
    <s v="Male"/>
    <s v="Home &amp; Kitchen"/>
    <s v="Milton Steel Bottles"/>
    <n v="10"/>
    <n v="7"/>
    <x v="4"/>
    <s v="COD"/>
    <x v="0"/>
    <x v="0"/>
    <n v="66.5"/>
    <x v="2"/>
    <x v="2"/>
    <x v="3"/>
    <s v="Male"/>
    <x v="1"/>
  </r>
  <r>
    <s v="ORD20553"/>
    <d v="2023-06-06T00:00:00"/>
    <s v="Rahul Gupta"/>
    <n v="23"/>
    <s v="Male"/>
    <s v="Beauty"/>
    <s v="Dove Body Lotion"/>
    <n v="1"/>
    <n v="308"/>
    <x v="7"/>
    <s v="Cash"/>
    <x v="0"/>
    <x v="0"/>
    <n v="246.4"/>
    <x v="3"/>
    <x v="3"/>
    <x v="2"/>
    <s v="Male"/>
    <x v="3"/>
  </r>
  <r>
    <s v="ORD20059"/>
    <d v="2023-08-04T00:00:00"/>
    <s v="Kavya Reddy"/>
    <n v="46"/>
    <s v="Femle"/>
    <s v="Beauty"/>
    <s v="Nykaa Kajal"/>
    <n v="1"/>
    <n v="358"/>
    <x v="10"/>
    <s v="UPI"/>
    <x v="0"/>
    <x v="0"/>
    <n v="250.6"/>
    <x v="3"/>
    <x v="3"/>
    <x v="2"/>
    <s v="Other"/>
    <x v="5"/>
  </r>
  <r>
    <s v="ORD20640"/>
    <d v="2023-11-13T00:00:00"/>
    <s v="Kavya  Reddy"/>
    <n v="29"/>
    <s v="Female"/>
    <s v="Beauty"/>
    <s v="VLCC Gold Facial Kit"/>
    <n v="1"/>
    <n v="1144"/>
    <x v="11"/>
    <s v="Cash"/>
    <x v="0"/>
    <x v="0"/>
    <n v="286"/>
    <x v="2"/>
    <x v="2"/>
    <x v="2"/>
    <s v="Female"/>
    <x v="1"/>
  </r>
  <r>
    <s v="ORD20057"/>
    <d v="2023-08-08T00:00:00"/>
    <s v="Deepika Rao"/>
    <n v="43"/>
    <s v="Male"/>
    <s v="Beauty"/>
    <s v="Himalaya Neem Face Pack"/>
    <n v="1"/>
    <n v="329"/>
    <x v="2"/>
    <s v="Cash"/>
    <x v="0"/>
    <x v="0"/>
    <n v="329"/>
    <x v="2"/>
    <x v="2"/>
    <x v="2"/>
    <s v="Male"/>
    <x v="5"/>
  </r>
  <r>
    <s v="ORD20161"/>
    <s v="Null"/>
    <s v="Pooja Nair"/>
    <n v="35"/>
    <s v="Male"/>
    <s v="Home &amp; Kitchen"/>
    <s v="Cello Water Bottle"/>
    <n v="1"/>
    <n v="336"/>
    <x v="0"/>
    <s v="COD"/>
    <x v="0"/>
    <x v="0"/>
    <n v="336"/>
    <x v="2"/>
    <x v="2"/>
    <x v="3"/>
    <s v="Male"/>
    <x v="2"/>
  </r>
  <r>
    <s v="ORD20955"/>
    <d v="2023-06-23T00:00:00"/>
    <s v="Divya Hegde"/>
    <n v="38"/>
    <s v="Female"/>
    <s v="Home &amp; Kitchen"/>
    <s v="Cello Water Bottle"/>
    <n v="1"/>
    <n v="498"/>
    <x v="10"/>
    <s v="Cash"/>
    <x v="2"/>
    <x v="2"/>
    <n v="348.6"/>
    <x v="2"/>
    <x v="2"/>
    <x v="3"/>
    <s v="Female"/>
    <x v="3"/>
  </r>
  <r>
    <s v="ORD20839"/>
    <d v="2023-10-02T00:00:00"/>
    <s v="Arjun Pillai"/>
    <n v="43"/>
    <s v="Female"/>
    <s v="Beauty"/>
    <s v="Nykaa Kajal"/>
    <n v="1"/>
    <n v="351"/>
    <x v="0"/>
    <s v="Card"/>
    <x v="2"/>
    <x v="2"/>
    <n v="351"/>
    <x v="2"/>
    <x v="2"/>
    <x v="2"/>
    <s v="Female"/>
    <x v="6"/>
  </r>
  <r>
    <s v="ORD20724"/>
    <s v="Null"/>
    <s v="Ashok Yadav"/>
    <n v="26"/>
    <s v="Female"/>
    <s v="Beauty"/>
    <s v="Mamaearth Face Wash"/>
    <n v="2"/>
    <n v="436"/>
    <x v="8"/>
    <s v="Cash"/>
    <x v="2"/>
    <x v="2"/>
    <n v="436"/>
    <x v="3"/>
    <x v="3"/>
    <x v="2"/>
    <s v="Female"/>
    <x v="2"/>
  </r>
  <r>
    <s v="ORD20285"/>
    <d v="2023-10-07T00:00:00"/>
    <s v="Null"/>
    <n v="50"/>
    <s v="Female"/>
    <s v="Beauity"/>
    <s v="Garnier Micellar Water"/>
    <n v="6"/>
    <n v="439"/>
    <x v="2"/>
    <s v="Card"/>
    <x v="0"/>
    <x v="0"/>
    <n v="439"/>
    <x v="3"/>
    <x v="3"/>
    <x v="2"/>
    <s v="Female"/>
    <x v="6"/>
  </r>
  <r>
    <s v="ORD20420"/>
    <d v="2023-10-21T00:00:00"/>
    <s v="Null"/>
    <n v="56"/>
    <s v="Male"/>
    <s v="Beauty"/>
    <s v="Biotique Sunscreen"/>
    <n v="4"/>
    <n v="554"/>
    <x v="12"/>
    <s v="Card"/>
    <x v="0"/>
    <x v="0"/>
    <n v="443.2"/>
    <x v="0"/>
    <x v="0"/>
    <x v="2"/>
    <s v="Male"/>
    <x v="6"/>
  </r>
  <r>
    <s v="ORD20844"/>
    <s v="Null"/>
    <s v="Swati Jain"/>
    <n v="34"/>
    <s v="Male"/>
    <s v="BEUTY"/>
    <s v="Mamaearth Face Wash"/>
    <n v="1"/>
    <n v="533"/>
    <x v="5"/>
    <s v="Crdit Card"/>
    <x v="2"/>
    <x v="2"/>
    <n v="453.05"/>
    <x v="1"/>
    <x v="1"/>
    <x v="2"/>
    <s v="Male"/>
    <x v="2"/>
  </r>
  <r>
    <s v="ORD20639"/>
    <d v="2023-06-06T00:00:00"/>
    <s v="Rahul Gupta"/>
    <n v="22"/>
    <s v="Mle"/>
    <s v="Beauty"/>
    <s v="Nykaa Kajal"/>
    <n v="2"/>
    <n v="284"/>
    <x v="7"/>
    <s v="Card"/>
    <x v="0"/>
    <x v="0"/>
    <n v="454.4"/>
    <x v="1"/>
    <x v="1"/>
    <x v="2"/>
    <s v="Other"/>
    <x v="3"/>
  </r>
  <r>
    <s v="ORD20174"/>
    <d v="2023-03-04T00:00:00"/>
    <s v="Meera Nambiar"/>
    <n v="61"/>
    <s v="Female"/>
    <s v="Beauty"/>
    <s v="Nykaa Kajal"/>
    <n v="1"/>
    <n v="475"/>
    <x v="0"/>
    <s v="UPI"/>
    <x v="2"/>
    <x v="2"/>
    <n v="475"/>
    <x v="0"/>
    <x v="0"/>
    <x v="2"/>
    <s v="Female"/>
    <x v="7"/>
  </r>
  <r>
    <s v="ORD20434"/>
    <s v="Null"/>
    <s v="Meera Nambiar"/>
    <n v="25"/>
    <s v="Female"/>
    <s v="Beauty"/>
    <s v="Nykaa Kajal"/>
    <n v="10"/>
    <n v="478"/>
    <x v="0"/>
    <s v="UPI"/>
    <x v="0"/>
    <x v="0"/>
    <n v="478"/>
    <x v="1"/>
    <x v="1"/>
    <x v="2"/>
    <s v="Female"/>
    <x v="2"/>
  </r>
  <r>
    <s v="ORD20613"/>
    <s v="Null"/>
    <s v="Sanjay Dubey"/>
    <n v="35"/>
    <s v="Female"/>
    <s v="Beauty"/>
    <s v="Maybelline Lipstick"/>
    <n v="10"/>
    <n v="522"/>
    <x v="4"/>
    <s v="COD"/>
    <x v="2"/>
    <x v="2"/>
    <n v="522"/>
    <x v="3"/>
    <x v="3"/>
    <x v="2"/>
    <s v="Female"/>
    <x v="2"/>
  </r>
  <r>
    <s v="ORD20205"/>
    <d v="2023-10-04T00:00:00"/>
    <s v="Nitin Kapoor"/>
    <n v="44"/>
    <s v="Male"/>
    <s v="Beauty"/>
    <s v="Garnier Micellar Water"/>
    <n v="1"/>
    <n v="536"/>
    <x v="0"/>
    <s v="Card"/>
    <x v="1"/>
    <x v="1"/>
    <n v="536"/>
    <x v="1"/>
    <x v="1"/>
    <x v="2"/>
    <s v="Male"/>
    <x v="6"/>
  </r>
  <r>
    <s v="ORD20226"/>
    <s v="Null"/>
    <s v="Amit Kumar"/>
    <n v="62"/>
    <s v="Male"/>
    <s v="Beauty"/>
    <s v="Maybelline Lipstick"/>
    <n v="1"/>
    <n v="740"/>
    <x v="6"/>
    <s v="UPI"/>
    <x v="0"/>
    <x v="0"/>
    <n v="555"/>
    <x v="3"/>
    <x v="3"/>
    <x v="2"/>
    <s v="Male"/>
    <x v="2"/>
  </r>
  <r>
    <s v="ORD20592"/>
    <d v="2023-01-10T00:00:00"/>
    <s v="Nikhil Bose"/>
    <n v="54"/>
    <s v="Femal"/>
    <s v="BEUTY"/>
    <s v="Mamaearth Face Wash"/>
    <n v="8"/>
    <n v="560"/>
    <x v="6"/>
    <s v="Card"/>
    <x v="4"/>
    <x v="1"/>
    <n v="560"/>
    <x v="0"/>
    <x v="0"/>
    <x v="2"/>
    <s v="Other"/>
    <x v="9"/>
  </r>
  <r>
    <s v="ORD20011"/>
    <d v="2023-11-01T00:00:00"/>
    <s v="Rajesh Tiwari"/>
    <n v="49"/>
    <s v="Female"/>
    <s v="Beauty"/>
    <s v="Garnier Micellar Water"/>
    <n v="2"/>
    <n v="590"/>
    <x v="8"/>
    <s v="Card"/>
    <x v="2"/>
    <x v="2"/>
    <n v="590"/>
    <x v="3"/>
    <x v="3"/>
    <x v="2"/>
    <s v="Female"/>
    <x v="1"/>
  </r>
  <r>
    <s v="ORD20170"/>
    <d v="2023-09-03T00:00:00"/>
    <s v="Shreya Pandey"/>
    <n v="39"/>
    <s v="Female"/>
    <s v="Beauty"/>
    <s v="Plum Night Cream"/>
    <n v="1"/>
    <n v="591"/>
    <x v="4"/>
    <s v="Cash"/>
    <x v="0"/>
    <x v="0"/>
    <n v="591"/>
    <x v="2"/>
    <x v="2"/>
    <x v="2"/>
    <s v="Female"/>
    <x v="0"/>
  </r>
  <r>
    <s v="ORD20020"/>
    <d v="2023-02-09T00:00:00"/>
    <s v="Manoj Chauhan"/>
    <n v="35"/>
    <s v="Femle"/>
    <s v="Beauty"/>
    <s v="Dove Body Lotion"/>
    <n v="3"/>
    <n v="411"/>
    <x v="8"/>
    <s v="UPI"/>
    <x v="0"/>
    <x v="0"/>
    <n v="616.5"/>
    <x v="2"/>
    <x v="2"/>
    <x v="2"/>
    <s v="Other"/>
    <x v="12"/>
  </r>
  <r>
    <s v="ORD20971"/>
    <d v="2023-02-18T00:00:00"/>
    <s v="Null"/>
    <n v="37"/>
    <s v="Female"/>
    <s v="Electronics"/>
    <s v="boAt Earbuds"/>
    <n v="1"/>
    <n v="2500"/>
    <x v="11"/>
    <s v="UPI"/>
    <x v="0"/>
    <x v="0"/>
    <n v="625"/>
    <x v="9"/>
    <x v="3"/>
    <x v="0"/>
    <s v="Female"/>
    <x v="12"/>
  </r>
  <r>
    <s v="ORD20564"/>
    <d v="2023-10-19T00:00:00"/>
    <s v="Deepika Rao"/>
    <n v="18"/>
    <s v="Male"/>
    <s v="Beauty"/>
    <s v="Nykaa Kajal"/>
    <n v="3"/>
    <n v="364"/>
    <x v="1"/>
    <s v="Card"/>
    <x v="0"/>
    <x v="0"/>
    <n v="655.20000000000005"/>
    <x v="0"/>
    <x v="0"/>
    <x v="2"/>
    <s v="Male"/>
    <x v="6"/>
  </r>
  <r>
    <s v="ORD20814"/>
    <d v="2023-06-19T00:00:00"/>
    <s v="Deepika Rao"/>
    <n v="30"/>
    <s v="Female"/>
    <s v="Beauty"/>
    <s v="Mamaearth Face Wash"/>
    <n v="2"/>
    <n v="438"/>
    <x v="7"/>
    <s v="COD"/>
    <x v="2"/>
    <x v="2"/>
    <n v="700.8"/>
    <x v="2"/>
    <x v="2"/>
    <x v="2"/>
    <s v="Female"/>
    <x v="3"/>
  </r>
  <r>
    <s v="ORD20834"/>
    <d v="2023-06-04T00:00:00"/>
    <s v="Neha Mishra"/>
    <n v="48"/>
    <s v="Female"/>
    <s v="Beauty"/>
    <s v="Dove Body Lotion"/>
    <n v="2"/>
    <n v="401"/>
    <x v="2"/>
    <s v="UPI"/>
    <x v="2"/>
    <x v="2"/>
    <n v="721.8"/>
    <x v="0"/>
    <x v="0"/>
    <x v="2"/>
    <s v="Female"/>
    <x v="3"/>
  </r>
  <r>
    <s v="ORD20368"/>
    <d v="2023-10-05T00:00:00"/>
    <s v="Arjun Pillai"/>
    <n v="29"/>
    <s v="Female"/>
    <s v="Home &amp; Kitchen"/>
    <s v="Milton Steel Bottles"/>
    <n v="1"/>
    <n v="1003"/>
    <x v="6"/>
    <s v="Cash"/>
    <x v="1"/>
    <x v="1"/>
    <n v="752.25"/>
    <x v="3"/>
    <x v="3"/>
    <x v="3"/>
    <s v="Female"/>
    <x v="6"/>
  </r>
  <r>
    <s v="ORD20221"/>
    <s v="Null"/>
    <s v="Manoj Chauhan"/>
    <n v="60"/>
    <s v="Femle"/>
    <s v="Beauty"/>
    <s v="Dove Body Lotion"/>
    <n v="3"/>
    <n v="524"/>
    <x v="8"/>
    <s v="Cash"/>
    <x v="0"/>
    <x v="0"/>
    <n v="786"/>
    <x v="1"/>
    <x v="1"/>
    <x v="2"/>
    <s v="Other"/>
    <x v="2"/>
  </r>
  <r>
    <s v="ORD20646"/>
    <d v="2023-10-28T00:00:00"/>
    <s v="Null"/>
    <n v="45"/>
    <s v="Female"/>
    <s v="Beauty"/>
    <s v="Mamaearth Face Wash"/>
    <n v="3"/>
    <n v="376"/>
    <x v="10"/>
    <s v="Cash"/>
    <x v="0"/>
    <x v="0"/>
    <n v="789.6"/>
    <x v="3"/>
    <x v="3"/>
    <x v="2"/>
    <s v="Female"/>
    <x v="6"/>
  </r>
  <r>
    <s v="ORD20307"/>
    <s v="Null"/>
    <s v="Sanjay Dubey"/>
    <n v="44"/>
    <s v="Female"/>
    <s v="clothing"/>
    <s v="Fabindia Kurta"/>
    <n v="1"/>
    <n v="1650"/>
    <x v="8"/>
    <s v="Cash"/>
    <x v="2"/>
    <x v="2"/>
    <n v="825"/>
    <x v="2"/>
    <x v="2"/>
    <x v="1"/>
    <s v="Female"/>
    <x v="2"/>
  </r>
  <r>
    <s v="ORD20486"/>
    <d v="2023-12-09T00:00:00"/>
    <s v="Lakshmi Krishnan"/>
    <n v="26"/>
    <s v="Other"/>
    <s v="Beauty"/>
    <s v="Maybelline Lipstick"/>
    <n v="2"/>
    <n v="446"/>
    <x v="4"/>
    <s v="COD"/>
    <x v="0"/>
    <x v="0"/>
    <n v="847.4"/>
    <x v="1"/>
    <x v="1"/>
    <x v="2"/>
    <s v="Other"/>
    <x v="4"/>
  </r>
  <r>
    <s v="ORD20495"/>
    <d v="2023-06-10T00:00:00"/>
    <s v="Ashok Yadav"/>
    <m/>
    <s v="Male"/>
    <s v="clothing"/>
    <s v="H&amp;M T-Shirt"/>
    <n v="1"/>
    <n v="1750"/>
    <x v="8"/>
    <s v="Card"/>
    <x v="0"/>
    <x v="0"/>
    <n v="875"/>
    <x v="1"/>
    <x v="1"/>
    <x v="1"/>
    <s v="Male"/>
    <x v="3"/>
  </r>
  <r>
    <s v="ORD20249"/>
    <s v="Null"/>
    <s v="Null"/>
    <n v="18"/>
    <s v="Female"/>
    <s v="Beauty"/>
    <s v="Himalaya Neem Face Pack"/>
    <n v="3"/>
    <n v="297"/>
    <x v="2"/>
    <s v="Card"/>
    <x v="0"/>
    <x v="0"/>
    <n v="891"/>
    <x v="0"/>
    <x v="0"/>
    <x v="2"/>
    <s v="Female"/>
    <x v="2"/>
  </r>
  <r>
    <s v="ORD20603"/>
    <s v="Null"/>
    <s v="Shreya Pandey"/>
    <n v="45"/>
    <s v="Female"/>
    <s v="Beauty"/>
    <s v="Lakme Foundation"/>
    <n v="1"/>
    <n v="913"/>
    <x v="0"/>
    <s v="COD"/>
    <x v="0"/>
    <x v="0"/>
    <n v="913"/>
    <x v="2"/>
    <x v="2"/>
    <x v="2"/>
    <s v="Female"/>
    <x v="2"/>
  </r>
  <r>
    <s v="ORD20688"/>
    <s v="Null"/>
    <s v="Null"/>
    <n v="48"/>
    <s v="Female"/>
    <s v="Beauty"/>
    <s v="Nykaa Kajal"/>
    <n v="8"/>
    <n v="240"/>
    <x v="8"/>
    <s v="COD"/>
    <x v="5"/>
    <x v="0"/>
    <n v="960"/>
    <x v="3"/>
    <x v="3"/>
    <x v="2"/>
    <s v="Female"/>
    <x v="2"/>
  </r>
  <r>
    <s v="ORD20871"/>
    <d v="2023-11-16T00:00:00"/>
    <s v="Shreya Pandey"/>
    <n v="19"/>
    <s v="Female"/>
    <s v="Beauty"/>
    <s v="Nykaa Kajal"/>
    <n v="3"/>
    <n v="401"/>
    <x v="7"/>
    <s v="COD"/>
    <x v="0"/>
    <x v="0"/>
    <n v="962.4"/>
    <x v="2"/>
    <x v="2"/>
    <x v="2"/>
    <s v="Female"/>
    <x v="1"/>
  </r>
  <r>
    <s v="ORD20462"/>
    <d v="2023-12-02T00:00:00"/>
    <s v="Vikas Saxena"/>
    <n v="50"/>
    <s v="Female"/>
    <s v="clothing"/>
    <s v="H&amp;M T-Shirt"/>
    <n v="1"/>
    <n v="1300"/>
    <x v="6"/>
    <s v="UPI"/>
    <x v="1"/>
    <x v="1"/>
    <n v="975"/>
    <x v="2"/>
    <x v="2"/>
    <x v="1"/>
    <s v="Female"/>
    <x v="4"/>
  </r>
  <r>
    <s v="ORD20903"/>
    <d v="2023-11-07T00:00:00"/>
    <s v="Rekha Sinha"/>
    <n v="52"/>
    <s v="Female"/>
    <s v="Home &amp; Kitchen"/>
    <s v="Milton Steel Bottles"/>
    <n v="1"/>
    <n v="983"/>
    <x v="0"/>
    <s v="Cash"/>
    <x v="0"/>
    <x v="0"/>
    <n v="983"/>
    <x v="0"/>
    <x v="0"/>
    <x v="3"/>
    <s v="Female"/>
    <x v="1"/>
  </r>
  <r>
    <s v="ORD20896"/>
    <d v="2023-04-21T00:00:00"/>
    <s v="Null"/>
    <n v="65"/>
    <s v="Male"/>
    <s v="Beauty"/>
    <s v="WOW Vitamin C Serum"/>
    <n v="1"/>
    <n v="1107"/>
    <x v="2"/>
    <s v="Card"/>
    <x v="2"/>
    <x v="2"/>
    <n v="996.3"/>
    <x v="3"/>
    <x v="3"/>
    <x v="2"/>
    <s v="Male"/>
    <x v="11"/>
  </r>
  <r>
    <s v="ORD20823"/>
    <s v="Null"/>
    <s v="Rahul Gupta"/>
    <n v="20"/>
    <s v="Male"/>
    <s v="BEUTY"/>
    <s v="Nykaa Kajal"/>
    <n v="5"/>
    <n v="239"/>
    <x v="5"/>
    <s v="Card"/>
    <x v="0"/>
    <x v="0"/>
    <n v="1015.75"/>
    <x v="2"/>
    <x v="2"/>
    <x v="2"/>
    <s v="Male"/>
    <x v="2"/>
  </r>
  <r>
    <s v="ORD20436"/>
    <d v="2023-06-22T00:00:00"/>
    <s v="Manoj Chauhan"/>
    <n v="63"/>
    <s v="Female"/>
    <s v="BEUTY"/>
    <s v="WOW Vitamin C Serum"/>
    <n v="1"/>
    <n v="1138"/>
    <x v="2"/>
    <s v="Cash"/>
    <x v="0"/>
    <x v="0"/>
    <n v="1024.2"/>
    <x v="1"/>
    <x v="1"/>
    <x v="2"/>
    <s v="Female"/>
    <x v="3"/>
  </r>
  <r>
    <s v="ORD20370"/>
    <d v="2023-10-13T00:00:00"/>
    <s v="Null"/>
    <n v="28"/>
    <s v="Male"/>
    <s v="Clothiing"/>
    <s v="Fabindia Kurta"/>
    <n v="1"/>
    <n v="1750"/>
    <x v="1"/>
    <s v="Cash"/>
    <x v="5"/>
    <x v="0"/>
    <n v="1050"/>
    <x v="0"/>
    <x v="0"/>
    <x v="1"/>
    <s v="Male"/>
    <x v="6"/>
  </r>
  <r>
    <s v="ORD20978"/>
    <d v="2023-05-16T00:00:00"/>
    <s v="Shweta Ghosh"/>
    <n v="50"/>
    <s v="Male"/>
    <s v="Beauty"/>
    <s v="Plum Night Cream"/>
    <n v="1"/>
    <n v="1059"/>
    <x v="5"/>
    <s v="Card"/>
    <x v="0"/>
    <x v="0"/>
    <n v="1059"/>
    <x v="0"/>
    <x v="0"/>
    <x v="2"/>
    <s v="Male"/>
    <x v="8"/>
  </r>
  <r>
    <s v="ORD20595"/>
    <d v="2023-11-10T00:00:00"/>
    <s v="Anjali Srivastava"/>
    <m/>
    <s v="Male"/>
    <s v="Home &amp; Kitchen"/>
    <s v="Milton Steel Bottles"/>
    <n v="5"/>
    <n v="1062"/>
    <x v="4"/>
    <s v="Card"/>
    <x v="0"/>
    <x v="0"/>
    <n v="1062"/>
    <x v="2"/>
    <x v="2"/>
    <x v="3"/>
    <s v="Male"/>
    <x v="1"/>
  </r>
  <r>
    <s v="ORD20622"/>
    <d v="2023-08-16T00:00:00"/>
    <s v="Manish Agarwal"/>
    <n v="33"/>
    <s v="Male"/>
    <s v="clothing"/>
    <s v="Westside Dress"/>
    <n v="1"/>
    <n v="2150"/>
    <x v="8"/>
    <s v="Cash"/>
    <x v="0"/>
    <x v="0"/>
    <n v="1075"/>
    <x v="1"/>
    <x v="1"/>
    <x v="1"/>
    <s v="Male"/>
    <x v="5"/>
  </r>
  <r>
    <s v="ORD20735"/>
    <d v="2023-05-08T00:00:00"/>
    <s v="Lakshmi Krishnan"/>
    <n v="47"/>
    <s v="Male"/>
    <s v="clothing"/>
    <s v="Fabindia Kurta"/>
    <n v="1"/>
    <n v="1200"/>
    <x v="2"/>
    <s v="UPI"/>
    <x v="0"/>
    <x v="0"/>
    <n v="1080"/>
    <x v="2"/>
    <x v="2"/>
    <x v="1"/>
    <s v="Male"/>
    <x v="8"/>
  </r>
  <r>
    <s v="ORD20735"/>
    <d v="2023-05-08T00:00:00"/>
    <s v="Lakshmi Krishnan"/>
    <n v="47"/>
    <s v="Male"/>
    <s v="clothing"/>
    <s v="Fabindia Kurta"/>
    <n v="1"/>
    <n v="1200"/>
    <x v="2"/>
    <s v="UPI"/>
    <x v="0"/>
    <x v="0"/>
    <n v="1080"/>
    <x v="2"/>
    <x v="2"/>
    <x v="1"/>
    <s v="Male"/>
    <x v="8"/>
  </r>
  <r>
    <s v="ORD20719"/>
    <d v="2023-04-25T00:00:00"/>
    <s v="Rekha Sinha"/>
    <n v="20"/>
    <s v="Female"/>
    <s v="Beauty"/>
    <s v="Kama Ayurveda Hair Oil"/>
    <n v="1"/>
    <n v="1161"/>
    <x v="4"/>
    <s v="COD"/>
    <x v="0"/>
    <x v="0"/>
    <n v="1102.95"/>
    <x v="2"/>
    <x v="2"/>
    <x v="2"/>
    <s v="Female"/>
    <x v="11"/>
  </r>
  <r>
    <s v="ORD20163"/>
    <d v="2023-11-27T00:00:00"/>
    <s v="Arjun Pillai"/>
    <n v="18"/>
    <s v="Male"/>
    <s v="Beauty"/>
    <s v="Dove Body Lotion"/>
    <n v="4"/>
    <n v="375"/>
    <x v="6"/>
    <s v="Cash"/>
    <x v="0"/>
    <x v="0"/>
    <n v="1125"/>
    <x v="1"/>
    <x v="1"/>
    <x v="2"/>
    <s v="Male"/>
    <x v="1"/>
  </r>
  <r>
    <s v="ORD20064"/>
    <d v="2023-04-11T00:00:00"/>
    <s v="Arjun Pillai"/>
    <n v="64"/>
    <s v="Male"/>
    <s v="clothing"/>
    <s v="H&amp;M T-Shirt"/>
    <n v="1"/>
    <n v="1200"/>
    <x v="4"/>
    <s v="Card"/>
    <x v="0"/>
    <x v="0"/>
    <n v="1140"/>
    <x v="3"/>
    <x v="3"/>
    <x v="1"/>
    <s v="Male"/>
    <x v="11"/>
  </r>
  <r>
    <s v="ORD20378"/>
    <s v="Null"/>
    <s v="Rekha Sinha"/>
    <n v="36"/>
    <s v="Male"/>
    <s v="Home &amp; Kitchen"/>
    <s v="Borosil Glass Set"/>
    <n v="1"/>
    <n v="1149"/>
    <x v="12"/>
    <s v="Card"/>
    <x v="0"/>
    <x v="0"/>
    <n v="1149"/>
    <x v="2"/>
    <x v="2"/>
    <x v="3"/>
    <s v="Male"/>
    <x v="2"/>
  </r>
  <r>
    <s v="ORD20720"/>
    <d v="2023-01-12T00:00:00"/>
    <s v="Rajesh Tiwari"/>
    <n v="37"/>
    <s v="Male"/>
    <s v="Beauty"/>
    <s v="Dove Body Lotion"/>
    <n v="3"/>
    <n v="555"/>
    <x v="10"/>
    <s v="UPI"/>
    <x v="0"/>
    <x v="0"/>
    <n v="1165.5"/>
    <x v="2"/>
    <x v="2"/>
    <x v="2"/>
    <s v="Male"/>
    <x v="9"/>
  </r>
  <r>
    <s v="ORD20913"/>
    <s v="Null"/>
    <s v="Ritu Bhatia"/>
    <n v="19"/>
    <s v="Female"/>
    <s v="Home &amp; Kitchen"/>
    <s v="Cello Water Bottle"/>
    <n v="4"/>
    <n v="493"/>
    <x v="1"/>
    <s v="Cash"/>
    <x v="1"/>
    <x v="1"/>
    <n v="1183.2"/>
    <x v="0"/>
    <x v="0"/>
    <x v="3"/>
    <s v="Female"/>
    <x v="2"/>
  </r>
  <r>
    <s v="ORD20276"/>
    <d v="2023-07-08T00:00:00"/>
    <s v="Gaurav Bansal"/>
    <n v="52"/>
    <s v="Female"/>
    <s v="Home &amp; Kitchen"/>
    <s v="Cello Water Bottle"/>
    <n v="2"/>
    <n v="594"/>
    <x v="0"/>
    <s v="UPI"/>
    <x v="6"/>
    <x v="1"/>
    <n v="1188"/>
    <x v="2"/>
    <x v="2"/>
    <x v="3"/>
    <s v="Female"/>
    <x v="10"/>
  </r>
  <r>
    <s v="ORD20904"/>
    <d v="2023-09-03T00:00:00"/>
    <s v="Aarav Sharma"/>
    <n v="28"/>
    <s v="Female"/>
    <s v="Beauty"/>
    <s v="Nykaa Kajal"/>
    <n v="3"/>
    <n v="401"/>
    <x v="0"/>
    <s v="Cash"/>
    <x v="0"/>
    <x v="0"/>
    <n v="1203"/>
    <x v="2"/>
    <x v="2"/>
    <x v="2"/>
    <s v="Female"/>
    <x v="0"/>
  </r>
  <r>
    <s v="ORD20024"/>
    <d v="2023-10-02T00:00:00"/>
    <s v="Neha Mishra"/>
    <n v="42"/>
    <s v="Male"/>
    <s v="Beauty"/>
    <s v="Himalaya Neem Face Pack"/>
    <n v="6"/>
    <n v="225"/>
    <x v="2"/>
    <s v="UPI"/>
    <x v="0"/>
    <x v="0"/>
    <n v="1215"/>
    <x v="2"/>
    <x v="2"/>
    <x v="2"/>
    <s v="Male"/>
    <x v="6"/>
  </r>
  <r>
    <s v="ORD20217"/>
    <s v="Null"/>
    <s v="Vikas Saxena"/>
    <n v="27"/>
    <s v="Male"/>
    <s v="Home &amp; Kitchen"/>
    <s v="Milton Steel Bottles"/>
    <n v="1"/>
    <n v="1228"/>
    <x v="0"/>
    <s v="Card"/>
    <x v="2"/>
    <x v="2"/>
    <n v="1228"/>
    <x v="3"/>
    <x v="3"/>
    <x v="3"/>
    <s v="Male"/>
    <x v="2"/>
  </r>
  <r>
    <s v="ORD20334"/>
    <s v="Null"/>
    <s v="Deepika Rao"/>
    <n v="33"/>
    <s v="Female"/>
    <s v="Home &amp; Kitchen"/>
    <s v="Pigeon Induction Cooktop"/>
    <n v="1"/>
    <n v="2462"/>
    <x v="8"/>
    <s v="Card"/>
    <x v="0"/>
    <x v="0"/>
    <n v="1231"/>
    <x v="3"/>
    <x v="3"/>
    <x v="3"/>
    <s v="Female"/>
    <x v="2"/>
  </r>
  <r>
    <s v="ORD20957"/>
    <d v="2023-10-25T00:00:00"/>
    <s v="Nikhil Bose"/>
    <n v="47"/>
    <s v="Female"/>
    <s v="clothing"/>
    <s v="Fabindia Kurta"/>
    <n v="1"/>
    <n v="1650"/>
    <x v="6"/>
    <s v="Credit Card"/>
    <x v="2"/>
    <x v="2"/>
    <n v="1237.5"/>
    <x v="0"/>
    <x v="0"/>
    <x v="1"/>
    <s v="Female"/>
    <x v="6"/>
  </r>
  <r>
    <s v="ORD20734"/>
    <d v="2023-04-01T00:00:00"/>
    <s v="Manish Agarwal"/>
    <n v="29"/>
    <s v="M"/>
    <s v="Beauty"/>
    <s v="Plum Night Cream"/>
    <n v="6"/>
    <n v="1052"/>
    <x v="12"/>
    <s v="UPI"/>
    <x v="0"/>
    <x v="0"/>
    <n v="1262.4000000000001"/>
    <x v="2"/>
    <x v="2"/>
    <x v="2"/>
    <s v="Male"/>
    <x v="11"/>
  </r>
  <r>
    <s v="ORD20065"/>
    <s v="Null"/>
    <s v="Sanjay Dubey"/>
    <n v="34"/>
    <s v="Female"/>
    <s v="Home &amp; Kitchen"/>
    <s v="Cello Water Bottle"/>
    <n v="4"/>
    <n v="342"/>
    <x v="4"/>
    <s v="UPI"/>
    <x v="2"/>
    <x v="2"/>
    <n v="1299.5999999999999"/>
    <x v="1"/>
    <x v="1"/>
    <x v="3"/>
    <s v="Female"/>
    <x v="2"/>
  </r>
  <r>
    <s v="ORD20450"/>
    <d v="2023-02-07T00:00:00"/>
    <s v="Null"/>
    <n v="47"/>
    <s v="Male"/>
    <s v="clothing"/>
    <s v="H&amp;M T-Shirt"/>
    <n v="1"/>
    <n v="1450"/>
    <x v="2"/>
    <s v="UPI"/>
    <x v="0"/>
    <x v="0"/>
    <n v="1305"/>
    <x v="10"/>
    <x v="2"/>
    <x v="1"/>
    <s v="Male"/>
    <x v="12"/>
  </r>
  <r>
    <s v="ORD20311"/>
    <d v="2023-06-12T00:00:00"/>
    <s v="Lakshmi Krishnan"/>
    <m/>
    <s v="Female"/>
    <s v="Beauty"/>
    <s v="Plum Night Cream"/>
    <n v="2"/>
    <n v="820"/>
    <x v="7"/>
    <s v="UPI"/>
    <x v="0"/>
    <x v="0"/>
    <n v="1312"/>
    <x v="3"/>
    <x v="3"/>
    <x v="2"/>
    <s v="Female"/>
    <x v="3"/>
  </r>
  <r>
    <s v="ORD20491"/>
    <s v="Null"/>
    <s v="Rajesh Tiwari"/>
    <m/>
    <s v="Female"/>
    <s v="Beauty"/>
    <s v="Himalaya Neem Face Pack"/>
    <n v="8"/>
    <n v="219"/>
    <x v="6"/>
    <s v="UPI"/>
    <x v="0"/>
    <x v="0"/>
    <n v="1314"/>
    <x v="2"/>
    <x v="2"/>
    <x v="2"/>
    <s v="Female"/>
    <x v="2"/>
  </r>
  <r>
    <s v="ORD20628"/>
    <d v="2023-09-07T00:00:00"/>
    <s v="Shweta Ghosh"/>
    <n v="31"/>
    <s v="Female"/>
    <s v="Beauty"/>
    <s v="Nykaa Kajal"/>
    <n v="6"/>
    <n v="318"/>
    <x v="10"/>
    <s v="UPI"/>
    <x v="0"/>
    <x v="0"/>
    <n v="1335.6"/>
    <x v="2"/>
    <x v="2"/>
    <x v="2"/>
    <s v="Female"/>
    <x v="0"/>
  </r>
  <r>
    <s v="ORD20792"/>
    <d v="2023-11-22T00:00:00"/>
    <s v="Sanjay Dubey"/>
    <n v="44"/>
    <s v="Male"/>
    <s v="clothing"/>
    <s v="Fabindia Kurta"/>
    <n v="1"/>
    <n v="1500"/>
    <x v="2"/>
    <s v="Card"/>
    <x v="0"/>
    <x v="0"/>
    <n v="1350"/>
    <x v="11"/>
    <x v="2"/>
    <x v="1"/>
    <s v="Male"/>
    <x v="1"/>
  </r>
  <r>
    <s v="ORD20763"/>
    <d v="2023-01-12T00:00:00"/>
    <s v="Nikhil Bose"/>
    <n v="28"/>
    <s v="Female"/>
    <s v="Home &amp; Kitchen"/>
    <s v="Borosil Glass Set"/>
    <n v="1"/>
    <n v="1429"/>
    <x v="4"/>
    <s v="U.P.I"/>
    <x v="0"/>
    <x v="0"/>
    <n v="1357.55"/>
    <x v="0"/>
    <x v="0"/>
    <x v="3"/>
    <s v="Female"/>
    <x v="9"/>
  </r>
  <r>
    <s v="ORD20749"/>
    <d v="2023-03-05T00:00:00"/>
    <s v="Gaurav Bansal"/>
    <n v="62"/>
    <s v="Female"/>
    <s v="Beauty"/>
    <s v="Kama Ayurveda Hair Oil"/>
    <n v="2"/>
    <n v="986"/>
    <x v="10"/>
    <s v="COD"/>
    <x v="1"/>
    <x v="1"/>
    <n v="1380.4"/>
    <x v="8"/>
    <x v="0"/>
    <x v="2"/>
    <s v="Female"/>
    <x v="7"/>
  </r>
  <r>
    <s v="ORD20194"/>
    <s v="Null"/>
    <s v="Amit Kumar"/>
    <n v="30"/>
    <s v="Female"/>
    <s v="clothing"/>
    <s v="H&amp;M T-Shirt"/>
    <n v="1"/>
    <n v="1550"/>
    <x v="2"/>
    <s v="Cash"/>
    <x v="6"/>
    <x v="1"/>
    <n v="1395"/>
    <x v="1"/>
    <x v="1"/>
    <x v="1"/>
    <s v="Female"/>
    <x v="2"/>
  </r>
  <r>
    <s v="ORD20053"/>
    <s v="Null"/>
    <s v="Rekha Sinha"/>
    <n v="55"/>
    <s v="Male"/>
    <s v="Beauty"/>
    <s v="VLCC Gold Facial Kit"/>
    <n v="2"/>
    <n v="944"/>
    <x v="6"/>
    <s v="UPI"/>
    <x v="0"/>
    <x v="0"/>
    <n v="1416"/>
    <x v="3"/>
    <x v="3"/>
    <x v="2"/>
    <s v="Male"/>
    <x v="2"/>
  </r>
  <r>
    <s v="ORD20430"/>
    <d v="2023-05-18T00:00:00"/>
    <s v="Lakshmi Krishnan"/>
    <n v="62"/>
    <s v="Male"/>
    <s v="Beauty"/>
    <s v="Dove Body Lotion"/>
    <n v="4"/>
    <n v="357"/>
    <x v="13"/>
    <s v="Card"/>
    <x v="0"/>
    <x v="0"/>
    <n v="1428"/>
    <x v="1"/>
    <x v="1"/>
    <x v="2"/>
    <s v="Male"/>
    <x v="8"/>
  </r>
  <r>
    <s v="ORD20916"/>
    <d v="2023-12-01T00:00:00"/>
    <s v="Manish Agarwal"/>
    <n v="52"/>
    <s v="Male"/>
    <s v="Home &amp; Kitchen"/>
    <s v="Cello Water Bottle"/>
    <n v="4"/>
    <n v="741"/>
    <x v="8"/>
    <s v="Card"/>
    <x v="0"/>
    <x v="0"/>
    <n v="1482"/>
    <x v="0"/>
    <x v="0"/>
    <x v="3"/>
    <s v="Male"/>
    <x v="4"/>
  </r>
  <r>
    <s v="ORD20753"/>
    <s v="Null"/>
    <s v="Manoj Chauhan"/>
    <n v="48"/>
    <s v="Male"/>
    <s v="clothing"/>
    <s v="Fabindia Kurta"/>
    <n v="1"/>
    <n v="1650"/>
    <x v="2"/>
    <s v="Card"/>
    <x v="2"/>
    <x v="2"/>
    <n v="1485"/>
    <x v="3"/>
    <x v="3"/>
    <x v="1"/>
    <s v="Male"/>
    <x v="2"/>
  </r>
  <r>
    <s v="ORD20280"/>
    <s v="Null"/>
    <s v="Sunita Pandey"/>
    <n v="18"/>
    <s v="Female"/>
    <s v="Beauty"/>
    <s v="Biotique Sunscreen"/>
    <n v="4"/>
    <n v="392"/>
    <x v="4"/>
    <s v="Card"/>
    <x v="1"/>
    <x v="1"/>
    <n v="1489.6"/>
    <x v="3"/>
    <x v="3"/>
    <x v="2"/>
    <s v="Female"/>
    <x v="2"/>
  </r>
  <r>
    <s v="ORD20935"/>
    <d v="2023-12-29T00:00:00"/>
    <s v="Nikhil Bose"/>
    <n v="33"/>
    <s v="Female"/>
    <s v="clothing"/>
    <s v="Nike Running Shoes"/>
    <n v="1"/>
    <n v="7450"/>
    <x v="12"/>
    <s v="UPI"/>
    <x v="0"/>
    <x v="0"/>
    <n v="1490"/>
    <x v="1"/>
    <x v="1"/>
    <x v="1"/>
    <s v="Female"/>
    <x v="4"/>
  </r>
  <r>
    <s v="ORD20028"/>
    <d v="2023-11-01T00:00:00"/>
    <s v="Manoj Chauhan"/>
    <n v="61"/>
    <s v="Male"/>
    <s v="Clthing"/>
    <s v="Cotton Saree"/>
    <n v="2"/>
    <n v="1500"/>
    <x v="8"/>
    <s v="COD"/>
    <x v="0"/>
    <x v="0"/>
    <n v="1500"/>
    <x v="1"/>
    <x v="1"/>
    <x v="1"/>
    <s v="Male"/>
    <x v="1"/>
  </r>
  <r>
    <s v="ORD20651"/>
    <s v="Null"/>
    <s v="Pranav Kulkarni"/>
    <n v="59"/>
    <s v="M"/>
    <s v="Beauty"/>
    <s v="Biotique Sunscreen"/>
    <n v="5"/>
    <n v="504"/>
    <x v="1"/>
    <s v="UPI"/>
    <x v="2"/>
    <x v="2"/>
    <n v="1512"/>
    <x v="3"/>
    <x v="3"/>
    <x v="2"/>
    <s v="Male"/>
    <x v="2"/>
  </r>
  <r>
    <s v="ORD20606"/>
    <d v="2023-11-01T00:00:00"/>
    <s v="Suresh Joshi"/>
    <n v="60"/>
    <s v="Female"/>
    <s v="Beauty"/>
    <s v="Mamaearth Face Wash"/>
    <n v="3"/>
    <n v="506"/>
    <x v="0"/>
    <s v="COD"/>
    <x v="1"/>
    <x v="1"/>
    <n v="1518"/>
    <x v="2"/>
    <x v="2"/>
    <x v="2"/>
    <s v="Female"/>
    <x v="1"/>
  </r>
  <r>
    <s v="ORD20527"/>
    <d v="2023-03-12T00:00:00"/>
    <s v="Rekha Sinha"/>
    <n v="31"/>
    <s v="Male"/>
    <s v="Beauty"/>
    <s v="Himalaya Neem Face Pack"/>
    <n v="8"/>
    <n v="380"/>
    <x v="8"/>
    <s v="Card"/>
    <x v="0"/>
    <x v="0"/>
    <n v="1520"/>
    <x v="2"/>
    <x v="2"/>
    <x v="2"/>
    <s v="Male"/>
    <x v="7"/>
  </r>
  <r>
    <s v="ORD20199"/>
    <d v="2023-05-02T00:00:00"/>
    <s v="Aarav Sharma"/>
    <n v="62"/>
    <s v="Female"/>
    <s v="Home &amp; Kitchen"/>
    <s v="Borosil Glass Set"/>
    <n v="3"/>
    <n v="846"/>
    <x v="1"/>
    <s v="Card"/>
    <x v="0"/>
    <x v="0"/>
    <n v="1522.8"/>
    <x v="3"/>
    <x v="3"/>
    <x v="3"/>
    <s v="Female"/>
    <x v="8"/>
  </r>
  <r>
    <s v="ORD20250"/>
    <d v="2023-09-05T00:00:00"/>
    <s v="Manoj Chauhan"/>
    <n v="57"/>
    <s v="Male"/>
    <s v="Home &amp; Kitchen"/>
    <s v="Asian Paints 4L"/>
    <n v="2"/>
    <n v="1529"/>
    <x v="10"/>
    <s v="UPI"/>
    <x v="2"/>
    <x v="2"/>
    <n v="1529"/>
    <x v="0"/>
    <x v="0"/>
    <x v="3"/>
    <s v="Male"/>
    <x v="0"/>
  </r>
  <r>
    <s v="ORD20853"/>
    <d v="2023-01-30T00:00:00"/>
    <s v="Tanvi Kulkarni"/>
    <n v="31"/>
    <s v="Male"/>
    <s v="Beauty"/>
    <s v="Dove Body Lotion"/>
    <n v="8"/>
    <n v="393"/>
    <x v="8"/>
    <s v="UPI"/>
    <x v="2"/>
    <x v="2"/>
    <n v="1572"/>
    <x v="1"/>
    <x v="1"/>
    <x v="2"/>
    <s v="Male"/>
    <x v="9"/>
  </r>
  <r>
    <s v="ORD20150"/>
    <d v="2023-03-05T00:00:00"/>
    <s v="Sanjay Dubey"/>
    <n v="52"/>
    <s v="Male"/>
    <s v="Beauty"/>
    <s v="Himalaya Neem Face Pack"/>
    <n v="6"/>
    <n v="309"/>
    <x v="5"/>
    <s v="COD"/>
    <x v="3"/>
    <x v="0"/>
    <n v="1575.9"/>
    <x v="2"/>
    <x v="2"/>
    <x v="2"/>
    <s v="Male"/>
    <x v="7"/>
  </r>
  <r>
    <s v="ORD20721"/>
    <s v="Null"/>
    <s v="Deepika Rao"/>
    <n v="27"/>
    <s v="Male"/>
    <s v="Beauty"/>
    <s v="Maybelline Lipstick"/>
    <n v="6"/>
    <n v="532"/>
    <x v="8"/>
    <s v="UPI"/>
    <x v="0"/>
    <x v="0"/>
    <n v="1596"/>
    <x v="2"/>
    <x v="2"/>
    <x v="2"/>
    <s v="Male"/>
    <x v="2"/>
  </r>
  <r>
    <s v="ORD20615"/>
    <d v="2023-11-05T00:00:00"/>
    <s v="Shweta Ghosh"/>
    <n v="30"/>
    <s v="Female"/>
    <s v="Home &amp; Kitchen"/>
    <s v="Cello Water Bottle"/>
    <n v="4"/>
    <n v="571"/>
    <x v="10"/>
    <s v="UPI"/>
    <x v="0"/>
    <x v="0"/>
    <n v="1598.8"/>
    <x v="0"/>
    <x v="0"/>
    <x v="3"/>
    <s v="Female"/>
    <x v="1"/>
  </r>
  <r>
    <s v="ORD20521"/>
    <s v="Null"/>
    <s v="Pooja Nair"/>
    <n v="27"/>
    <s v="Female"/>
    <s v="clothing"/>
    <s v="Cotton Saree"/>
    <n v="1"/>
    <n v="3200"/>
    <x v="8"/>
    <s v="Cash"/>
    <x v="2"/>
    <x v="2"/>
    <n v="1600"/>
    <x v="1"/>
    <x v="1"/>
    <x v="1"/>
    <s v="Female"/>
    <x v="2"/>
  </r>
  <r>
    <s v="ORD20868"/>
    <d v="2023-07-10T00:00:00"/>
    <s v="Deepika Rao"/>
    <n v="26"/>
    <s v="Female"/>
    <s v="Beauty"/>
    <s v="Plum Night Cream"/>
    <n v="3"/>
    <n v="536"/>
    <x v="13"/>
    <s v="Cash"/>
    <x v="0"/>
    <x v="0"/>
    <n v="1608"/>
    <x v="0"/>
    <x v="0"/>
    <x v="2"/>
    <s v="Female"/>
    <x v="10"/>
  </r>
  <r>
    <s v="ORD20212"/>
    <d v="2023-12-15T00:00:00"/>
    <s v="Shreya Pandey"/>
    <n v="5"/>
    <s v="M"/>
    <s v="Electronics"/>
    <s v="boAt Earbuds"/>
    <n v="1"/>
    <n v="1800"/>
    <x v="2"/>
    <s v="UPI"/>
    <x v="0"/>
    <x v="0"/>
    <n v="1620"/>
    <x v="1"/>
    <x v="1"/>
    <x v="0"/>
    <s v="Male"/>
    <x v="4"/>
  </r>
  <r>
    <s v="ORD20258"/>
    <s v="Null"/>
    <s v="Gaurav Bansal"/>
    <n v="27"/>
    <s v="Male"/>
    <s v="clothing"/>
    <s v="Fabindia Kurta"/>
    <n v="1"/>
    <n v="1800"/>
    <x v="2"/>
    <s v="Cash"/>
    <x v="2"/>
    <x v="2"/>
    <n v="1620"/>
    <x v="2"/>
    <x v="2"/>
    <x v="1"/>
    <s v="Male"/>
    <x v="2"/>
  </r>
  <r>
    <s v="ORD20160"/>
    <d v="2023-08-28T00:00:00"/>
    <s v="Ananya Singh"/>
    <n v="27"/>
    <s v="Male"/>
    <s v="Home &amp; Kitchen"/>
    <s v="Asian Paints 4L"/>
    <n v="1"/>
    <n v="2059"/>
    <x v="7"/>
    <s v="Card"/>
    <x v="0"/>
    <x v="0"/>
    <n v="1647.2"/>
    <x v="3"/>
    <x v="3"/>
    <x v="3"/>
    <s v="Male"/>
    <x v="5"/>
  </r>
  <r>
    <s v="ORD20111"/>
    <d v="2023-03-12T00:00:00"/>
    <s v="Lakshmi Krishnan"/>
    <n v="53"/>
    <s v="Male"/>
    <s v="clothing"/>
    <s v="Westside Dress"/>
    <n v="1"/>
    <n v="2200"/>
    <x v="6"/>
    <s v="Card"/>
    <x v="0"/>
    <x v="0"/>
    <n v="1650"/>
    <x v="2"/>
    <x v="2"/>
    <x v="1"/>
    <s v="Male"/>
    <x v="7"/>
  </r>
  <r>
    <s v="ORD20520"/>
    <d v="2023-01-24T00:00:00"/>
    <s v="Shweta Ghosh"/>
    <n v="45"/>
    <s v="Female"/>
    <s v="clothing"/>
    <s v="Fabindia Kurta"/>
    <n v="1"/>
    <n v="1650"/>
    <x v="0"/>
    <s v="Cash"/>
    <x v="0"/>
    <x v="0"/>
    <n v="1650"/>
    <x v="2"/>
    <x v="2"/>
    <x v="1"/>
    <s v="Female"/>
    <x v="9"/>
  </r>
  <r>
    <s v="ORD20038"/>
    <d v="2023-05-28T00:00:00"/>
    <s v="Manish Agarwal"/>
    <n v="22"/>
    <s v="Male"/>
    <s v="Home &amp; Kitchen"/>
    <s v="Cello Water Bottle"/>
    <n v="6"/>
    <n v="324"/>
    <x v="5"/>
    <s v="Cash"/>
    <x v="1"/>
    <x v="1"/>
    <n v="1652.4"/>
    <x v="2"/>
    <x v="2"/>
    <x v="3"/>
    <s v="Male"/>
    <x v="8"/>
  </r>
  <r>
    <s v="ORD20007"/>
    <d v="2023-11-30T00:00:00"/>
    <s v="Smita Desai"/>
    <n v="57"/>
    <s v="Female"/>
    <s v="Home &amp; Kitchen"/>
    <s v="Usha Iron"/>
    <n v="1"/>
    <n v="1654"/>
    <x v="0"/>
    <s v="UPI"/>
    <x v="0"/>
    <x v="0"/>
    <n v="1654"/>
    <x v="2"/>
    <x v="2"/>
    <x v="3"/>
    <s v="Female"/>
    <x v="1"/>
  </r>
  <r>
    <s v="ORD20633"/>
    <d v="2023-02-07T00:00:00"/>
    <s v="Null"/>
    <n v="19"/>
    <s v="Other"/>
    <s v="clothing"/>
    <s v="Fabindia Kurta"/>
    <n v="2"/>
    <n v="1400"/>
    <x v="1"/>
    <s v="Card"/>
    <x v="0"/>
    <x v="0"/>
    <n v="1680"/>
    <x v="1"/>
    <x v="1"/>
    <x v="1"/>
    <s v="Other"/>
    <x v="12"/>
  </r>
  <r>
    <s v="ORD20241"/>
    <d v="2023-09-05T00:00:00"/>
    <s v="Neha Mishra"/>
    <n v="61"/>
    <s v="Male"/>
    <s v="Home &amp; Kitchen"/>
    <s v="Cello Water Bottle"/>
    <n v="7"/>
    <n v="305"/>
    <x v="7"/>
    <s v="Card"/>
    <x v="3"/>
    <x v="0"/>
    <n v="1708"/>
    <x v="2"/>
    <x v="2"/>
    <x v="3"/>
    <s v="Male"/>
    <x v="0"/>
  </r>
  <r>
    <s v="ORD20252"/>
    <d v="2023-08-30T00:00:00"/>
    <s v="Pranav Kulkarni"/>
    <n v="19"/>
    <s v="Male"/>
    <s v="Beauty"/>
    <s v="L'Oreal Shampoo"/>
    <n v="2"/>
    <n v="866"/>
    <x v="0"/>
    <s v="Card"/>
    <x v="0"/>
    <x v="0"/>
    <n v="1732"/>
    <x v="1"/>
    <x v="1"/>
    <x v="2"/>
    <s v="Male"/>
    <x v="5"/>
  </r>
  <r>
    <s v="ORD20652"/>
    <d v="2023-05-09T00:00:00"/>
    <s v="Pallavi Deshmukh"/>
    <n v="45"/>
    <s v="Other"/>
    <s v="Beauty"/>
    <s v="Himalaya Neem Face Pack"/>
    <n v="5"/>
    <n v="386"/>
    <x v="2"/>
    <s v="Debit Card"/>
    <x v="1"/>
    <x v="1"/>
    <n v="1737"/>
    <x v="0"/>
    <x v="0"/>
    <x v="2"/>
    <s v="Other"/>
    <x v="8"/>
  </r>
  <r>
    <s v="ORD20463"/>
    <s v="Null"/>
    <s v="Null"/>
    <n v="49"/>
    <s v="Female"/>
    <s v="Beauty"/>
    <s v="Dove Body Lotion"/>
    <n v="3"/>
    <n v="581"/>
    <x v="0"/>
    <s v="UPI"/>
    <x v="5"/>
    <x v="0"/>
    <n v="1743"/>
    <x v="0"/>
    <x v="0"/>
    <x v="2"/>
    <s v="Female"/>
    <x v="2"/>
  </r>
  <r>
    <s v="ORD20222"/>
    <d v="2023-05-11T00:00:00"/>
    <s v="Neha Mishra"/>
    <n v="38"/>
    <s v="Male"/>
    <s v="Beauty"/>
    <s v="L'Oreal Shampoo"/>
    <n v="1"/>
    <n v="436"/>
    <x v="0"/>
    <s v="UPI"/>
    <x v="1"/>
    <x v="1"/>
    <n v="1744"/>
    <x v="0"/>
    <x v="0"/>
    <x v="2"/>
    <s v="Male"/>
    <x v="8"/>
  </r>
  <r>
    <s v="ORD20308"/>
    <d v="2023-03-04T00:00:00"/>
    <s v="Null"/>
    <n v="26"/>
    <s v="Female"/>
    <s v="Home &amp; Kitchen"/>
    <s v="Usha Iron"/>
    <n v="1"/>
    <n v="1952"/>
    <x v="2"/>
    <s v="UPI"/>
    <x v="2"/>
    <x v="2"/>
    <n v="1756.8"/>
    <x v="12"/>
    <x v="1"/>
    <x v="3"/>
    <s v="Female"/>
    <x v="7"/>
  </r>
  <r>
    <s v="ORD20761"/>
    <d v="2023-12-08T00:00:00"/>
    <s v="Smita Desai"/>
    <n v="52"/>
    <s v="Male"/>
    <s v="Beauty"/>
    <s v="WOW Vitamin C Serum"/>
    <n v="3"/>
    <n v="1174"/>
    <x v="8"/>
    <s v="UPI"/>
    <x v="2"/>
    <x v="2"/>
    <n v="1761"/>
    <x v="3"/>
    <x v="3"/>
    <x v="2"/>
    <s v="Male"/>
    <x v="4"/>
  </r>
  <r>
    <s v="ORD20279"/>
    <s v="Null"/>
    <s v="Swati Jain"/>
    <n v="35"/>
    <s v="Male"/>
    <s v="Beauty"/>
    <s v="Mamaearth Face Wash"/>
    <n v="6"/>
    <n v="310"/>
    <x v="4"/>
    <s v="COD"/>
    <x v="0"/>
    <x v="0"/>
    <n v="1767"/>
    <x v="1"/>
    <x v="1"/>
    <x v="2"/>
    <s v="Male"/>
    <x v="2"/>
  </r>
  <r>
    <s v="ORD20349"/>
    <d v="2023-09-17T00:00:00"/>
    <s v="Pallavi Deshmukh"/>
    <n v="33"/>
    <s v="Male"/>
    <s v="Beauty"/>
    <s v="Biotique Sunscreen"/>
    <n v="4"/>
    <n v="493"/>
    <x v="2"/>
    <s v="Card"/>
    <x v="0"/>
    <x v="0"/>
    <n v="1774.8"/>
    <x v="0"/>
    <x v="0"/>
    <x v="2"/>
    <s v="Male"/>
    <x v="0"/>
  </r>
  <r>
    <s v="ORD20416"/>
    <d v="2023-03-18T00:00:00"/>
    <s v="Manish Agarwal"/>
    <n v="55"/>
    <s v="Male"/>
    <s v="Beauty"/>
    <s v="Garnier Micellar Water"/>
    <n v="6"/>
    <n v="332"/>
    <x v="2"/>
    <s v="UPI"/>
    <x v="1"/>
    <x v="1"/>
    <n v="1792.8"/>
    <x v="0"/>
    <x v="0"/>
    <x v="2"/>
    <s v="Male"/>
    <x v="7"/>
  </r>
  <r>
    <s v="ORD20197"/>
    <d v="2023-07-11T00:00:00"/>
    <s v="Sneha Iyer"/>
    <n v="44"/>
    <s v="Other"/>
    <s v="Beauty"/>
    <s v="Nykaa Kajal"/>
    <n v="7"/>
    <n v="366"/>
    <x v="10"/>
    <s v="Card"/>
    <x v="0"/>
    <x v="0"/>
    <n v="1793.4"/>
    <x v="1"/>
    <x v="1"/>
    <x v="2"/>
    <s v="Other"/>
    <x v="10"/>
  </r>
  <r>
    <s v="ORD20597"/>
    <d v="2023-02-08T00:00:00"/>
    <s v="Null"/>
    <n v="150"/>
    <s v="Female"/>
    <s v="Beauty"/>
    <s v="Nykaa Kajal"/>
    <n v="6"/>
    <n v="353"/>
    <x v="5"/>
    <s v="Card"/>
    <x v="0"/>
    <x v="0"/>
    <n v="1800.3"/>
    <x v="0"/>
    <x v="0"/>
    <x v="2"/>
    <s v="Female"/>
    <x v="12"/>
  </r>
  <r>
    <s v="ORD20041"/>
    <d v="2023-12-17T00:00:00"/>
    <s v="Pallavi Deshmukh"/>
    <n v="200"/>
    <s v="Male"/>
    <s v="BEUTY"/>
    <s v="Himalaya Neem Face Pack"/>
    <n v="9"/>
    <n v="239"/>
    <x v="5"/>
    <s v="UPI"/>
    <x v="1"/>
    <x v="1"/>
    <n v="1828.35"/>
    <x v="3"/>
    <x v="3"/>
    <x v="2"/>
    <s v="Male"/>
    <x v="4"/>
  </r>
  <r>
    <s v="ORD20660"/>
    <d v="2023-07-26T00:00:00"/>
    <s v="Amit Kumar"/>
    <n v="23"/>
    <s v="Female"/>
    <s v="Home &amp; Kitchen"/>
    <s v="Cello Water Bottle"/>
    <n v="8"/>
    <n v="330"/>
    <x v="10"/>
    <s v="UPI"/>
    <x v="0"/>
    <x v="0"/>
    <n v="1848"/>
    <x v="2"/>
    <x v="2"/>
    <x v="3"/>
    <s v="Female"/>
    <x v="10"/>
  </r>
  <r>
    <s v="ORD20604"/>
    <s v="Null"/>
    <s v="Manoj Chauhan"/>
    <n v="51"/>
    <s v="Female"/>
    <s v="Beauty"/>
    <s v="Dove Body Lotion"/>
    <n v="8"/>
    <n v="464"/>
    <x v="8"/>
    <s v="UPI"/>
    <x v="1"/>
    <x v="1"/>
    <n v="1856"/>
    <x v="1"/>
    <x v="1"/>
    <x v="2"/>
    <s v="Female"/>
    <x v="2"/>
  </r>
  <r>
    <s v="ORD20419"/>
    <s v="Null"/>
    <s v="Aarav Sharma"/>
    <n v="45"/>
    <s v="Female"/>
    <s v="clothing"/>
    <s v="Peter England Trousers"/>
    <n v="1"/>
    <n v="3100"/>
    <x v="1"/>
    <s v="Card"/>
    <x v="0"/>
    <x v="0"/>
    <n v="1860"/>
    <x v="1"/>
    <x v="1"/>
    <x v="1"/>
    <s v="Female"/>
    <x v="2"/>
  </r>
  <r>
    <s v="ORD20443"/>
    <d v="2023-08-20T00:00:00"/>
    <s v="Neha Mishra"/>
    <n v="20"/>
    <s v="Male"/>
    <s v="Beauty"/>
    <s v="Nykaa Kajal"/>
    <n v="7"/>
    <n v="317"/>
    <x v="5"/>
    <s v="Cash"/>
    <x v="2"/>
    <x v="2"/>
    <n v="1886.15"/>
    <x v="1"/>
    <x v="1"/>
    <x v="2"/>
    <s v="Male"/>
    <x v="5"/>
  </r>
  <r>
    <s v="ORD20469"/>
    <d v="2023-06-24T00:00:00"/>
    <s v="Ritu Bhatia"/>
    <n v="18"/>
    <s v="Female"/>
    <s v="Beauty"/>
    <s v="Nykaa Kajal"/>
    <n v="5"/>
    <n v="398"/>
    <x v="4"/>
    <s v="Card"/>
    <x v="2"/>
    <x v="2"/>
    <n v="1890.5"/>
    <x v="0"/>
    <x v="0"/>
    <x v="2"/>
    <s v="Female"/>
    <x v="3"/>
  </r>
  <r>
    <s v="ORD20966"/>
    <d v="2023-09-23T00:00:00"/>
    <s v="Rahul Gupta"/>
    <n v="30"/>
    <s v="Female"/>
    <s v="clothing"/>
    <s v="Peter England Trousers"/>
    <n v="1"/>
    <n v="2000"/>
    <x v="4"/>
    <s v="Card"/>
    <x v="0"/>
    <x v="0"/>
    <n v="1900"/>
    <x v="0"/>
    <x v="0"/>
    <x v="1"/>
    <s v="Female"/>
    <x v="0"/>
  </r>
  <r>
    <s v="ORD20626"/>
    <d v="2023-03-27T00:00:00"/>
    <s v="Manoj Chauhan"/>
    <n v="53"/>
    <s v="Male"/>
    <s v="clothing"/>
    <s v="Westside Dress"/>
    <n v="1"/>
    <n v="3200"/>
    <x v="1"/>
    <s v="Crdit Card"/>
    <x v="2"/>
    <x v="2"/>
    <n v="1920"/>
    <x v="1"/>
    <x v="1"/>
    <x v="1"/>
    <s v="Male"/>
    <x v="7"/>
  </r>
  <r>
    <s v="ORD20262"/>
    <d v="2023-04-24T00:00:00"/>
    <s v="Manoj Chauhan"/>
    <n v="64"/>
    <s v="Male"/>
    <s v="Clothiing"/>
    <s v="Fabindia Kurta"/>
    <n v="1"/>
    <n v="2050"/>
    <x v="4"/>
    <s v="Card"/>
    <x v="1"/>
    <x v="1"/>
    <n v="1947.5"/>
    <x v="0"/>
    <x v="0"/>
    <x v="1"/>
    <s v="Male"/>
    <x v="11"/>
  </r>
  <r>
    <s v="ORD20262"/>
    <d v="2023-04-24T00:00:00"/>
    <s v="Manoj Chauhan"/>
    <n v="64"/>
    <s v="Male"/>
    <s v="Clothiing"/>
    <s v="Fabindia Kurta"/>
    <n v="1"/>
    <n v="2050"/>
    <x v="4"/>
    <s v="Card"/>
    <x v="1"/>
    <x v="1"/>
    <n v="1947.5"/>
    <x v="0"/>
    <x v="0"/>
    <x v="1"/>
    <s v="Male"/>
    <x v="11"/>
  </r>
  <r>
    <s v="ORD20234"/>
    <d v="2023-06-04T00:00:00"/>
    <s v="Shweta Ghosh"/>
    <n v="39"/>
    <s v="M"/>
    <s v="clothing"/>
    <s v="Allen Solly Formal Shirt"/>
    <n v="1"/>
    <n v="2200"/>
    <x v="2"/>
    <s v="Card"/>
    <x v="7"/>
    <x v="2"/>
    <n v="1980"/>
    <x v="7"/>
    <x v="3"/>
    <x v="1"/>
    <s v="Male"/>
    <x v="3"/>
  </r>
  <r>
    <s v="ORD20681"/>
    <s v="Null"/>
    <s v="Gaurav Bansal"/>
    <n v="30"/>
    <s v="Femal"/>
    <s v="clothing"/>
    <s v="H&amp;M T-Shirt"/>
    <n v="2"/>
    <n v="1650"/>
    <x v="1"/>
    <s v="Card"/>
    <x v="0"/>
    <x v="0"/>
    <n v="1980"/>
    <x v="3"/>
    <x v="3"/>
    <x v="1"/>
    <s v="Other"/>
    <x v="2"/>
  </r>
  <r>
    <s v="ORD20399"/>
    <d v="2023-10-31T00:00:00"/>
    <s v="Arjun Pillai"/>
    <n v="26"/>
    <s v="Male"/>
    <s v="Beauty"/>
    <s v="Dove Body Lotion"/>
    <n v="7"/>
    <n v="316"/>
    <x v="2"/>
    <s v="UPI"/>
    <x v="0"/>
    <x v="0"/>
    <n v="1990.8"/>
    <x v="3"/>
    <x v="3"/>
    <x v="2"/>
    <s v="Male"/>
    <x v="6"/>
  </r>
  <r>
    <s v="ORD20777"/>
    <d v="2023-09-26T00:00:00"/>
    <s v="Null"/>
    <n v="32"/>
    <s v="Female"/>
    <s v="clothing"/>
    <s v="Fabindia Kurta"/>
    <n v="1"/>
    <n v="2000"/>
    <x v="0"/>
    <s v="COD"/>
    <x v="0"/>
    <x v="0"/>
    <n v="2000"/>
    <x v="0"/>
    <x v="0"/>
    <x v="1"/>
    <s v="Female"/>
    <x v="0"/>
  </r>
  <r>
    <s v="ORD20401"/>
    <d v="2023-03-17T00:00:00"/>
    <s v="Deepika Rao"/>
    <n v="50"/>
    <s v="Female"/>
    <s v="Electonics"/>
    <s v="Mi Band 7"/>
    <n v="1"/>
    <n v="4000"/>
    <x v="8"/>
    <s v="UPI"/>
    <x v="0"/>
    <x v="0"/>
    <n v="2000"/>
    <x v="3"/>
    <x v="3"/>
    <x v="0"/>
    <s v="Female"/>
    <x v="7"/>
  </r>
  <r>
    <s v="ORD20895"/>
    <s v="Null"/>
    <s v="Sunita Pandey"/>
    <n v="65"/>
    <s v="Female"/>
    <s v="clothing"/>
    <s v="Peter England Trousers"/>
    <n v="2"/>
    <n v="2000"/>
    <x v="4"/>
    <s v="Card"/>
    <x v="2"/>
    <x v="2"/>
    <n v="2000"/>
    <x v="0"/>
    <x v="0"/>
    <x v="1"/>
    <s v="Female"/>
    <x v="2"/>
  </r>
  <r>
    <s v="ORD20630"/>
    <s v="Null"/>
    <s v="Lakshmi Krishnan"/>
    <n v="46"/>
    <s v="Male"/>
    <s v="clothing"/>
    <s v="W Ethnic Wear"/>
    <n v="1"/>
    <n v="2200"/>
    <x v="4"/>
    <s v="UPI"/>
    <x v="0"/>
    <x v="0"/>
    <n v="2090"/>
    <x v="0"/>
    <x v="0"/>
    <x v="1"/>
    <s v="Male"/>
    <x v="2"/>
  </r>
  <r>
    <s v="ORD20384"/>
    <d v="2023-09-20T00:00:00"/>
    <s v="Rekha Sinha"/>
    <n v="59"/>
    <s v="Male"/>
    <s v="clothing"/>
    <s v="W Ethnic Wear"/>
    <n v="1"/>
    <n v="2100"/>
    <x v="0"/>
    <s v="UPI"/>
    <x v="2"/>
    <x v="2"/>
    <n v="2100"/>
    <x v="3"/>
    <x v="3"/>
    <x v="1"/>
    <s v="Male"/>
    <x v="0"/>
  </r>
  <r>
    <s v="ORD20327"/>
    <d v="2023-11-22T00:00:00"/>
    <s v="Null"/>
    <n v="28"/>
    <s v="Female"/>
    <s v="Beauty"/>
    <s v="Biotique Sunscreen"/>
    <n v="6"/>
    <n v="501"/>
    <x v="10"/>
    <s v="COD"/>
    <x v="0"/>
    <x v="0"/>
    <n v="2104.1999999999998"/>
    <x v="2"/>
    <x v="2"/>
    <x v="2"/>
    <s v="Female"/>
    <x v="1"/>
  </r>
  <r>
    <s v="ORD20327"/>
    <d v="2023-11-22T00:00:00"/>
    <s v="Null"/>
    <n v="28"/>
    <s v="Female"/>
    <s v="Beauty"/>
    <s v="Biotique Sunscreen"/>
    <n v="6"/>
    <n v="501"/>
    <x v="10"/>
    <s v="COD"/>
    <x v="0"/>
    <x v="0"/>
    <n v="2104.1999999999998"/>
    <x v="2"/>
    <x v="2"/>
    <x v="2"/>
    <s v="Female"/>
    <x v="1"/>
  </r>
  <r>
    <s v="ORD20831"/>
    <d v="2023-02-27T00:00:00"/>
    <s v="Deepika Rao"/>
    <n v="62"/>
    <s v="Female"/>
    <s v="Beauty"/>
    <s v="Mamaearth Face Wash"/>
    <n v="5"/>
    <n v="427"/>
    <x v="0"/>
    <s v="UPI"/>
    <x v="1"/>
    <x v="1"/>
    <n v="2135"/>
    <x v="1"/>
    <x v="1"/>
    <x v="2"/>
    <s v="Female"/>
    <x v="12"/>
  </r>
  <r>
    <s v="ORD20532"/>
    <d v="2023-01-11T00:00:00"/>
    <s v="Null"/>
    <n v="37"/>
    <s v="Female"/>
    <s v="Beauty"/>
    <s v="Maybelline Lipstick"/>
    <n v="5"/>
    <n v="479"/>
    <x v="2"/>
    <s v="Cash"/>
    <x v="0"/>
    <x v="0"/>
    <n v="2155.5"/>
    <x v="1"/>
    <x v="1"/>
    <x v="2"/>
    <s v="Female"/>
    <x v="9"/>
  </r>
  <r>
    <s v="ORD20032"/>
    <d v="2023-06-01T00:00:00"/>
    <s v="Null"/>
    <n v="21"/>
    <s v="Female"/>
    <s v="Beauty"/>
    <s v="Forest Essentials Cream"/>
    <n v="1"/>
    <n v="2273"/>
    <x v="4"/>
    <s v="Card"/>
    <x v="0"/>
    <x v="0"/>
    <n v="2159.35"/>
    <x v="3"/>
    <x v="3"/>
    <x v="2"/>
    <s v="Female"/>
    <x v="3"/>
  </r>
  <r>
    <s v="ORD20649"/>
    <s v="Null"/>
    <s v="Null"/>
    <n v="35"/>
    <s v="Male"/>
    <s v="clothing"/>
    <s v="Biba Salwar Suit"/>
    <n v="1"/>
    <n v="2400"/>
    <x v="2"/>
    <s v="Cash"/>
    <x v="1"/>
    <x v="1"/>
    <n v="2160"/>
    <x v="2"/>
    <x v="2"/>
    <x v="1"/>
    <s v="Male"/>
    <x v="2"/>
  </r>
  <r>
    <s v="ORD20432"/>
    <d v="2023-12-15T00:00:00"/>
    <s v="Shweta Ghosh"/>
    <n v="47"/>
    <s v="Female"/>
    <s v="clothing"/>
    <s v="W Ethnic Wear"/>
    <n v="1"/>
    <n v="2300"/>
    <x v="4"/>
    <s v="Cash"/>
    <x v="2"/>
    <x v="2"/>
    <n v="2185"/>
    <x v="0"/>
    <x v="0"/>
    <x v="1"/>
    <s v="Female"/>
    <x v="4"/>
  </r>
  <r>
    <s v="ORD20437"/>
    <d v="2023-05-02T00:00:00"/>
    <s v="Nikhil Bose"/>
    <n v="33"/>
    <s v="Female"/>
    <s v="Beauty"/>
    <s v="Lakme Foundation"/>
    <n v="5"/>
    <n v="731"/>
    <x v="1"/>
    <s v="UPI"/>
    <x v="0"/>
    <x v="0"/>
    <n v="2193"/>
    <x v="1"/>
    <x v="1"/>
    <x v="2"/>
    <s v="Female"/>
    <x v="8"/>
  </r>
  <r>
    <s v="ORD20216"/>
    <s v="Null"/>
    <s v="Null"/>
    <n v="56"/>
    <s v="Male"/>
    <s v="Beauty"/>
    <s v="Plum Night Cream"/>
    <n v="4"/>
    <n v="733"/>
    <x v="6"/>
    <s v="Cash"/>
    <x v="0"/>
    <x v="0"/>
    <n v="2199"/>
    <x v="1"/>
    <x v="1"/>
    <x v="2"/>
    <s v="Male"/>
    <x v="2"/>
  </r>
  <r>
    <s v="ORD20825"/>
    <d v="2023-09-13T00:00:00"/>
    <s v="Ananya Singh"/>
    <n v="36"/>
    <s v="Male"/>
    <s v="Home &amp; Kitchen"/>
    <s v="Usha Iron"/>
    <n v="2"/>
    <n v="2218"/>
    <x v="8"/>
    <s v="Card"/>
    <x v="0"/>
    <x v="0"/>
    <n v="2218"/>
    <x v="13"/>
    <x v="0"/>
    <x v="3"/>
    <s v="Male"/>
    <x v="0"/>
  </r>
  <r>
    <s v="ORD20657"/>
    <d v="2023-06-09T00:00:00"/>
    <s v="Aarav Sharma"/>
    <n v="25"/>
    <s v="Female"/>
    <s v="Home &amp; Kitchen"/>
    <s v="Cello Water Bottle"/>
    <n v="3"/>
    <n v="744"/>
    <x v="0"/>
    <s v="UPI"/>
    <x v="8"/>
    <x v="2"/>
    <n v="2232"/>
    <x v="3"/>
    <x v="3"/>
    <x v="3"/>
    <s v="Female"/>
    <x v="3"/>
  </r>
  <r>
    <s v="ORD20049"/>
    <d v="2023-06-03T00:00:00"/>
    <s v="Ananya Singh"/>
    <n v="63"/>
    <s v="Female"/>
    <s v="Home &amp; Kitchen"/>
    <s v="Cello Water Bottle"/>
    <n v="9"/>
    <n v="415"/>
    <x v="1"/>
    <s v="Cash"/>
    <x v="0"/>
    <x v="0"/>
    <n v="2241"/>
    <x v="0"/>
    <x v="0"/>
    <x v="3"/>
    <s v="Female"/>
    <x v="3"/>
  </r>
  <r>
    <s v="ORD20142"/>
    <d v="2023-12-15T00:00:00"/>
    <s v="Neha Mishra"/>
    <n v="42"/>
    <s v="Other"/>
    <s v="Home &amp; Kitchen"/>
    <s v="Milton Steel Bottles"/>
    <n v="3"/>
    <n v="788"/>
    <x v="4"/>
    <s v="Card"/>
    <x v="0"/>
    <x v="0"/>
    <n v="2245.8000000000002"/>
    <x v="3"/>
    <x v="3"/>
    <x v="3"/>
    <s v="Other"/>
    <x v="4"/>
  </r>
  <r>
    <s v="ORD20191"/>
    <s v="Null"/>
    <s v="Pooja Nair"/>
    <n v="56"/>
    <s v="Female"/>
    <s v="Beauty"/>
    <s v="Lakme Foundation"/>
    <n v="6"/>
    <n v="538"/>
    <x v="10"/>
    <s v="UPI"/>
    <x v="0"/>
    <x v="0"/>
    <n v="2259.6"/>
    <x v="0"/>
    <x v="0"/>
    <x v="2"/>
    <s v="Female"/>
    <x v="2"/>
  </r>
  <r>
    <s v="ORD20737"/>
    <d v="2023-02-03T00:00:00"/>
    <s v="Null"/>
    <n v="47"/>
    <s v="Male"/>
    <s v="Beauty"/>
    <s v="Himalaya Neem Face Pack"/>
    <n v="8"/>
    <n v="355"/>
    <x v="7"/>
    <s v="UPI"/>
    <x v="0"/>
    <x v="0"/>
    <n v="2272"/>
    <x v="1"/>
    <x v="1"/>
    <x v="2"/>
    <s v="Male"/>
    <x v="12"/>
  </r>
  <r>
    <s v="ORD20567"/>
    <s v="Null"/>
    <s v="Null"/>
    <n v="60"/>
    <s v="Female"/>
    <s v="clothing"/>
    <s v="Puma Track Suit"/>
    <n v="1"/>
    <n v="4550"/>
    <x v="8"/>
    <s v="Cash"/>
    <x v="2"/>
    <x v="2"/>
    <n v="2275"/>
    <x v="7"/>
    <x v="3"/>
    <x v="1"/>
    <s v="Female"/>
    <x v="2"/>
  </r>
  <r>
    <s v="ORD20584"/>
    <s v="Null"/>
    <s v="Shweta Ghosh"/>
    <n v="20"/>
    <s v="Female"/>
    <s v="Beauty"/>
    <s v="Mamaearth Face Wash"/>
    <n v="6"/>
    <n v="400"/>
    <x v="4"/>
    <s v="COD"/>
    <x v="0"/>
    <x v="0"/>
    <n v="2280"/>
    <x v="1"/>
    <x v="1"/>
    <x v="2"/>
    <s v="Female"/>
    <x v="2"/>
  </r>
  <r>
    <s v="ORD20762"/>
    <s v="Null"/>
    <s v="Arjun Pillai"/>
    <n v="43"/>
    <s v="Male"/>
    <s v="Electonics"/>
    <s v="boAt Earbuds"/>
    <n v="2"/>
    <n v="1900"/>
    <x v="1"/>
    <s v="UPI"/>
    <x v="0"/>
    <x v="0"/>
    <n v="2280"/>
    <x v="1"/>
    <x v="1"/>
    <x v="0"/>
    <s v="Male"/>
    <x v="2"/>
  </r>
  <r>
    <s v="ORD20189"/>
    <d v="2023-11-08T00:00:00"/>
    <s v="Vikram Mehta"/>
    <n v="64"/>
    <s v="Male"/>
    <s v="Home &amp; Kitchen"/>
    <s v="Nilkamal Plastic Chair"/>
    <n v="2"/>
    <n v="1915"/>
    <x v="1"/>
    <s v="Cash"/>
    <x v="0"/>
    <x v="0"/>
    <n v="2298"/>
    <x v="3"/>
    <x v="3"/>
    <x v="3"/>
    <s v="Male"/>
    <x v="1"/>
  </r>
  <r>
    <s v="ORD20188"/>
    <s v="Null"/>
    <s v="Ashok Yadav"/>
    <n v="61"/>
    <s v="Female"/>
    <s v="clothing"/>
    <s v="Westside Dress"/>
    <n v="1"/>
    <n v="2300"/>
    <x v="13"/>
    <s v="Card"/>
    <x v="2"/>
    <x v="2"/>
    <n v="2300"/>
    <x v="3"/>
    <x v="3"/>
    <x v="1"/>
    <s v="Female"/>
    <x v="2"/>
  </r>
  <r>
    <s v="ORD20247"/>
    <d v="2023-06-12T00:00:00"/>
    <s v="Pooja Nair"/>
    <n v="48"/>
    <s v="Female"/>
    <s v="Beauty"/>
    <s v="Kama Ayurveda Hair Oil"/>
    <n v="3"/>
    <n v="1023"/>
    <x v="6"/>
    <s v="Cash"/>
    <x v="0"/>
    <x v="0"/>
    <n v="2301.75"/>
    <x v="0"/>
    <x v="0"/>
    <x v="2"/>
    <s v="Female"/>
    <x v="3"/>
  </r>
  <r>
    <s v="ORD20967"/>
    <d v="2023-06-08T00:00:00"/>
    <s v="Deepika Rao"/>
    <n v="28"/>
    <s v="Female"/>
    <s v="Beauty"/>
    <s v="Biotique Sunscreen"/>
    <n v="6"/>
    <n v="519"/>
    <x v="6"/>
    <s v="UPI"/>
    <x v="1"/>
    <x v="1"/>
    <n v="2335.5"/>
    <x v="3"/>
    <x v="3"/>
    <x v="2"/>
    <s v="Female"/>
    <x v="3"/>
  </r>
  <r>
    <s v="ORD20371"/>
    <s v="Null"/>
    <s v="Vikram Mehta"/>
    <n v="37"/>
    <s v="Male"/>
    <s v="Beauty"/>
    <s v="Kama Ayurveda Hair Oil"/>
    <n v="6"/>
    <n v="787"/>
    <x v="8"/>
    <s v="Cash"/>
    <x v="0"/>
    <x v="0"/>
    <n v="2361"/>
    <x v="1"/>
    <x v="1"/>
    <x v="2"/>
    <s v="Male"/>
    <x v="2"/>
  </r>
  <r>
    <s v="ORD20534"/>
    <d v="2023-12-03T00:00:00"/>
    <s v="Neha Mishra"/>
    <n v="62"/>
    <s v="Male"/>
    <s v="clothing"/>
    <s v="H&amp;M T-Shirt"/>
    <n v="2"/>
    <n v="1700"/>
    <x v="10"/>
    <s v="Crdit Card"/>
    <x v="1"/>
    <x v="1"/>
    <n v="2380"/>
    <x v="3"/>
    <x v="3"/>
    <x v="1"/>
    <s v="Male"/>
    <x v="4"/>
  </r>
  <r>
    <s v="ORD20134"/>
    <s v="Null"/>
    <s v="Manish Agarwal"/>
    <n v="28"/>
    <s v="Female"/>
    <s v="clothing"/>
    <s v="Fabindia Kurta"/>
    <n v="2"/>
    <n v="1700"/>
    <x v="10"/>
    <s v="Card"/>
    <x v="1"/>
    <x v="1"/>
    <n v="2380"/>
    <x v="0"/>
    <x v="0"/>
    <x v="1"/>
    <s v="Female"/>
    <x v="2"/>
  </r>
  <r>
    <s v="ORD20727"/>
    <d v="2023-02-25T00:00:00"/>
    <s v="Swati Jain"/>
    <n v="35"/>
    <s v="Male"/>
    <s v="clothing"/>
    <s v="Biba Salwar Suit"/>
    <n v="1"/>
    <n v="2650"/>
    <x v="2"/>
    <s v="Card"/>
    <x v="2"/>
    <x v="2"/>
    <n v="2385"/>
    <x v="0"/>
    <x v="0"/>
    <x v="1"/>
    <s v="Male"/>
    <x v="12"/>
  </r>
  <r>
    <s v="ORD20590"/>
    <d v="2023-09-03T00:00:00"/>
    <s v="Vikas Saxena"/>
    <n v="36"/>
    <s v="Male"/>
    <s v="Beauty"/>
    <s v="Garnier Micellar Water"/>
    <n v="4"/>
    <n v="600"/>
    <x v="0"/>
    <s v="Card"/>
    <x v="0"/>
    <x v="0"/>
    <n v="2400"/>
    <x v="3"/>
    <x v="3"/>
    <x v="2"/>
    <s v="Male"/>
    <x v="0"/>
  </r>
  <r>
    <s v="ORD20982"/>
    <d v="2023-02-06T00:00:00"/>
    <s v="Null"/>
    <n v="27"/>
    <s v="Male"/>
    <s v="clothing"/>
    <s v="H&amp;M T-Shirt"/>
    <n v="3"/>
    <n v="800"/>
    <x v="0"/>
    <s v="Card"/>
    <x v="2"/>
    <x v="2"/>
    <n v="2400"/>
    <x v="3"/>
    <x v="3"/>
    <x v="1"/>
    <s v="Male"/>
    <x v="12"/>
  </r>
  <r>
    <s v="ORD20588"/>
    <d v="2023-01-06T00:00:00"/>
    <s v="Null"/>
    <n v="22"/>
    <s v="Male"/>
    <s v="clothing"/>
    <s v="Fabindia Kurta"/>
    <n v="1"/>
    <n v="2400"/>
    <x v="0"/>
    <s v="Cash"/>
    <x v="0"/>
    <x v="0"/>
    <n v="2400"/>
    <x v="3"/>
    <x v="3"/>
    <x v="1"/>
    <s v="Male"/>
    <x v="9"/>
  </r>
  <r>
    <s v="ORD20355"/>
    <d v="2023-10-27T00:00:00"/>
    <s v="Manish Agarwal"/>
    <n v="46"/>
    <s v="Female"/>
    <s v="Beauty"/>
    <s v="Nykaa Kajal"/>
    <n v="7"/>
    <n v="347"/>
    <x v="0"/>
    <s v="Card"/>
    <x v="0"/>
    <x v="0"/>
    <n v="2429"/>
    <x v="0"/>
    <x v="0"/>
    <x v="2"/>
    <s v="Female"/>
    <x v="6"/>
  </r>
  <r>
    <s v="ORD20912"/>
    <d v="2023-03-08T00:00:00"/>
    <s v="Rohit Verma"/>
    <n v="65"/>
    <s v="Female"/>
    <s v="Home &amp; Kitchen"/>
    <s v="Bajaj Mixer Grinder"/>
    <n v="1"/>
    <n v="2557"/>
    <x v="4"/>
    <s v="Card"/>
    <x v="2"/>
    <x v="2"/>
    <n v="2429.15"/>
    <x v="2"/>
    <x v="2"/>
    <x v="3"/>
    <s v="Female"/>
    <x v="7"/>
  </r>
  <r>
    <s v="ORD20602"/>
    <d v="2023-12-16T00:00:00"/>
    <s v="Rekha Sinha"/>
    <m/>
    <s v="Male"/>
    <s v="clothing"/>
    <s v="H&amp;M T-Shirt"/>
    <n v="2"/>
    <n v="1350"/>
    <x v="2"/>
    <s v="Cash"/>
    <x v="0"/>
    <x v="0"/>
    <n v="2430"/>
    <x v="0"/>
    <x v="0"/>
    <x v="1"/>
    <s v="Male"/>
    <x v="4"/>
  </r>
  <r>
    <s v="ORD20408"/>
    <d v="2023-12-28T00:00:00"/>
    <s v="Nitin Kapoor"/>
    <n v="42"/>
    <s v="Male"/>
    <s v="Beauty"/>
    <s v="WOW Vitamin C Serum"/>
    <n v="4"/>
    <n v="1221"/>
    <x v="8"/>
    <s v="Card"/>
    <x v="2"/>
    <x v="2"/>
    <n v="2442"/>
    <x v="5"/>
    <x v="3"/>
    <x v="2"/>
    <s v="Male"/>
    <x v="4"/>
  </r>
  <r>
    <s v="ORD20157"/>
    <d v="2023-07-26T00:00:00"/>
    <s v="Vikram Mehta"/>
    <n v="63"/>
    <s v="Other"/>
    <s v="clothing"/>
    <s v="Peter England Trousers"/>
    <n v="2"/>
    <n v="2450"/>
    <x v="8"/>
    <s v="Card"/>
    <x v="0"/>
    <x v="0"/>
    <n v="2450"/>
    <x v="3"/>
    <x v="3"/>
    <x v="1"/>
    <s v="Other"/>
    <x v="10"/>
  </r>
  <r>
    <s v="ORD20890"/>
    <s v="Null"/>
    <s v="Rekha Sinha"/>
    <n v="24"/>
    <s v="Male"/>
    <s v="Home &amp; Kitchen"/>
    <s v="Borosil Glass Set"/>
    <n v="2"/>
    <n v="1227"/>
    <x v="0"/>
    <s v="UPI"/>
    <x v="0"/>
    <x v="0"/>
    <n v="2454"/>
    <x v="0"/>
    <x v="0"/>
    <x v="3"/>
    <s v="Male"/>
    <x v="2"/>
  </r>
  <r>
    <s v="ORD20005"/>
    <d v="2023-07-11T00:00:00"/>
    <s v="Neha Mishra"/>
    <n v="23"/>
    <s v="Female"/>
    <s v="BEUTY"/>
    <s v="Garnier Micellar Water"/>
    <n v="6"/>
    <n v="431"/>
    <x v="4"/>
    <s v="UPI"/>
    <x v="0"/>
    <x v="0"/>
    <n v="2456.6999999999998"/>
    <x v="0"/>
    <x v="0"/>
    <x v="2"/>
    <s v="Female"/>
    <x v="10"/>
  </r>
  <r>
    <s v="ORD20324"/>
    <s v="Null"/>
    <s v="Lakshmi Krishnan"/>
    <n v="47"/>
    <s v="Female"/>
    <s v="Beauty"/>
    <s v="VLCC Gold Facial Kit"/>
    <n v="6"/>
    <n v="827"/>
    <x v="8"/>
    <s v="Card"/>
    <x v="0"/>
    <x v="0"/>
    <n v="2481"/>
    <x v="0"/>
    <x v="0"/>
    <x v="2"/>
    <s v="Female"/>
    <x v="2"/>
  </r>
  <r>
    <s v="ORD20109"/>
    <s v="Null"/>
    <s v="Ashok Yadav"/>
    <n v="49"/>
    <s v="Female"/>
    <s v="Beauty"/>
    <s v="WOW Vitamin C Serum"/>
    <n v="4"/>
    <n v="656"/>
    <x v="4"/>
    <s v="Card"/>
    <x v="0"/>
    <x v="0"/>
    <n v="2492.8000000000002"/>
    <x v="3"/>
    <x v="3"/>
    <x v="2"/>
    <s v="Female"/>
    <x v="2"/>
  </r>
  <r>
    <s v="ORD20880"/>
    <d v="2023-04-05T00:00:00"/>
    <s v="Gaurav Bansal"/>
    <n v="47"/>
    <s v="Female"/>
    <s v="Electronics"/>
    <s v="boAt Earbuds"/>
    <n v="1"/>
    <n v="2500"/>
    <x v="0"/>
    <s v="Card"/>
    <x v="0"/>
    <x v="0"/>
    <n v="2500"/>
    <x v="0"/>
    <x v="0"/>
    <x v="0"/>
    <s v="Female"/>
    <x v="11"/>
  </r>
  <r>
    <s v="ORD20976"/>
    <d v="2023-06-02T00:00:00"/>
    <s v="Neha Mishra"/>
    <n v="38"/>
    <s v="Female"/>
    <s v="clothing"/>
    <s v="H&amp;M T-Shirt"/>
    <n v="2"/>
    <n v="1250"/>
    <x v="0"/>
    <s v="Card"/>
    <x v="0"/>
    <x v="0"/>
    <n v="2500"/>
    <x v="1"/>
    <x v="1"/>
    <x v="1"/>
    <s v="Female"/>
    <x v="3"/>
  </r>
  <r>
    <s v="ORD20139"/>
    <d v="2023-07-06T00:00:00"/>
    <s v="Nikhil Bose"/>
    <n v="58"/>
    <s v="Female"/>
    <s v="Home &amp; Kitchen"/>
    <s v="Milton Steel Bottles"/>
    <n v="6"/>
    <n v="834"/>
    <x v="8"/>
    <s v="Card"/>
    <x v="2"/>
    <x v="2"/>
    <n v="2502"/>
    <x v="1"/>
    <x v="1"/>
    <x v="3"/>
    <s v="Female"/>
    <x v="10"/>
  </r>
  <r>
    <s v="ORD20946"/>
    <s v="Null"/>
    <s v="Ashok Yadav"/>
    <n v="42"/>
    <s v="Male"/>
    <s v="clothing"/>
    <s v="Fabindia Kurta"/>
    <n v="2"/>
    <n v="1400"/>
    <x v="2"/>
    <s v="Cash"/>
    <x v="0"/>
    <x v="0"/>
    <n v="2520"/>
    <x v="2"/>
    <x v="2"/>
    <x v="1"/>
    <s v="Male"/>
    <x v="2"/>
  </r>
  <r>
    <s v="ORD20395"/>
    <d v="2023-02-24T00:00:00"/>
    <s v="Geeta Thakur"/>
    <n v="43"/>
    <s v="Female"/>
    <s v="Home &amp; Kitchen"/>
    <s v="Milton Steel Bottles"/>
    <n v="2"/>
    <n v="1327"/>
    <x v="4"/>
    <s v="UPI"/>
    <x v="0"/>
    <x v="0"/>
    <n v="2521.3000000000002"/>
    <x v="0"/>
    <x v="0"/>
    <x v="3"/>
    <s v="Female"/>
    <x v="12"/>
  </r>
  <r>
    <s v="ORD20185"/>
    <d v="2023-11-10T00:00:00"/>
    <s v="Smita Desai"/>
    <n v="150"/>
    <s v="Male"/>
    <s v="clothing"/>
    <s v="Westside Dress"/>
    <n v="3"/>
    <n v="1700"/>
    <x v="8"/>
    <s v="UPI"/>
    <x v="2"/>
    <x v="2"/>
    <n v="2550"/>
    <x v="1"/>
    <x v="1"/>
    <x v="1"/>
    <s v="Male"/>
    <x v="1"/>
  </r>
  <r>
    <s v="ORD20736"/>
    <d v="2023-11-28T00:00:00"/>
    <s v="Ramesh Naik"/>
    <n v="18"/>
    <s v="Male"/>
    <s v="Beauty"/>
    <s v="Himalaya Neem Face Pack"/>
    <n v="9"/>
    <n v="284"/>
    <x v="13"/>
    <s v="UPI"/>
    <x v="0"/>
    <x v="0"/>
    <n v="2556"/>
    <x v="2"/>
    <x v="2"/>
    <x v="2"/>
    <s v="Male"/>
    <x v="1"/>
  </r>
  <r>
    <s v="ORD20312"/>
    <d v="2023-08-02T00:00:00"/>
    <s v="Null"/>
    <n v="35"/>
    <s v="Female"/>
    <s v="Beauty"/>
    <s v="Dove Body Lotion"/>
    <n v="9"/>
    <n v="475"/>
    <x v="1"/>
    <s v="Card"/>
    <x v="0"/>
    <x v="0"/>
    <n v="2565"/>
    <x v="2"/>
    <x v="2"/>
    <x v="2"/>
    <s v="Female"/>
    <x v="5"/>
  </r>
  <r>
    <s v="ORD20274"/>
    <d v="2023-12-25T00:00:00"/>
    <s v="Manoj Chauhan"/>
    <n v="64"/>
    <s v="Male"/>
    <s v="Electronics"/>
    <s v="boAt Earbuds"/>
    <n v="1"/>
    <n v="2700"/>
    <x v="4"/>
    <s v="COD"/>
    <x v="0"/>
    <x v="0"/>
    <n v="2565"/>
    <x v="3"/>
    <x v="3"/>
    <x v="0"/>
    <s v="Male"/>
    <x v="4"/>
  </r>
  <r>
    <s v="ORD20034"/>
    <d v="2023-11-16T00:00:00"/>
    <s v="Nikhil Bose"/>
    <n v="48"/>
    <s v="Male"/>
    <s v="Electronics"/>
    <s v="Mi Band 7"/>
    <n v="1"/>
    <n v="4300"/>
    <x v="1"/>
    <s v="Cash"/>
    <x v="0"/>
    <x v="0"/>
    <n v="2580"/>
    <x v="2"/>
    <x v="2"/>
    <x v="0"/>
    <s v="Male"/>
    <x v="1"/>
  </r>
  <r>
    <s v="ORD20685"/>
    <d v="2023-12-10T00:00:00"/>
    <s v="Pooja Nair"/>
    <n v="39"/>
    <s v="M"/>
    <s v="clothing"/>
    <s v="W Ethnic Wear"/>
    <n v="2"/>
    <n v="1850"/>
    <x v="10"/>
    <s v="UPI"/>
    <x v="2"/>
    <x v="2"/>
    <n v="2590"/>
    <x v="2"/>
    <x v="2"/>
    <x v="1"/>
    <s v="Male"/>
    <x v="4"/>
  </r>
  <r>
    <s v="ORD20223"/>
    <d v="2023-04-08T00:00:00"/>
    <s v="Gaurav Bansal"/>
    <n v="23"/>
    <s v="Male"/>
    <s v="Electronics"/>
    <s v="boAt Earbuds"/>
    <n v="2"/>
    <n v="2600"/>
    <x v="8"/>
    <s v="UPI"/>
    <x v="0"/>
    <x v="0"/>
    <n v="2600"/>
    <x v="1"/>
    <x v="1"/>
    <x v="0"/>
    <s v="Male"/>
    <x v="11"/>
  </r>
  <r>
    <s v="ORD20063"/>
    <d v="2023-12-18T00:00:00"/>
    <s v="Lakshmi Krishnan"/>
    <n v="44"/>
    <s v="Female"/>
    <s v="clothing"/>
    <s v="Levi's Jeans"/>
    <n v="1"/>
    <n v="3500"/>
    <x v="6"/>
    <s v="Card"/>
    <x v="1"/>
    <x v="1"/>
    <n v="2625"/>
    <x v="2"/>
    <x v="2"/>
    <x v="1"/>
    <s v="Female"/>
    <x v="4"/>
  </r>
  <r>
    <s v="ORD20574"/>
    <d v="2023-02-24T00:00:00"/>
    <s v="Rajesh Tiwari"/>
    <n v="32"/>
    <s v="Femle"/>
    <s v="clothing"/>
    <s v="H&amp;M T-Shirt"/>
    <n v="2"/>
    <n v="1550"/>
    <x v="5"/>
    <s v="Cash"/>
    <x v="0"/>
    <x v="0"/>
    <n v="2635"/>
    <x v="1"/>
    <x v="1"/>
    <x v="1"/>
    <s v="Other"/>
    <x v="12"/>
  </r>
  <r>
    <s v="ORD20924"/>
    <d v="2023-11-07T00:00:00"/>
    <s v="Pranav Kulkarni"/>
    <n v="46"/>
    <s v="Female"/>
    <s v="clothing"/>
    <s v="Allen Solly Formal Shirt"/>
    <n v="2"/>
    <n v="1550"/>
    <x v="5"/>
    <s v="Cash"/>
    <x v="1"/>
    <x v="1"/>
    <n v="2635"/>
    <x v="3"/>
    <x v="3"/>
    <x v="1"/>
    <s v="Female"/>
    <x v="1"/>
  </r>
  <r>
    <s v="ORD20733"/>
    <s v="Null"/>
    <s v="Sanjay Dubey"/>
    <n v="61"/>
    <s v="Male"/>
    <s v="Beauty"/>
    <s v="Garnier Micellar Water"/>
    <n v="9"/>
    <n v="490"/>
    <x v="1"/>
    <s v="Cash"/>
    <x v="0"/>
    <x v="0"/>
    <n v="2646"/>
    <x v="0"/>
    <x v="0"/>
    <x v="2"/>
    <s v="Male"/>
    <x v="2"/>
  </r>
  <r>
    <s v="ORD20335"/>
    <s v="Null"/>
    <s v="Kavya Reddy"/>
    <n v="35"/>
    <s v="Female"/>
    <s v="Home &amp; Kitchen"/>
    <s v="Milton Steel Bottles"/>
    <n v="3"/>
    <n v="1264"/>
    <x v="10"/>
    <s v="Card"/>
    <x v="0"/>
    <x v="0"/>
    <n v="2654.4"/>
    <x v="3"/>
    <x v="3"/>
    <x v="3"/>
    <s v="Female"/>
    <x v="2"/>
  </r>
  <r>
    <s v="ORD20977"/>
    <d v="2023-07-19T00:00:00"/>
    <s v="Null"/>
    <n v="20"/>
    <s v="Female"/>
    <s v="clothing"/>
    <s v="W Ethnic Wear"/>
    <n v="1"/>
    <n v="2800"/>
    <x v="4"/>
    <s v="Card"/>
    <x v="1"/>
    <x v="1"/>
    <n v="2660"/>
    <x v="3"/>
    <x v="3"/>
    <x v="1"/>
    <s v="Female"/>
    <x v="10"/>
  </r>
  <r>
    <s v="ORD20410"/>
    <s v="Null"/>
    <s v="Deepika Rao"/>
    <n v="22"/>
    <s v="Male"/>
    <s v="Home &amp; Kitchen"/>
    <s v="Pigeon Induction Cooktop"/>
    <n v="6"/>
    <n v="2694"/>
    <x v="13"/>
    <s v="Cash"/>
    <x v="0"/>
    <x v="0"/>
    <n v="2694"/>
    <x v="0"/>
    <x v="0"/>
    <x v="3"/>
    <s v="Male"/>
    <x v="2"/>
  </r>
  <r>
    <s v="ORD20069"/>
    <d v="2023-09-12T00:00:00"/>
    <s v="Gaurav Bansal"/>
    <n v="65"/>
    <s v="Female"/>
    <s v="Beauty"/>
    <s v="Plum Night Cream"/>
    <n v="5"/>
    <n v="539"/>
    <x v="0"/>
    <s v="COD"/>
    <x v="0"/>
    <x v="0"/>
    <n v="2695"/>
    <x v="2"/>
    <x v="2"/>
    <x v="2"/>
    <s v="Female"/>
    <x v="0"/>
  </r>
  <r>
    <s v="ORD20848"/>
    <d v="2023-02-21T00:00:00"/>
    <s v="Nikhil Bose"/>
    <n v="27"/>
    <s v="Male"/>
    <s v="clothing"/>
    <s v="Allen Solly Formal Shirt"/>
    <n v="1"/>
    <n v="3000"/>
    <x v="2"/>
    <s v="Card"/>
    <x v="0"/>
    <x v="0"/>
    <n v="2700"/>
    <x v="3"/>
    <x v="3"/>
    <x v="1"/>
    <s v="Male"/>
    <x v="12"/>
  </r>
  <r>
    <s v="ORD20781"/>
    <d v="2023-04-03T00:00:00"/>
    <s v="Ananya Singh"/>
    <n v="32"/>
    <s v="Male"/>
    <s v="Beauty"/>
    <s v="Garnier Micellar Water"/>
    <n v="5"/>
    <n v="578"/>
    <x v="4"/>
    <s v="Cash"/>
    <x v="2"/>
    <x v="2"/>
    <n v="2745.5"/>
    <x v="1"/>
    <x v="1"/>
    <x v="2"/>
    <s v="Male"/>
    <x v="11"/>
  </r>
  <r>
    <s v="ORD20808"/>
    <d v="2023-03-10T00:00:00"/>
    <s v="Null"/>
    <n v="56"/>
    <s v="Male"/>
    <s v="clothing"/>
    <s v="Cotton Saree"/>
    <n v="1"/>
    <n v="2750"/>
    <x v="0"/>
    <s v="Card"/>
    <x v="0"/>
    <x v="0"/>
    <n v="2750"/>
    <x v="2"/>
    <x v="2"/>
    <x v="1"/>
    <s v="Male"/>
    <x v="7"/>
  </r>
  <r>
    <s v="ORD20454"/>
    <d v="2023-11-04T00:00:00"/>
    <s v="Tanvi Kulkarni"/>
    <n v="58"/>
    <s v="Female"/>
    <s v="Home &amp; Kitchen"/>
    <s v="Borosil Glass Set"/>
    <n v="2"/>
    <n v="1719"/>
    <x v="7"/>
    <s v="Card"/>
    <x v="0"/>
    <x v="0"/>
    <n v="2750.4"/>
    <x v="1"/>
    <x v="1"/>
    <x v="3"/>
    <s v="Female"/>
    <x v="1"/>
  </r>
  <r>
    <s v="ORD20074"/>
    <d v="2023-11-07T00:00:00"/>
    <s v="Shweta Ghosh"/>
    <n v="57"/>
    <s v="Female"/>
    <s v="clothing"/>
    <s v="Levi's Jeans"/>
    <n v="1"/>
    <n v="3450"/>
    <x v="7"/>
    <s v="COD"/>
    <x v="0"/>
    <x v="0"/>
    <n v="2760"/>
    <x v="2"/>
    <x v="2"/>
    <x v="1"/>
    <s v="Female"/>
    <x v="1"/>
  </r>
  <r>
    <s v="ORD20364"/>
    <d v="2023-01-08T00:00:00"/>
    <s v="rahul gupta"/>
    <n v="60"/>
    <s v="Female"/>
    <s v="Beauty"/>
    <s v="Biotique Sunscreen"/>
    <n v="5"/>
    <n v="614"/>
    <x v="2"/>
    <s v="Cash"/>
    <x v="2"/>
    <x v="2"/>
    <n v="2763"/>
    <x v="3"/>
    <x v="3"/>
    <x v="2"/>
    <s v="Female"/>
    <x v="9"/>
  </r>
  <r>
    <s v="ORD20769"/>
    <d v="2023-07-22T00:00:00"/>
    <s v="Priya Patel"/>
    <n v="31"/>
    <s v="Female"/>
    <s v="Home &amp; Kitchen"/>
    <s v="Cello Water Bottle"/>
    <n v="5"/>
    <n v="554"/>
    <x v="0"/>
    <s v="COD"/>
    <x v="0"/>
    <x v="0"/>
    <n v="2770"/>
    <x v="3"/>
    <x v="3"/>
    <x v="3"/>
    <s v="Female"/>
    <x v="10"/>
  </r>
  <r>
    <s v="ORD20980"/>
    <d v="2023-08-10T00:00:00"/>
    <s v="Null"/>
    <n v="60"/>
    <s v="Male"/>
    <s v="clothing"/>
    <s v="Westside Dress"/>
    <n v="1"/>
    <n v="3100"/>
    <x v="2"/>
    <s v="UPI"/>
    <x v="0"/>
    <x v="0"/>
    <n v="2790"/>
    <x v="2"/>
    <x v="2"/>
    <x v="1"/>
    <s v="Male"/>
    <x v="5"/>
  </r>
  <r>
    <s v="ORD20713"/>
    <d v="2023-10-24T00:00:00"/>
    <s v="Shweta Ghosh"/>
    <n v="19"/>
    <s v="Female"/>
    <s v="Clthing"/>
    <s v="Fabindia Kurta"/>
    <n v="2"/>
    <n v="1750"/>
    <x v="7"/>
    <s v="U.P.I"/>
    <x v="2"/>
    <x v="2"/>
    <n v="2800"/>
    <x v="1"/>
    <x v="1"/>
    <x v="1"/>
    <s v="Female"/>
    <x v="6"/>
  </r>
  <r>
    <s v="ORD20940"/>
    <d v="2023-11-08T00:00:00"/>
    <s v="Gaurav Bansal"/>
    <n v="53"/>
    <s v="Other"/>
    <s v="clothing"/>
    <s v="Westside Dress"/>
    <n v="1"/>
    <n v="2950"/>
    <x v="4"/>
    <s v="COD"/>
    <x v="1"/>
    <x v="1"/>
    <n v="2802.5"/>
    <x v="2"/>
    <x v="2"/>
    <x v="1"/>
    <s v="Other"/>
    <x v="1"/>
  </r>
  <r>
    <s v="ORD20694"/>
    <d v="2023-11-03T00:00:00"/>
    <s v="Manoj Chauhan"/>
    <n v="40"/>
    <s v="Female"/>
    <s v="clothing"/>
    <s v="Peter England Trousers"/>
    <n v="1"/>
    <n v="2950"/>
    <x v="4"/>
    <s v="CashOnDelivery"/>
    <x v="5"/>
    <x v="0"/>
    <n v="2802.5"/>
    <x v="3"/>
    <x v="3"/>
    <x v="1"/>
    <s v="Female"/>
    <x v="1"/>
  </r>
  <r>
    <s v="ORD20641"/>
    <d v="2023-08-29T00:00:00"/>
    <s v="Shweta Ghosh"/>
    <n v="20"/>
    <s v="Female"/>
    <s v="clothing"/>
    <s v="Fabindia Kurta"/>
    <n v="2"/>
    <n v="2350"/>
    <x v="1"/>
    <s v="Credit Card"/>
    <x v="0"/>
    <x v="0"/>
    <n v="2820"/>
    <x v="2"/>
    <x v="2"/>
    <x v="1"/>
    <s v="Female"/>
    <x v="5"/>
  </r>
  <r>
    <s v="ORD20662"/>
    <d v="2023-10-22T00:00:00"/>
    <s v="Arjun Pillai"/>
    <n v="52"/>
    <s v="Male"/>
    <s v="clothing"/>
    <s v="H&amp;M T-Shirt"/>
    <n v="3"/>
    <n v="950"/>
    <x v="0"/>
    <s v="UPI"/>
    <x v="0"/>
    <x v="0"/>
    <n v="2850"/>
    <x v="2"/>
    <x v="2"/>
    <x v="1"/>
    <s v="Male"/>
    <x v="6"/>
  </r>
  <r>
    <s v="ORD20211"/>
    <d v="2023-07-10T00:00:00"/>
    <s v="Arjun Pillai"/>
    <n v="62"/>
    <s v="Female"/>
    <s v="clothing"/>
    <s v="Allen Solly Formal Shirt"/>
    <n v="1"/>
    <n v="2850"/>
    <x v="0"/>
    <s v="Card"/>
    <x v="0"/>
    <x v="0"/>
    <n v="2850"/>
    <x v="2"/>
    <x v="2"/>
    <x v="1"/>
    <s v="Female"/>
    <x v="10"/>
  </r>
  <r>
    <s v="ORD20716"/>
    <d v="2023-12-07T00:00:00"/>
    <s v="Rahull Gupta"/>
    <n v="52"/>
    <s v="Male"/>
    <s v="Home &amp; Kitchen"/>
    <s v="Milton Steel Bottles"/>
    <n v="5"/>
    <n v="950"/>
    <x v="1"/>
    <s v="Cash"/>
    <x v="0"/>
    <x v="0"/>
    <n v="2850"/>
    <x v="12"/>
    <x v="1"/>
    <x v="3"/>
    <s v="Male"/>
    <x v="4"/>
  </r>
  <r>
    <s v="ORD20637"/>
    <d v="2023-11-06T00:00:00"/>
    <s v="Manish Agarwal"/>
    <n v="200"/>
    <s v="Male"/>
    <s v="clothing"/>
    <s v="Fabindia Kurta"/>
    <n v="1"/>
    <n v="2850"/>
    <x v="6"/>
    <s v="COD"/>
    <x v="1"/>
    <x v="1"/>
    <n v="2850"/>
    <x v="2"/>
    <x v="2"/>
    <x v="1"/>
    <s v="Male"/>
    <x v="1"/>
  </r>
  <r>
    <s v="ORD20710"/>
    <d v="2023-06-28T00:00:00"/>
    <s v="Ramesh Naik"/>
    <n v="34"/>
    <s v="Female"/>
    <s v="Beauty"/>
    <s v="Garnier Micellar Water"/>
    <n v="6"/>
    <n v="600"/>
    <x v="7"/>
    <s v="Cash"/>
    <x v="0"/>
    <x v="0"/>
    <n v="2880"/>
    <x v="4"/>
    <x v="1"/>
    <x v="2"/>
    <s v="Female"/>
    <x v="3"/>
  </r>
  <r>
    <s v="ORD20513"/>
    <d v="2023-11-23T00:00:00"/>
    <s v="Ritu Bhatia"/>
    <n v="50"/>
    <s v="Male"/>
    <s v="clothing"/>
    <s v="Westside Dress"/>
    <n v="3"/>
    <n v="2900"/>
    <x v="0"/>
    <s v="UPI"/>
    <x v="0"/>
    <x v="0"/>
    <n v="2900"/>
    <x v="0"/>
    <x v="0"/>
    <x v="1"/>
    <s v="Male"/>
    <x v="1"/>
  </r>
  <r>
    <s v="ORD20621"/>
    <d v="2023-06-13T00:00:00"/>
    <s v="Sneha Iyer"/>
    <n v="23"/>
    <s v="Other"/>
    <s v="clothing"/>
    <s v="Cotton Saree"/>
    <n v="1"/>
    <n v="2900"/>
    <x v="13"/>
    <s v="UPI"/>
    <x v="2"/>
    <x v="2"/>
    <n v="2900"/>
    <x v="0"/>
    <x v="0"/>
    <x v="1"/>
    <s v="Other"/>
    <x v="3"/>
  </r>
  <r>
    <s v="ORD20403"/>
    <d v="2023-08-14T00:00:00"/>
    <s v="Null"/>
    <n v="44"/>
    <s v="Female"/>
    <s v="Beauty"/>
    <s v="Biotique Sunscreen"/>
    <n v="5"/>
    <n v="686"/>
    <x v="5"/>
    <s v="Cash"/>
    <x v="0"/>
    <x v="0"/>
    <n v="2915.5"/>
    <x v="2"/>
    <x v="2"/>
    <x v="2"/>
    <s v="Female"/>
    <x v="5"/>
  </r>
  <r>
    <s v="ORD20119"/>
    <d v="2023-07-24T00:00:00"/>
    <s v="Vinod Patil"/>
    <n v="34"/>
    <s v="Female"/>
    <s v="Home &amp; Kitchen"/>
    <s v="Asian Paints 4L"/>
    <n v="8"/>
    <n v="2949"/>
    <x v="0"/>
    <s v="COD"/>
    <x v="0"/>
    <x v="0"/>
    <n v="2949"/>
    <x v="1"/>
    <x v="1"/>
    <x v="3"/>
    <s v="Female"/>
    <x v="10"/>
  </r>
  <r>
    <s v="ORD20122"/>
    <s v="Null"/>
    <s v="Vikram Mehta"/>
    <n v="51"/>
    <s v="Female"/>
    <s v="Beauty"/>
    <s v="Himalaya Neem Face Pack"/>
    <n v="8"/>
    <n v="373"/>
    <x v="0"/>
    <s v="COD"/>
    <x v="1"/>
    <x v="1"/>
    <n v="2984"/>
    <x v="3"/>
    <x v="3"/>
    <x v="2"/>
    <s v="Female"/>
    <x v="2"/>
  </r>
  <r>
    <s v="ORD20060"/>
    <d v="2023-10-26T00:00:00"/>
    <s v="Null"/>
    <m/>
    <s v="Male"/>
    <s v="Electronics"/>
    <s v="boAt Earbuds"/>
    <n v="1"/>
    <n v="3000"/>
    <x v="1"/>
    <s v="UPI"/>
    <x v="0"/>
    <x v="0"/>
    <n v="3000"/>
    <x v="3"/>
    <x v="3"/>
    <x v="0"/>
    <s v="Male"/>
    <x v="6"/>
  </r>
  <r>
    <s v="ORD20425"/>
    <d v="2023-02-01T00:00:00"/>
    <s v="Pallavi Deshmukh"/>
    <n v="22"/>
    <s v="Male"/>
    <s v="clothing"/>
    <s v="Peter England Trousers"/>
    <n v="2"/>
    <n v="2150"/>
    <x v="10"/>
    <s v="COD"/>
    <x v="0"/>
    <x v="0"/>
    <n v="3010"/>
    <x v="3"/>
    <x v="3"/>
    <x v="1"/>
    <s v="Male"/>
    <x v="12"/>
  </r>
  <r>
    <s v="ORD20078"/>
    <d v="2023-04-05T00:00:00"/>
    <s v="Ananya Singh"/>
    <n v="40"/>
    <s v="Male"/>
    <s v="Beauty"/>
    <s v="L'Oreal Shampoo"/>
    <n v="5"/>
    <n v="670"/>
    <x v="2"/>
    <s v="Cash"/>
    <x v="0"/>
    <x v="0"/>
    <n v="3015"/>
    <x v="3"/>
    <x v="3"/>
    <x v="2"/>
    <s v="Male"/>
    <x v="11"/>
  </r>
  <r>
    <s v="ORD20906"/>
    <s v="Null"/>
    <s v="Sanjay Dubey"/>
    <n v="65"/>
    <s v="Male"/>
    <s v="clothing"/>
    <s v="Peter England Trousers"/>
    <n v="1"/>
    <n v="4100"/>
    <x v="6"/>
    <s v="Card"/>
    <x v="0"/>
    <x v="0"/>
    <n v="3075"/>
    <x v="3"/>
    <x v="3"/>
    <x v="1"/>
    <s v="Male"/>
    <x v="2"/>
  </r>
  <r>
    <s v="ORD20570"/>
    <d v="2023-12-07T00:00:00"/>
    <s v="Sanjay Dubey"/>
    <n v="21"/>
    <s v="Male"/>
    <s v="Beauty"/>
    <s v="Garnier Micellar Water"/>
    <n v="8"/>
    <n v="550"/>
    <x v="10"/>
    <s v="Card"/>
    <x v="0"/>
    <x v="0"/>
    <n v="3080"/>
    <x v="3"/>
    <x v="3"/>
    <x v="2"/>
    <s v="Male"/>
    <x v="4"/>
  </r>
  <r>
    <s v="ORD20090"/>
    <d v="2023-08-29T00:00:00"/>
    <s v="Rahul Gupta"/>
    <n v="23"/>
    <s v="Female"/>
    <s v="clothing"/>
    <s v="Puma Track Suit"/>
    <n v="2"/>
    <n v="3100"/>
    <x v="8"/>
    <s v="COD"/>
    <x v="0"/>
    <x v="0"/>
    <n v="3100"/>
    <x v="2"/>
    <x v="2"/>
    <x v="1"/>
    <s v="Female"/>
    <x v="5"/>
  </r>
  <r>
    <s v="ORD20854"/>
    <s v="Null"/>
    <s v="Sunita Pandey"/>
    <n v="37"/>
    <s v="Other"/>
    <s v="Beauty"/>
    <s v="Garnier Micellar Water"/>
    <n v="8"/>
    <n v="487"/>
    <x v="7"/>
    <s v="Card"/>
    <x v="0"/>
    <x v="0"/>
    <n v="3116.8"/>
    <x v="2"/>
    <x v="2"/>
    <x v="2"/>
    <s v="Other"/>
    <x v="2"/>
  </r>
  <r>
    <s v="ORD20331"/>
    <s v="Null"/>
    <s v="Null"/>
    <n v="30"/>
    <s v="Female"/>
    <s v="Beauty"/>
    <s v="Plum Night Cream"/>
    <n v="3"/>
    <n v="1099"/>
    <x v="4"/>
    <s v="Card"/>
    <x v="2"/>
    <x v="2"/>
    <n v="3132.15"/>
    <x v="3"/>
    <x v="3"/>
    <x v="2"/>
    <s v="Female"/>
    <x v="2"/>
  </r>
  <r>
    <s v="ORD20586"/>
    <d v="2023-11-02T00:00:00"/>
    <s v="Neha Mishra"/>
    <n v="49"/>
    <s v="Female"/>
    <s v="clothing"/>
    <s v="Fabindia Kurta"/>
    <n v="3"/>
    <n v="1500"/>
    <x v="10"/>
    <s v="COD"/>
    <x v="0"/>
    <x v="0"/>
    <n v="3150"/>
    <x v="3"/>
    <x v="3"/>
    <x v="1"/>
    <s v="Female"/>
    <x v="1"/>
  </r>
  <r>
    <s v="ORD20480"/>
    <d v="2023-02-17T00:00:00"/>
    <s v="Manish Agarwal"/>
    <n v="27"/>
    <s v="Male"/>
    <s v="clothing"/>
    <s v="Cotton Saree"/>
    <n v="1"/>
    <n v="3150"/>
    <x v="13"/>
    <s v="Cash"/>
    <x v="0"/>
    <x v="0"/>
    <n v="3150"/>
    <x v="11"/>
    <x v="2"/>
    <x v="1"/>
    <s v="Male"/>
    <x v="12"/>
  </r>
  <r>
    <s v="ORD20745"/>
    <d v="2023-06-19T00:00:00"/>
    <s v="Pranav Kulkarni"/>
    <n v="26"/>
    <s v="Male"/>
    <s v="Home &amp; Kitchen"/>
    <s v="Orient Ceiling Fan"/>
    <n v="1"/>
    <n v="3323"/>
    <x v="4"/>
    <s v="Cash"/>
    <x v="1"/>
    <x v="1"/>
    <n v="3156.85"/>
    <x v="3"/>
    <x v="3"/>
    <x v="3"/>
    <s v="Male"/>
    <x v="3"/>
  </r>
  <r>
    <s v="ORD20917"/>
    <d v="2023-05-13T00:00:00"/>
    <s v="Pooja Nair"/>
    <n v="41"/>
    <s v="Female"/>
    <s v="clothing"/>
    <s v="Peter England Trousers"/>
    <n v="1"/>
    <n v="3950"/>
    <x v="7"/>
    <s v="UPI"/>
    <x v="0"/>
    <x v="0"/>
    <n v="3160"/>
    <x v="1"/>
    <x v="1"/>
    <x v="1"/>
    <s v="Female"/>
    <x v="8"/>
  </r>
  <r>
    <s v="ORD20962"/>
    <d v="2023-02-06T00:00:00"/>
    <s v="Rahul Gupta"/>
    <n v="24"/>
    <s v="Female"/>
    <s v="Beauty"/>
    <s v="L'Oreal Shampoo"/>
    <n v="5"/>
    <n v="603"/>
    <x v="14"/>
    <s v="Card"/>
    <x v="2"/>
    <x v="2"/>
    <n v="3165.75"/>
    <x v="3"/>
    <x v="3"/>
    <x v="2"/>
    <s v="Female"/>
    <x v="12"/>
  </r>
  <r>
    <s v="ORD20009"/>
    <d v="2023-12-18T00:00:00"/>
    <s v="Aarav Sharma"/>
    <n v="22"/>
    <s v="Male"/>
    <s v="Home &amp; Kitchen"/>
    <s v="Orient Ceiling Fan"/>
    <n v="1"/>
    <n v="3179"/>
    <x v="0"/>
    <s v="UPI"/>
    <x v="0"/>
    <x v="0"/>
    <n v="3179"/>
    <x v="8"/>
    <x v="0"/>
    <x v="3"/>
    <s v="Male"/>
    <x v="4"/>
  </r>
  <r>
    <s v="ORD20697"/>
    <s v="Null"/>
    <s v="Lakshmi Krishnan"/>
    <n v="22"/>
    <s v="Male"/>
    <s v="clothing"/>
    <s v="Levi's Jeans"/>
    <n v="1"/>
    <n v="3350"/>
    <x v="4"/>
    <s v="COD"/>
    <x v="0"/>
    <x v="0"/>
    <n v="3182.5"/>
    <x v="0"/>
    <x v="0"/>
    <x v="1"/>
    <s v="Male"/>
    <x v="2"/>
  </r>
  <r>
    <s v="ORD20898"/>
    <d v="2023-10-15T00:00:00"/>
    <s v="Ritu Bhatia"/>
    <n v="40"/>
    <s v="Female"/>
    <s v="clothing"/>
    <s v="Levi's Jeans"/>
    <n v="1"/>
    <n v="4300"/>
    <x v="6"/>
    <s v="UPI"/>
    <x v="0"/>
    <x v="0"/>
    <n v="3225"/>
    <x v="1"/>
    <x v="1"/>
    <x v="1"/>
    <s v="Female"/>
    <x v="6"/>
  </r>
  <r>
    <s v="ORD20572"/>
    <s v="Null"/>
    <s v="Amit Kumar"/>
    <n v="45"/>
    <s v="Male"/>
    <s v="Beauty"/>
    <s v="Garnier Micellar Water"/>
    <n v="9"/>
    <n v="512"/>
    <x v="10"/>
    <s v="Card"/>
    <x v="2"/>
    <x v="2"/>
    <n v="3225.6"/>
    <x v="1"/>
    <x v="1"/>
    <x v="2"/>
    <s v="Male"/>
    <x v="2"/>
  </r>
  <r>
    <s v="ORD20549"/>
    <d v="2023-08-12T00:00:00"/>
    <s v="SNEHA IYER"/>
    <n v="43"/>
    <s v="Female"/>
    <s v="Clthing"/>
    <s v="Nike Running Shoes"/>
    <n v="1"/>
    <n v="4050"/>
    <x v="7"/>
    <s v="U.P.I"/>
    <x v="2"/>
    <x v="2"/>
    <n v="3240"/>
    <x v="0"/>
    <x v="0"/>
    <x v="1"/>
    <s v="Female"/>
    <x v="5"/>
  </r>
  <r>
    <s v="ORD20039"/>
    <d v="2023-10-22T00:00:00"/>
    <s v="Meera Nambiar"/>
    <n v="47"/>
    <s v="Male"/>
    <s v="clothing"/>
    <s v="Levi's Jeans"/>
    <n v="1"/>
    <n v="3250"/>
    <x v="0"/>
    <s v="Card"/>
    <x v="0"/>
    <x v="0"/>
    <n v="3250"/>
    <x v="3"/>
    <x v="3"/>
    <x v="1"/>
    <s v="Male"/>
    <x v="6"/>
  </r>
  <r>
    <s v="ORD20768"/>
    <d v="2023-03-18T00:00:00"/>
    <s v="Shweta Ghosh"/>
    <n v="30"/>
    <s v="Male"/>
    <s v="clothing"/>
    <s v="Levi's Jeans"/>
    <n v="1"/>
    <n v="4350"/>
    <x v="6"/>
    <s v="Card"/>
    <x v="1"/>
    <x v="1"/>
    <n v="3262.5"/>
    <x v="14"/>
    <x v="1"/>
    <x v="1"/>
    <s v="Male"/>
    <x v="7"/>
  </r>
  <r>
    <s v="ORD20083"/>
    <d v="2023-09-21T00:00:00"/>
    <s v="Geeta Thakur"/>
    <n v="51"/>
    <s v="Female"/>
    <s v="Home&amp;Kitchen"/>
    <s v="Borosil Glass Set"/>
    <n v="3"/>
    <n v="1088"/>
    <x v="0"/>
    <s v="COD"/>
    <x v="5"/>
    <x v="0"/>
    <n v="3264"/>
    <x v="1"/>
    <x v="1"/>
    <x v="3"/>
    <s v="Female"/>
    <x v="0"/>
  </r>
  <r>
    <s v="ORD20227"/>
    <d v="2023-01-08T00:00:00"/>
    <s v="Vikram Mehta"/>
    <n v="45"/>
    <s v="Male"/>
    <s v="Beauty"/>
    <s v="Garnier Micellar Water"/>
    <n v="6"/>
    <n v="575"/>
    <x v="4"/>
    <s v="COD"/>
    <x v="0"/>
    <x v="0"/>
    <n v="3277.5"/>
    <x v="2"/>
    <x v="2"/>
    <x v="2"/>
    <s v="Male"/>
    <x v="9"/>
  </r>
  <r>
    <s v="ORD20975"/>
    <d v="2023-09-14T00:00:00"/>
    <s v="Null"/>
    <m/>
    <s v="Female"/>
    <s v="Home &amp; Kitchen"/>
    <s v="Bajaj Mixer Grinder"/>
    <n v="1"/>
    <n v="3281"/>
    <x v="0"/>
    <s v="UPI"/>
    <x v="0"/>
    <x v="0"/>
    <n v="3281"/>
    <x v="3"/>
    <x v="3"/>
    <x v="3"/>
    <s v="Female"/>
    <x v="0"/>
  </r>
  <r>
    <s v="ORD20062"/>
    <s v="Null"/>
    <s v="Gaurav Bansal"/>
    <n v="29"/>
    <s v="Female"/>
    <s v="Home &amp; Kitchen"/>
    <s v="Borosil Glass Set"/>
    <n v="4"/>
    <n v="1372"/>
    <x v="1"/>
    <s v="UPI"/>
    <x v="0"/>
    <x v="0"/>
    <n v="3292.8"/>
    <x v="0"/>
    <x v="0"/>
    <x v="3"/>
    <s v="Female"/>
    <x v="2"/>
  </r>
  <r>
    <s v="ORD20077"/>
    <d v="2023-04-10T00:00:00"/>
    <s v="Ashok Yadav"/>
    <n v="29"/>
    <s v="F"/>
    <s v="Beauty"/>
    <s v="Mamaearth Face Wash"/>
    <n v="8"/>
    <n v="434"/>
    <x v="4"/>
    <s v="Card"/>
    <x v="2"/>
    <x v="2"/>
    <n v="3298.4"/>
    <x v="2"/>
    <x v="2"/>
    <x v="2"/>
    <s v="Female"/>
    <x v="11"/>
  </r>
  <r>
    <s v="ORD20176"/>
    <d v="2023-05-26T00:00:00"/>
    <s v="Sanjay Dubey"/>
    <n v="60"/>
    <s v="Male"/>
    <s v="Clthing"/>
    <s v="Allen Solly Formal Shirt"/>
    <n v="1"/>
    <n v="3300"/>
    <x v="0"/>
    <s v="Card"/>
    <x v="0"/>
    <x v="0"/>
    <n v="3300"/>
    <x v="1"/>
    <x v="1"/>
    <x v="1"/>
    <s v="Male"/>
    <x v="8"/>
  </r>
  <r>
    <s v="ORD20582"/>
    <d v="2023-12-24T00:00:00"/>
    <s v="Pallavi Deshmukh"/>
    <n v="36"/>
    <s v="Male"/>
    <s v="Home &amp; Kitchen"/>
    <s v="Milton Steel Bottles"/>
    <n v="5"/>
    <n v="945"/>
    <x v="10"/>
    <s v="UPI"/>
    <x v="0"/>
    <x v="0"/>
    <n v="3307.5"/>
    <x v="2"/>
    <x v="2"/>
    <x v="3"/>
    <s v="Male"/>
    <x v="4"/>
  </r>
  <r>
    <s v="ORD20072"/>
    <d v="2023-04-18T00:00:00"/>
    <s v="Shweta Ghosh"/>
    <n v="58"/>
    <s v="Female"/>
    <s v="Home &amp; Kitchen"/>
    <s v="Prestige Pressure Cooker"/>
    <n v="2"/>
    <n v="3338"/>
    <x v="8"/>
    <s v="Cash"/>
    <x v="2"/>
    <x v="2"/>
    <n v="3338"/>
    <x v="2"/>
    <x v="2"/>
    <x v="3"/>
    <s v="Female"/>
    <x v="11"/>
  </r>
  <r>
    <s v="ORD20872"/>
    <d v="2023-12-12T00:00:00"/>
    <s v="Null"/>
    <n v="20"/>
    <s v="M"/>
    <s v="clothing"/>
    <s v="Westside Dress"/>
    <n v="1"/>
    <n v="3350"/>
    <x v="0"/>
    <s v="Cash"/>
    <x v="2"/>
    <x v="2"/>
    <n v="3350"/>
    <x v="2"/>
    <x v="2"/>
    <x v="1"/>
    <s v="Male"/>
    <x v="4"/>
  </r>
  <r>
    <s v="ORD20405"/>
    <d v="2023-01-07T00:00:00"/>
    <s v="Pranav Kulkarni"/>
    <n v="37"/>
    <s v="Male"/>
    <s v="Electronics"/>
    <s v="boAt Earbuds"/>
    <n v="2"/>
    <n v="1600"/>
    <x v="14"/>
    <s v="Card"/>
    <x v="0"/>
    <x v="0"/>
    <n v="3360"/>
    <x v="1"/>
    <x v="1"/>
    <x v="0"/>
    <s v="Male"/>
    <x v="9"/>
  </r>
  <r>
    <s v="ORD20372"/>
    <d v="2023-04-09T00:00:00"/>
    <s v="Arjun Pillai"/>
    <n v="41"/>
    <s v="Female"/>
    <s v="BEUTY"/>
    <s v="Plum Night Cream"/>
    <n v="3"/>
    <n v="1123"/>
    <x v="0"/>
    <s v="COD"/>
    <x v="0"/>
    <x v="0"/>
    <n v="3369"/>
    <x v="1"/>
    <x v="1"/>
    <x v="2"/>
    <s v="Female"/>
    <x v="11"/>
  </r>
  <r>
    <s v="ORD20505"/>
    <d v="2023-02-12T00:00:00"/>
    <s v="Pranav Kulkarni"/>
    <n v="38"/>
    <s v="Male"/>
    <s v="Home &amp; Kitchen"/>
    <s v="Usha Iron"/>
    <n v="3"/>
    <n v="1610"/>
    <x v="10"/>
    <s v="UPI"/>
    <x v="0"/>
    <x v="0"/>
    <n v="3381"/>
    <x v="3"/>
    <x v="3"/>
    <x v="3"/>
    <s v="Male"/>
    <x v="12"/>
  </r>
  <r>
    <s v="ORD20229"/>
    <d v="2023-01-19T00:00:00"/>
    <s v="Pooja Nair"/>
    <n v="33"/>
    <s v="Male"/>
    <s v="clothing"/>
    <s v="Puma Track Suit"/>
    <n v="1"/>
    <n v="3400"/>
    <x v="0"/>
    <s v="Card"/>
    <x v="0"/>
    <x v="0"/>
    <n v="3400"/>
    <x v="0"/>
    <x v="0"/>
    <x v="1"/>
    <s v="Male"/>
    <x v="9"/>
  </r>
  <r>
    <s v="ORD20256"/>
    <d v="2023-05-21T00:00:00"/>
    <s v="Sanjay Dubey"/>
    <n v="62"/>
    <s v="Male"/>
    <s v="Electronics"/>
    <s v="boAt Earbuds"/>
    <n v="2"/>
    <n v="2000"/>
    <x v="5"/>
    <s v="Card"/>
    <x v="0"/>
    <x v="0"/>
    <n v="3400"/>
    <x v="2"/>
    <x v="2"/>
    <x v="0"/>
    <s v="Male"/>
    <x v="8"/>
  </r>
  <r>
    <s v="ORD20427"/>
    <d v="2023-02-27T00:00:00"/>
    <s v="Pooja Nair"/>
    <n v="25"/>
    <s v="Female"/>
    <s v="clothing"/>
    <s v="Fabindia Kurta"/>
    <n v="2"/>
    <n v="2850"/>
    <x v="1"/>
    <s v="Csh"/>
    <x v="1"/>
    <x v="1"/>
    <n v="3420"/>
    <x v="0"/>
    <x v="0"/>
    <x v="1"/>
    <s v="Female"/>
    <x v="12"/>
  </r>
  <r>
    <s v="ORD20101"/>
    <d v="2023-10-11T00:00:00"/>
    <s v="Deepika Rao"/>
    <n v="26"/>
    <s v="Male"/>
    <s v="Beauty"/>
    <s v="Kama Ayurveda Hair Oil"/>
    <n v="3"/>
    <n v="1203"/>
    <x v="4"/>
    <s v="Cash"/>
    <x v="0"/>
    <x v="0"/>
    <n v="3428.55"/>
    <x v="0"/>
    <x v="0"/>
    <x v="2"/>
    <s v="Male"/>
    <x v="6"/>
  </r>
  <r>
    <s v="ORD20810"/>
    <d v="2023-05-20T00:00:00"/>
    <s v="Null"/>
    <n v="40"/>
    <s v="Female"/>
    <s v="Beauty"/>
    <s v="WOW Vitamin C Serum"/>
    <n v="3"/>
    <n v="1270"/>
    <x v="2"/>
    <s v="UPI"/>
    <x v="0"/>
    <x v="0"/>
    <n v="3429"/>
    <x v="3"/>
    <x v="3"/>
    <x v="2"/>
    <s v="Female"/>
    <x v="8"/>
  </r>
  <r>
    <s v="ORD20365"/>
    <s v="Null"/>
    <s v="Kiran Malhotra"/>
    <n v="22"/>
    <s v="Male"/>
    <s v="Beauty"/>
    <s v="Nykaa Kajal"/>
    <n v="8"/>
    <n v="433"/>
    <x v="0"/>
    <s v="Cash"/>
    <x v="2"/>
    <x v="2"/>
    <n v="3464"/>
    <x v="1"/>
    <x v="1"/>
    <x v="2"/>
    <s v="Male"/>
    <x v="2"/>
  </r>
  <r>
    <s v="ORD20360"/>
    <d v="2023-09-17T00:00:00"/>
    <s v="Shweta Ghosh"/>
    <n v="52"/>
    <s v="Male"/>
    <s v="Beauty"/>
    <s v="Lakme Foundation"/>
    <n v="4"/>
    <n v="1165"/>
    <x v="6"/>
    <s v="Card"/>
    <x v="1"/>
    <x v="1"/>
    <n v="3495"/>
    <x v="2"/>
    <x v="2"/>
    <x v="2"/>
    <s v="Male"/>
    <x v="0"/>
  </r>
  <r>
    <s v="ORD20535"/>
    <s v="Null"/>
    <s v="Arjun Pillai"/>
    <n v="33"/>
    <s v="Male"/>
    <s v="clothing"/>
    <s v="Puma Track Suit"/>
    <n v="1"/>
    <n v="3500"/>
    <x v="13"/>
    <s v="Card"/>
    <x v="0"/>
    <x v="0"/>
    <n v="3500"/>
    <x v="2"/>
    <x v="2"/>
    <x v="1"/>
    <s v="Male"/>
    <x v="2"/>
  </r>
  <r>
    <s v="ORD20452"/>
    <s v="Null"/>
    <s v="Tanvi Kulkarni"/>
    <m/>
    <s v="Male"/>
    <s v="Beauty"/>
    <s v="Biotique Sunscreen"/>
    <n v="6"/>
    <n v="585"/>
    <x v="0"/>
    <s v="Card"/>
    <x v="2"/>
    <x v="2"/>
    <n v="3510"/>
    <x v="3"/>
    <x v="3"/>
    <x v="2"/>
    <s v="Male"/>
    <x v="2"/>
  </r>
  <r>
    <s v="ORD20556"/>
    <s v="Null"/>
    <s v="PRIYA PATEL"/>
    <n v="32"/>
    <s v="Female"/>
    <s v="clothing"/>
    <s v="H&amp;M T-Shirt"/>
    <n v="3"/>
    <n v="1250"/>
    <x v="4"/>
    <s v="COD"/>
    <x v="1"/>
    <x v="1"/>
    <n v="3562.5"/>
    <x v="0"/>
    <x v="0"/>
    <x v="1"/>
    <s v="Female"/>
    <x v="2"/>
  </r>
  <r>
    <s v="ORD20383"/>
    <s v="Null"/>
    <s v="Null"/>
    <n v="57"/>
    <s v="Female"/>
    <s v="clothing"/>
    <s v="Allen Solly Formal Shirt"/>
    <n v="3"/>
    <n v="1700"/>
    <x v="10"/>
    <s v="Card"/>
    <x v="0"/>
    <x v="0"/>
    <n v="3570"/>
    <x v="2"/>
    <x v="2"/>
    <x v="1"/>
    <s v="Female"/>
    <x v="2"/>
  </r>
  <r>
    <s v="ORD20961"/>
    <d v="2023-08-06T00:00:00"/>
    <s v="Lakshmi Krishnan"/>
    <n v="52"/>
    <s v="Male"/>
    <s v="Beauty"/>
    <s v="L'Oreal Shampoo"/>
    <n v="9"/>
    <n v="795"/>
    <x v="8"/>
    <s v="UPI"/>
    <x v="0"/>
    <x v="0"/>
    <n v="3577.5"/>
    <x v="2"/>
    <x v="2"/>
    <x v="2"/>
    <s v="Male"/>
    <x v="5"/>
  </r>
  <r>
    <s v="ORD20817"/>
    <d v="2023-01-07T00:00:00"/>
    <s v="Sunita Pandey"/>
    <n v="62"/>
    <s v="Female"/>
    <s v="clothing"/>
    <s v="W Ethnic Wear"/>
    <n v="1"/>
    <n v="3600"/>
    <x v="2"/>
    <s v="UPI"/>
    <x v="0"/>
    <x v="0"/>
    <n v="3600"/>
    <x v="3"/>
    <x v="3"/>
    <x v="1"/>
    <s v="Female"/>
    <x v="9"/>
  </r>
  <r>
    <s v="ORD20282"/>
    <d v="2023-09-30T00:00:00"/>
    <s v="Shweta Ghosh"/>
    <n v="52"/>
    <s v="Female"/>
    <s v="clothing"/>
    <s v="Fabindia Kurta"/>
    <n v="2"/>
    <n v="2000"/>
    <x v="2"/>
    <s v="Card"/>
    <x v="0"/>
    <x v="0"/>
    <n v="3600"/>
    <x v="0"/>
    <x v="0"/>
    <x v="1"/>
    <s v="Female"/>
    <x v="0"/>
  </r>
  <r>
    <s v="ORD20338"/>
    <d v="2023-02-23T00:00:00"/>
    <s v="Deepika Rao"/>
    <n v="28"/>
    <s v="Female"/>
    <s v="Home &amp; Kitchen"/>
    <s v="Nilkamal Plastic Chair"/>
    <n v="2"/>
    <n v="1830"/>
    <x v="0"/>
    <s v="Debit Card"/>
    <x v="0"/>
    <x v="0"/>
    <n v="3660"/>
    <x v="1"/>
    <x v="1"/>
    <x v="3"/>
    <s v="Female"/>
    <x v="12"/>
  </r>
  <r>
    <s v="ORD20056"/>
    <s v="Null"/>
    <s v="Deepika Rao"/>
    <n v="36"/>
    <s v="M"/>
    <s v="Home &amp; Kitchen"/>
    <s v="Nilkamal Plastic Chair"/>
    <n v="2"/>
    <n v="1945"/>
    <x v="4"/>
    <s v="Cash"/>
    <x v="0"/>
    <x v="0"/>
    <n v="3695.5"/>
    <x v="1"/>
    <x v="1"/>
    <x v="3"/>
    <s v="Male"/>
    <x v="2"/>
  </r>
  <r>
    <s v="ORD20805"/>
    <d v="2023-08-09T00:00:00"/>
    <s v="Nikhil Bose"/>
    <n v="54"/>
    <s v="Female"/>
    <s v="clothing"/>
    <s v="Peter England Trousers"/>
    <n v="1"/>
    <n v="3700"/>
    <x v="3"/>
    <s v="Card"/>
    <x v="0"/>
    <x v="0"/>
    <n v="3700"/>
    <x v="0"/>
    <x v="0"/>
    <x v="1"/>
    <s v="Female"/>
    <x v="5"/>
  </r>
  <r>
    <s v="ORD20108"/>
    <s v="Null"/>
    <s v="Manish Agarwal"/>
    <n v="52"/>
    <s v="Male"/>
    <s v="Home &amp; Kitchen"/>
    <s v="Cello Water Bottle"/>
    <n v="10"/>
    <n v="529"/>
    <x v="10"/>
    <s v="Card"/>
    <x v="2"/>
    <x v="2"/>
    <n v="3703"/>
    <x v="1"/>
    <x v="1"/>
    <x v="3"/>
    <s v="Male"/>
    <x v="2"/>
  </r>
  <r>
    <s v="ORD20301"/>
    <d v="2023-05-25T00:00:00"/>
    <s v="Null"/>
    <n v="22"/>
    <s v="Male"/>
    <s v="Clothiing"/>
    <s v="Fabindia Kurta"/>
    <n v="3"/>
    <n v="1250"/>
    <x v="0"/>
    <s v="COD"/>
    <x v="0"/>
    <x v="0"/>
    <n v="3750"/>
    <x v="1"/>
    <x v="1"/>
    <x v="1"/>
    <s v="Male"/>
    <x v="8"/>
  </r>
  <r>
    <s v="ORD20240"/>
    <d v="2023-10-07T00:00:00"/>
    <s v="Null"/>
    <n v="50"/>
    <s v="Male"/>
    <s v="clothing"/>
    <s v="Westside Dress"/>
    <n v="1"/>
    <n v="3950"/>
    <x v="4"/>
    <s v="Card"/>
    <x v="0"/>
    <x v="0"/>
    <n v="3752.5"/>
    <x v="0"/>
    <x v="0"/>
    <x v="1"/>
    <s v="Male"/>
    <x v="6"/>
  </r>
  <r>
    <s v="ORD20712"/>
    <s v="Null"/>
    <s v="Neha Mishra"/>
    <n v="65"/>
    <s v="Male"/>
    <s v="Home &amp; Kitchen"/>
    <s v="Asian Paints 4L"/>
    <n v="2"/>
    <n v="2208"/>
    <x v="5"/>
    <s v="UPI"/>
    <x v="0"/>
    <x v="0"/>
    <n v="3753.6"/>
    <x v="5"/>
    <x v="3"/>
    <x v="3"/>
    <s v="Male"/>
    <x v="2"/>
  </r>
  <r>
    <s v="ORD20061"/>
    <d v="2023-10-01T00:00:00"/>
    <s v="Geeta Thakur"/>
    <n v="21"/>
    <s v="Male"/>
    <s v="Home &amp; Kitchen"/>
    <s v="Cello Water Bottle"/>
    <n v="8"/>
    <n v="478"/>
    <x v="0"/>
    <s v="Cash"/>
    <x v="0"/>
    <x v="0"/>
    <n v="3824"/>
    <x v="1"/>
    <x v="1"/>
    <x v="3"/>
    <s v="Male"/>
    <x v="6"/>
  </r>
  <r>
    <s v="ORD20112"/>
    <s v="Null"/>
    <s v="Vinod Patil"/>
    <n v="36"/>
    <s v="Male"/>
    <s v="Clothng"/>
    <s v="W Ethnic Wear"/>
    <n v="2"/>
    <n v="2550"/>
    <x v="6"/>
    <s v="Cash"/>
    <x v="4"/>
    <x v="1"/>
    <n v="3825"/>
    <x v="1"/>
    <x v="1"/>
    <x v="1"/>
    <s v="Male"/>
    <x v="2"/>
  </r>
  <r>
    <s v="ORD20088"/>
    <d v="2023-05-01T00:00:00"/>
    <s v="Vinod Patil"/>
    <n v="27"/>
    <s v="Female"/>
    <s v="Clothng"/>
    <s v="Fabindia Kurta"/>
    <n v="3"/>
    <n v="2550"/>
    <x v="8"/>
    <s v="Card"/>
    <x v="0"/>
    <x v="0"/>
    <n v="3825"/>
    <x v="1"/>
    <x v="1"/>
    <x v="1"/>
    <s v="Female"/>
    <x v="8"/>
  </r>
  <r>
    <s v="ORD20926"/>
    <d v="2023-03-29T00:00:00"/>
    <s v="Nikhil Bose"/>
    <n v="61"/>
    <s v="Male"/>
    <s v="Beauty"/>
    <s v="VLCC Gold Facial Kit"/>
    <n v="3"/>
    <n v="1420"/>
    <x v="2"/>
    <s v="COD"/>
    <x v="0"/>
    <x v="0"/>
    <n v="3834"/>
    <x v="2"/>
    <x v="2"/>
    <x v="2"/>
    <s v="Male"/>
    <x v="7"/>
  </r>
  <r>
    <s v="ORD20818"/>
    <s v="Null"/>
    <s v="Priyanka Choudhary"/>
    <n v="40"/>
    <s v="Male"/>
    <s v="Electronics"/>
    <s v="JBL Bluetooth Speaker"/>
    <n v="1"/>
    <n v="4800"/>
    <x v="7"/>
    <s v="UPI"/>
    <x v="2"/>
    <x v="2"/>
    <n v="3840"/>
    <x v="2"/>
    <x v="2"/>
    <x v="0"/>
    <s v="Male"/>
    <x v="2"/>
  </r>
  <r>
    <s v="ORD20186"/>
    <s v="Null"/>
    <s v="Rajan Bhatt"/>
    <n v="33"/>
    <s v="Female"/>
    <s v="clothing"/>
    <s v="Puma Track Suit"/>
    <n v="2"/>
    <n v="3200"/>
    <x v="1"/>
    <s v="Card"/>
    <x v="0"/>
    <x v="0"/>
    <n v="3840"/>
    <x v="1"/>
    <x v="1"/>
    <x v="1"/>
    <s v="Female"/>
    <x v="2"/>
  </r>
  <r>
    <s v="ORD20744"/>
    <d v="2023-02-11T00:00:00"/>
    <s v="Neha Mishra"/>
    <n v="31"/>
    <s v="Male"/>
    <s v="Home &amp; Kitchen"/>
    <s v="Milton Steel Bottles"/>
    <n v="5"/>
    <n v="1282"/>
    <x v="1"/>
    <s v="Card"/>
    <x v="2"/>
    <x v="2"/>
    <n v="3846"/>
    <x v="0"/>
    <x v="0"/>
    <x v="3"/>
    <s v="Male"/>
    <x v="12"/>
  </r>
  <r>
    <s v="ORD20789"/>
    <d v="2023-07-19T00:00:00"/>
    <s v="Swati Jain"/>
    <n v="19"/>
    <s v="Male"/>
    <s v="clothing"/>
    <s v="Adidas Sneakers"/>
    <n v="1"/>
    <n v="5500"/>
    <x v="10"/>
    <s v="UPI"/>
    <x v="2"/>
    <x v="2"/>
    <n v="3850"/>
    <x v="2"/>
    <x v="2"/>
    <x v="1"/>
    <s v="Male"/>
    <x v="10"/>
  </r>
  <r>
    <s v="ORD20882"/>
    <d v="2023-09-09T00:00:00"/>
    <s v="Sunita Pandey"/>
    <n v="999"/>
    <s v="Male"/>
    <s v="Home &amp; Kitchen"/>
    <s v="Hawkins Cookware Set"/>
    <n v="1"/>
    <n v="4338"/>
    <x v="2"/>
    <s v="Cash"/>
    <x v="0"/>
    <x v="0"/>
    <n v="3904.2"/>
    <x v="0"/>
    <x v="0"/>
    <x v="3"/>
    <s v="Male"/>
    <x v="0"/>
  </r>
  <r>
    <s v="ORD20099"/>
    <s v="Null"/>
    <s v="Kiran Malhotra"/>
    <n v="24"/>
    <s v="Male"/>
    <s v="clothing"/>
    <s v="Fabindia Kurta"/>
    <n v="2"/>
    <n v="2450"/>
    <x v="7"/>
    <s v="Card"/>
    <x v="0"/>
    <x v="0"/>
    <n v="3920"/>
    <x v="2"/>
    <x v="2"/>
    <x v="1"/>
    <s v="Male"/>
    <x v="2"/>
  </r>
  <r>
    <s v="ORD20446"/>
    <s v="Null"/>
    <s v="Gaurav Bansal"/>
    <n v="47"/>
    <s v="Male"/>
    <s v="Beauty"/>
    <s v="Dove Body Lotion"/>
    <n v="8"/>
    <n v="493"/>
    <x v="0"/>
    <s v="COD"/>
    <x v="4"/>
    <x v="1"/>
    <n v="3944"/>
    <x v="1"/>
    <x v="1"/>
    <x v="2"/>
    <s v="Male"/>
    <x v="2"/>
  </r>
  <r>
    <s v="ORD20081"/>
    <d v="2023-11-15T00:00:00"/>
    <s v="Shweta Ghosh"/>
    <n v="22"/>
    <s v="Mle"/>
    <s v="Beauty"/>
    <s v="Biotique Sunscreen"/>
    <n v="8"/>
    <n v="520"/>
    <x v="4"/>
    <s v="Card"/>
    <x v="0"/>
    <x v="0"/>
    <n v="3952"/>
    <x v="2"/>
    <x v="2"/>
    <x v="2"/>
    <s v="Other"/>
    <x v="1"/>
  </r>
  <r>
    <s v="ORD20648"/>
    <d v="2023-05-09T00:00:00"/>
    <s v="Priya Patel"/>
    <n v="50"/>
    <s v="Female"/>
    <s v="Beauty"/>
    <s v="Maybelline Lipstick"/>
    <n v="9"/>
    <n v="519"/>
    <x v="5"/>
    <s v="Card"/>
    <x v="0"/>
    <x v="0"/>
    <n v="3970.35"/>
    <x v="2"/>
    <x v="2"/>
    <x v="2"/>
    <s v="Female"/>
    <x v="8"/>
  </r>
  <r>
    <s v="ORD20202"/>
    <d v="2023-02-06T00:00:00"/>
    <s v="Ramesh Naik"/>
    <n v="51"/>
    <s v="Female"/>
    <s v="clothing"/>
    <s v="Cotton Saree"/>
    <n v="3"/>
    <n v="1900"/>
    <x v="10"/>
    <s v="COD"/>
    <x v="1"/>
    <x v="1"/>
    <n v="3990"/>
    <x v="1"/>
    <x v="1"/>
    <x v="1"/>
    <s v="Female"/>
    <x v="12"/>
  </r>
  <r>
    <s v="ORD20328"/>
    <d v="2023-12-24T00:00:00"/>
    <s v="Gaurav Bansal"/>
    <n v="46"/>
    <s v="Female"/>
    <s v="clothing"/>
    <s v="Puma Track Suit"/>
    <n v="1"/>
    <n v="4200"/>
    <x v="4"/>
    <s v="COD"/>
    <x v="0"/>
    <x v="0"/>
    <n v="3990"/>
    <x v="0"/>
    <x v="0"/>
    <x v="1"/>
    <s v="Female"/>
    <x v="4"/>
  </r>
  <r>
    <s v="ORD20974"/>
    <d v="2023-12-26T00:00:00"/>
    <s v="Harish Menon"/>
    <n v="37"/>
    <s v="Male"/>
    <s v="Electronics"/>
    <s v="Mi Band 7"/>
    <n v="1"/>
    <n v="4000"/>
    <x v="0"/>
    <s v="Card"/>
    <x v="1"/>
    <x v="1"/>
    <n v="4000"/>
    <x v="1"/>
    <x v="1"/>
    <x v="0"/>
    <s v="Male"/>
    <x v="4"/>
  </r>
  <r>
    <s v="ORD20751"/>
    <d v="2023-08-01T00:00:00"/>
    <s v="Null"/>
    <n v="21"/>
    <s v="Female"/>
    <s v="Electonics"/>
    <s v="boAt Earbuds"/>
    <n v="2"/>
    <n v="2500"/>
    <x v="7"/>
    <s v="UPI"/>
    <x v="0"/>
    <x v="0"/>
    <n v="4000"/>
    <x v="3"/>
    <x v="3"/>
    <x v="0"/>
    <s v="Female"/>
    <x v="5"/>
  </r>
  <r>
    <s v="ORD20251"/>
    <d v="2023-11-13T00:00:00"/>
    <s v="Pooja Nair"/>
    <n v="27"/>
    <s v="Male"/>
    <s v="Home &amp; Kitchen"/>
    <s v="Cello Water Bottle"/>
    <n v="8"/>
    <n v="720"/>
    <x v="10"/>
    <s v="COD"/>
    <x v="2"/>
    <x v="2"/>
    <n v="4032"/>
    <x v="2"/>
    <x v="2"/>
    <x v="3"/>
    <s v="Male"/>
    <x v="1"/>
  </r>
  <r>
    <s v="ORD20187"/>
    <s v="Null"/>
    <s v="Pallavi Deshmukh"/>
    <n v="54"/>
    <s v="M"/>
    <s v="Beauty"/>
    <s v="Nykaa Kajal"/>
    <n v="5"/>
    <n v="270"/>
    <x v="6"/>
    <s v="UPI"/>
    <x v="6"/>
    <x v="1"/>
    <n v="4050"/>
    <x v="0"/>
    <x v="0"/>
    <x v="2"/>
    <s v="Male"/>
    <x v="2"/>
  </r>
  <r>
    <s v="ORD20546"/>
    <d v="2023-03-25T00:00:00"/>
    <s v="Null"/>
    <n v="47"/>
    <s v="Male"/>
    <s v="clothing"/>
    <s v="H&amp;M T-Shirt"/>
    <n v="3"/>
    <n v="1950"/>
    <x v="10"/>
    <s v="U.P.I"/>
    <x v="2"/>
    <x v="2"/>
    <n v="4095"/>
    <x v="3"/>
    <x v="3"/>
    <x v="1"/>
    <s v="Male"/>
    <x v="7"/>
  </r>
  <r>
    <s v="ORD20158"/>
    <d v="2023-09-29T00:00:00"/>
    <s v="Shreya Pandey"/>
    <n v="47"/>
    <s v="Female"/>
    <s v="Beauty"/>
    <s v="Dove Body Lotion"/>
    <n v="9"/>
    <n v="482"/>
    <x v="4"/>
    <s v="Cash"/>
    <x v="1"/>
    <x v="1"/>
    <n v="4121.1000000000004"/>
    <x v="1"/>
    <x v="1"/>
    <x v="2"/>
    <s v="Female"/>
    <x v="0"/>
  </r>
  <r>
    <s v="ORD20407"/>
    <d v="2023-06-26T00:00:00"/>
    <s v="Null"/>
    <n v="39"/>
    <s v="Male"/>
    <s v="clothing"/>
    <s v="Puma Track Suit"/>
    <n v="1"/>
    <n v="4350"/>
    <x v="4"/>
    <s v="Card"/>
    <x v="0"/>
    <x v="0"/>
    <n v="4132.5"/>
    <x v="1"/>
    <x v="1"/>
    <x v="1"/>
    <s v="Male"/>
    <x v="3"/>
  </r>
  <r>
    <s v="ORD20542"/>
    <d v="2023-07-08T00:00:00"/>
    <s v="Null"/>
    <n v="56"/>
    <s v="Female"/>
    <s v="Beauty"/>
    <s v="Plum Night Cream"/>
    <n v="9"/>
    <n v="921"/>
    <x v="8"/>
    <s v="UPI"/>
    <x v="1"/>
    <x v="1"/>
    <n v="4144.5"/>
    <x v="3"/>
    <x v="3"/>
    <x v="2"/>
    <s v="Female"/>
    <x v="10"/>
  </r>
  <r>
    <s v="ORD20380"/>
    <s v="Null"/>
    <s v="Lakshmi Krishnan"/>
    <n v="20"/>
    <s v="Female"/>
    <s v="clothing"/>
    <s v="H&amp;M T-Shirt"/>
    <n v="3"/>
    <n v="1850"/>
    <x v="6"/>
    <s v="COD"/>
    <x v="0"/>
    <x v="0"/>
    <n v="4162.5"/>
    <x v="2"/>
    <x v="2"/>
    <x v="1"/>
    <s v="Female"/>
    <x v="2"/>
  </r>
  <r>
    <s v="ORD20842"/>
    <d v="2023-09-04T00:00:00"/>
    <s v="Priyanka Choudhary"/>
    <n v="49"/>
    <s v="Male"/>
    <s v="Beauty"/>
    <s v="Plum Night Cream"/>
    <n v="5"/>
    <n v="1046"/>
    <x v="7"/>
    <s v="UPI"/>
    <x v="0"/>
    <x v="0"/>
    <n v="4184"/>
    <x v="2"/>
    <x v="2"/>
    <x v="2"/>
    <s v="Male"/>
    <x v="0"/>
  </r>
  <r>
    <s v="ORD20017"/>
    <d v="2023-07-22T00:00:00"/>
    <s v="Ashok Yadav"/>
    <n v="42"/>
    <s v="Female"/>
    <s v="clothing"/>
    <s v="Adidas Sneakers"/>
    <n v="1"/>
    <n v="4650"/>
    <x v="2"/>
    <s v="Card"/>
    <x v="0"/>
    <x v="0"/>
    <n v="4185"/>
    <x v="0"/>
    <x v="0"/>
    <x v="1"/>
    <s v="Female"/>
    <x v="10"/>
  </r>
  <r>
    <s v="ORD20665"/>
    <s v="Null"/>
    <s v="Sanjay Dubey"/>
    <n v="41"/>
    <s v="Female"/>
    <s v="Electronics"/>
    <s v="JBL Bluetooth Speaker"/>
    <n v="1"/>
    <n v="7000"/>
    <x v="1"/>
    <s v="Cash"/>
    <x v="0"/>
    <x v="0"/>
    <n v="4200"/>
    <x v="3"/>
    <x v="3"/>
    <x v="0"/>
    <s v="Female"/>
    <x v="2"/>
  </r>
  <r>
    <s v="ORD20353"/>
    <d v="2023-12-28T00:00:00"/>
    <s v="Null"/>
    <n v="40"/>
    <s v="Female"/>
    <s v="Electonics"/>
    <s v="boAt Earbuds"/>
    <n v="2"/>
    <n v="2100"/>
    <x v="13"/>
    <s v="UPI"/>
    <x v="3"/>
    <x v="0"/>
    <n v="4200"/>
    <x v="2"/>
    <x v="2"/>
    <x v="0"/>
    <s v="Female"/>
    <x v="4"/>
  </r>
  <r>
    <s v="ORD20343"/>
    <s v="Null"/>
    <s v="Ashok Yadav"/>
    <n v="44"/>
    <s v="Female"/>
    <s v="clothing"/>
    <s v="Manyavar Sherwani"/>
    <n v="1"/>
    <n v="7000"/>
    <x v="1"/>
    <s v="Card"/>
    <x v="0"/>
    <x v="0"/>
    <n v="4200"/>
    <x v="5"/>
    <x v="3"/>
    <x v="1"/>
    <s v="Female"/>
    <x v="2"/>
  </r>
  <r>
    <s v="ORD20504"/>
    <d v="2023-08-07T00:00:00"/>
    <s v="Anjali Srivastava"/>
    <n v="40"/>
    <s v="Male"/>
    <s v="clothing"/>
    <s v="Adidas Sneakers"/>
    <n v="1"/>
    <n v="5650"/>
    <x v="6"/>
    <s v="UPI"/>
    <x v="1"/>
    <x v="1"/>
    <n v="4237.5"/>
    <x v="0"/>
    <x v="0"/>
    <x v="1"/>
    <s v="Male"/>
    <x v="5"/>
  </r>
  <r>
    <s v="ORD20731"/>
    <d v="2023-08-16T00:00:00"/>
    <s v="Null"/>
    <n v="47"/>
    <s v="Female"/>
    <s v="clothing"/>
    <s v="Nike Running Shoes"/>
    <n v="1"/>
    <n v="5000"/>
    <x v="5"/>
    <s v="UPI"/>
    <x v="0"/>
    <x v="0"/>
    <n v="4250"/>
    <x v="1"/>
    <x v="1"/>
    <x v="1"/>
    <s v="Female"/>
    <x v="5"/>
  </r>
  <r>
    <s v="ORD20824"/>
    <d v="2023-12-19T00:00:00"/>
    <s v="Amit Kumar"/>
    <n v="47"/>
    <s v="Female"/>
    <s v="clothing"/>
    <s v="Fabindia Kurta"/>
    <n v="2"/>
    <n v="2500"/>
    <x v="5"/>
    <s v="Cash"/>
    <x v="0"/>
    <x v="0"/>
    <n v="4250"/>
    <x v="3"/>
    <x v="3"/>
    <x v="1"/>
    <s v="Female"/>
    <x v="4"/>
  </r>
  <r>
    <s v="ORD20787"/>
    <s v="Null"/>
    <s v="Pallavi Deshmukh"/>
    <n v="35"/>
    <s v="Female"/>
    <s v="clothing"/>
    <s v="Adidas Sneakers"/>
    <n v="1"/>
    <n v="5350"/>
    <x v="7"/>
    <s v="UPI"/>
    <x v="0"/>
    <x v="0"/>
    <n v="4280"/>
    <x v="1"/>
    <x v="1"/>
    <x v="1"/>
    <s v="Female"/>
    <x v="2"/>
  </r>
  <r>
    <s v="ORD20456"/>
    <s v="Null"/>
    <s v="Null"/>
    <n v="30"/>
    <s v="Female"/>
    <s v="clothing"/>
    <s v="Cotton Saree"/>
    <n v="3"/>
    <n v="2050"/>
    <x v="10"/>
    <s v="UPI"/>
    <x v="1"/>
    <x v="1"/>
    <n v="4305"/>
    <x v="0"/>
    <x v="0"/>
    <x v="1"/>
    <s v="Female"/>
    <x v="2"/>
  </r>
  <r>
    <s v="ORD20740"/>
    <d v="2023-09-09T00:00:00"/>
    <s v="Geeta Thakur"/>
    <n v="35"/>
    <s v="F"/>
    <s v="Beauty"/>
    <s v="Maybelline Lipstick"/>
    <n v="5"/>
    <n v="862"/>
    <x v="4"/>
    <s v="UPI"/>
    <x v="2"/>
    <x v="2"/>
    <n v="4310"/>
    <x v="3"/>
    <x v="3"/>
    <x v="2"/>
    <s v="Female"/>
    <x v="0"/>
  </r>
  <r>
    <s v="ORD20367"/>
    <s v="Null"/>
    <s v="Nikhil Bose"/>
    <n v="25"/>
    <s v="Male"/>
    <s v="Beauty"/>
    <s v="Nykaa Kajal"/>
    <n v="10"/>
    <n v="455"/>
    <x v="4"/>
    <s v="Csh"/>
    <x v="2"/>
    <x v="2"/>
    <n v="4322.5"/>
    <x v="0"/>
    <x v="0"/>
    <x v="2"/>
    <s v="Male"/>
    <x v="2"/>
  </r>
  <r>
    <s v="ORD20357"/>
    <d v="2023-04-06T00:00:00"/>
    <s v="Priyanka Choudhary"/>
    <n v="31"/>
    <s v="Female"/>
    <s v="Beauty"/>
    <s v="Forest Essentials Cream"/>
    <n v="4"/>
    <n v="4324"/>
    <x v="0"/>
    <s v="Card"/>
    <x v="0"/>
    <x v="0"/>
    <n v="4324"/>
    <x v="0"/>
    <x v="0"/>
    <x v="2"/>
    <s v="Female"/>
    <x v="11"/>
  </r>
  <r>
    <s v="ORD20702"/>
    <d v="2023-05-08T00:00:00"/>
    <s v="Null"/>
    <n v="43"/>
    <s v="Male"/>
    <s v="Beauty"/>
    <s v="Maybelline Lipstick"/>
    <n v="6"/>
    <n v="803"/>
    <x v="2"/>
    <s v="UPI"/>
    <x v="0"/>
    <x v="0"/>
    <n v="4336.2"/>
    <x v="2"/>
    <x v="2"/>
    <x v="2"/>
    <s v="Male"/>
    <x v="8"/>
  </r>
  <r>
    <s v="ORD20388"/>
    <d v="2023-03-12T00:00:00"/>
    <s v="Deepika Rao"/>
    <n v="62"/>
    <s v="Female"/>
    <s v="Beauty"/>
    <s v="Kama Ayurveda Hair Oil"/>
    <n v="7"/>
    <n v="892"/>
    <x v="10"/>
    <s v="Card"/>
    <x v="0"/>
    <x v="0"/>
    <n v="4370.8"/>
    <x v="1"/>
    <x v="1"/>
    <x v="2"/>
    <s v="Female"/>
    <x v="7"/>
  </r>
  <r>
    <s v="ORD20008"/>
    <s v="Null"/>
    <s v="Manish Agarwal"/>
    <n v="26"/>
    <s v="Female"/>
    <s v="Home &amp; Kitchen"/>
    <s v="Asian Paints 4L"/>
    <n v="3"/>
    <n v="2448"/>
    <x v="1"/>
    <s v="UPI"/>
    <x v="1"/>
    <x v="1"/>
    <n v="4406.3999999999996"/>
    <x v="0"/>
    <x v="0"/>
    <x v="3"/>
    <s v="Female"/>
    <x v="2"/>
  </r>
  <r>
    <s v="ORD20571"/>
    <s v="Null"/>
    <s v="Lakshmi Krishnan"/>
    <n v="58"/>
    <s v="Female"/>
    <s v="clothing"/>
    <s v="Peter England Trousers"/>
    <n v="2"/>
    <n v="2450"/>
    <x v="2"/>
    <s v="Card"/>
    <x v="0"/>
    <x v="0"/>
    <n v="4410"/>
    <x v="13"/>
    <x v="0"/>
    <x v="1"/>
    <s v="Female"/>
    <x v="2"/>
  </r>
  <r>
    <s v="ORD20203"/>
    <d v="2023-06-23T00:00:00"/>
    <s v="Null"/>
    <n v="54"/>
    <s v="Male"/>
    <s v="clothing"/>
    <s v="Biba Salwar Suit"/>
    <n v="2"/>
    <n v="2600"/>
    <x v="5"/>
    <s v="Card"/>
    <x v="2"/>
    <x v="2"/>
    <n v="4420"/>
    <x v="1"/>
    <x v="1"/>
    <x v="1"/>
    <s v="Male"/>
    <x v="3"/>
  </r>
  <r>
    <s v="ORD20673"/>
    <d v="2023-11-05T00:00:00"/>
    <s v="Lakshmi Krishnan"/>
    <n v="64"/>
    <s v="Male"/>
    <s v="Home&amp;Kitchen"/>
    <s v="Borosil Glass Set"/>
    <n v="3"/>
    <n v="1965"/>
    <x v="6"/>
    <s v="U.P.I"/>
    <x v="0"/>
    <x v="0"/>
    <n v="4421.25"/>
    <x v="3"/>
    <x v="3"/>
    <x v="3"/>
    <s v="Male"/>
    <x v="1"/>
  </r>
  <r>
    <s v="ORD20981"/>
    <s v="Null"/>
    <s v="Shweta Ghosh"/>
    <n v="61"/>
    <s v="Male"/>
    <s v="Beauty"/>
    <s v="L'Oreal Shampoo"/>
    <n v="5"/>
    <n v="885"/>
    <x v="0"/>
    <s v="COD"/>
    <x v="0"/>
    <x v="0"/>
    <n v="4425"/>
    <x v="3"/>
    <x v="3"/>
    <x v="2"/>
    <s v="Male"/>
    <x v="2"/>
  </r>
  <r>
    <s v="ORD20617"/>
    <d v="2023-03-29T00:00:00"/>
    <s v="Null"/>
    <n v="39"/>
    <s v="Mle"/>
    <s v="Beauty"/>
    <s v="WOW Vitamin C Serum"/>
    <n v="10"/>
    <n v="741"/>
    <x v="1"/>
    <s v="U.P.I"/>
    <x v="0"/>
    <x v="0"/>
    <n v="4446"/>
    <x v="2"/>
    <x v="2"/>
    <x v="2"/>
    <s v="Other"/>
    <x v="7"/>
  </r>
  <r>
    <s v="ORD20047"/>
    <d v="2023-12-22T00:00:00"/>
    <s v="Rekha Sinha"/>
    <n v="30"/>
    <s v="Male"/>
    <s v="Beauty"/>
    <s v="Lakme Foundation"/>
    <n v="6"/>
    <n v="873"/>
    <x v="5"/>
    <s v="UPI"/>
    <x v="2"/>
    <x v="2"/>
    <n v="4452.3"/>
    <x v="3"/>
    <x v="3"/>
    <x v="2"/>
    <s v="Male"/>
    <x v="4"/>
  </r>
  <r>
    <s v="ORD20293"/>
    <d v="2023-02-07T00:00:00"/>
    <s v="Null"/>
    <n v="29"/>
    <s v="Female"/>
    <s v="clothing"/>
    <s v="Cotton Saree"/>
    <n v="1"/>
    <n v="4950"/>
    <x v="2"/>
    <s v="Card"/>
    <x v="0"/>
    <x v="0"/>
    <n v="4455"/>
    <x v="1"/>
    <x v="1"/>
    <x v="1"/>
    <s v="Female"/>
    <x v="12"/>
  </r>
  <r>
    <s v="ORD20664"/>
    <d v="2023-03-27T00:00:00"/>
    <s v="Meera Nambiar"/>
    <n v="49"/>
    <s v="Male"/>
    <s v="Home &amp; Kitchen"/>
    <s v="Milton Steel Bottles"/>
    <n v="4"/>
    <n v="1124"/>
    <x v="0"/>
    <s v="UPI"/>
    <x v="0"/>
    <x v="0"/>
    <n v="4496"/>
    <x v="3"/>
    <x v="3"/>
    <x v="3"/>
    <s v="Male"/>
    <x v="7"/>
  </r>
  <r>
    <s v="ORD20893"/>
    <d v="2023-03-12T00:00:00"/>
    <s v="Null"/>
    <n v="37"/>
    <s v="Male"/>
    <s v="clothing"/>
    <s v="Biba Salwar Suit"/>
    <n v="2"/>
    <n v="2500"/>
    <x v="2"/>
    <s v="COD"/>
    <x v="0"/>
    <x v="0"/>
    <n v="4500"/>
    <x v="3"/>
    <x v="3"/>
    <x v="1"/>
    <s v="Male"/>
    <x v="7"/>
  </r>
  <r>
    <s v="ORD20027"/>
    <s v="Null"/>
    <s v="Manish Agarwal"/>
    <n v="53"/>
    <s v="Male"/>
    <s v="Electronics"/>
    <s v="JBL Bluetooth Speaker"/>
    <n v="1"/>
    <n v="5000"/>
    <x v="2"/>
    <s v="COD"/>
    <x v="0"/>
    <x v="0"/>
    <n v="4500"/>
    <x v="3"/>
    <x v="3"/>
    <x v="0"/>
    <s v="Male"/>
    <x v="2"/>
  </r>
  <r>
    <s v="ORD20624"/>
    <d v="2023-12-10T00:00:00"/>
    <s v="Pooja Nair"/>
    <n v="25"/>
    <s v="Female"/>
    <s v="Electronics"/>
    <s v="Mi Band 7"/>
    <n v="1"/>
    <n v="4500"/>
    <x v="0"/>
    <s v="U.P.I"/>
    <x v="0"/>
    <x v="0"/>
    <n v="4500"/>
    <x v="1"/>
    <x v="1"/>
    <x v="0"/>
    <s v="Female"/>
    <x v="4"/>
  </r>
  <r>
    <s v="ORD20382"/>
    <d v="2023-01-05T00:00:00"/>
    <s v="Null"/>
    <n v="54"/>
    <s v="Female"/>
    <s v="clothing"/>
    <s v="Fabindia Kurta"/>
    <n v="2"/>
    <n v="2500"/>
    <x v="2"/>
    <s v="Card"/>
    <x v="0"/>
    <x v="0"/>
    <n v="4500"/>
    <x v="2"/>
    <x v="2"/>
    <x v="1"/>
    <s v="Female"/>
    <x v="9"/>
  </r>
  <r>
    <s v="ORD20969"/>
    <d v="2023-12-25T00:00:00"/>
    <s v="Sanjay Dubey"/>
    <n v="21"/>
    <s v="Other"/>
    <s v="clothing"/>
    <s v="Raymond Suit"/>
    <n v="1"/>
    <n v="5050"/>
    <x v="2"/>
    <s v="Cash"/>
    <x v="1"/>
    <x v="1"/>
    <n v="4545"/>
    <x v="3"/>
    <x v="3"/>
    <x v="1"/>
    <s v="Other"/>
    <x v="4"/>
  </r>
  <r>
    <s v="ORD20448"/>
    <s v="Null"/>
    <s v="Null"/>
    <n v="36"/>
    <s v="Other"/>
    <s v="Beauty"/>
    <s v="WOW Vitamin C Serum"/>
    <n v="5"/>
    <n v="910"/>
    <x v="0"/>
    <s v="Card"/>
    <x v="2"/>
    <x v="2"/>
    <n v="4550"/>
    <x v="3"/>
    <x v="3"/>
    <x v="2"/>
    <s v="Other"/>
    <x v="2"/>
  </r>
  <r>
    <s v="ORD20554"/>
    <d v="2023-06-19T00:00:00"/>
    <s v="Null"/>
    <n v="21"/>
    <s v="Male"/>
    <s v="Clothng"/>
    <s v="Nike Running Shoes"/>
    <n v="1"/>
    <n v="4550"/>
    <x v="13"/>
    <s v="Card"/>
    <x v="0"/>
    <x v="0"/>
    <n v="4550"/>
    <x v="2"/>
    <x v="2"/>
    <x v="1"/>
    <s v="Male"/>
    <x v="3"/>
  </r>
  <r>
    <s v="ORD20786"/>
    <s v="Null"/>
    <s v="Gaurav Bansal"/>
    <n v="58"/>
    <s v="Female"/>
    <s v="Beauty"/>
    <s v="Lakme Foundation"/>
    <n v="8"/>
    <n v="599"/>
    <x v="4"/>
    <s v="Card"/>
    <x v="2"/>
    <x v="2"/>
    <n v="4552.3999999999996"/>
    <x v="1"/>
    <x v="1"/>
    <x v="2"/>
    <s v="Female"/>
    <x v="2"/>
  </r>
  <r>
    <s v="ORD20786"/>
    <s v="Null"/>
    <s v="Gaurav Bansal"/>
    <n v="58"/>
    <s v="Female"/>
    <s v="Beauty"/>
    <s v="Lakme Foundation"/>
    <n v="8"/>
    <n v="599"/>
    <x v="4"/>
    <s v="Card"/>
    <x v="2"/>
    <x v="2"/>
    <n v="4552.3999999999996"/>
    <x v="1"/>
    <x v="1"/>
    <x v="2"/>
    <s v="Female"/>
    <x v="2"/>
  </r>
  <r>
    <s v="ORD20677"/>
    <s v="Null"/>
    <s v="Pranav Kulkarni"/>
    <n v="58"/>
    <s v="Female"/>
    <s v="Home &amp; Kitchen"/>
    <s v="Milton Steel Bottles"/>
    <n v="7"/>
    <n v="1302"/>
    <x v="8"/>
    <s v="Card"/>
    <x v="2"/>
    <x v="2"/>
    <n v="4557"/>
    <x v="2"/>
    <x v="2"/>
    <x v="3"/>
    <s v="Female"/>
    <x v="2"/>
  </r>
  <r>
    <s v="ORD20826"/>
    <d v="2023-05-16T00:00:00"/>
    <s v="Pallavi Deshmukh"/>
    <n v="24"/>
    <s v="Female"/>
    <s v="Beauty"/>
    <s v="Forest Essentials Cream"/>
    <n v="3"/>
    <n v="1696"/>
    <x v="2"/>
    <s v="Cash"/>
    <x v="2"/>
    <x v="2"/>
    <n v="4579.2"/>
    <x v="0"/>
    <x v="0"/>
    <x v="2"/>
    <s v="Female"/>
    <x v="8"/>
  </r>
  <r>
    <s v="ORD20152"/>
    <s v="Null"/>
    <s v="Geeta Thakur"/>
    <n v="58"/>
    <s v="Female"/>
    <s v="clothing"/>
    <s v="Peter England Trousers"/>
    <n v="2"/>
    <n v="2550"/>
    <x v="2"/>
    <s v="UPI"/>
    <x v="0"/>
    <x v="0"/>
    <n v="4590"/>
    <x v="3"/>
    <x v="3"/>
    <x v="1"/>
    <s v="Female"/>
    <x v="2"/>
  </r>
  <r>
    <s v="ORD20144"/>
    <d v="2023-06-28T00:00:00"/>
    <s v="Null"/>
    <n v="25"/>
    <s v="Male"/>
    <s v="Electronics"/>
    <s v="boAt Earbuds"/>
    <n v="2"/>
    <n v="2300"/>
    <x v="13"/>
    <s v="COD"/>
    <x v="1"/>
    <x v="1"/>
    <n v="4600"/>
    <x v="1"/>
    <x v="1"/>
    <x v="0"/>
    <s v="Male"/>
    <x v="3"/>
  </r>
  <r>
    <s v="ORD20503"/>
    <d v="2023-05-02T00:00:00"/>
    <s v="Null"/>
    <n v="22"/>
    <s v="Female"/>
    <s v="Electronics"/>
    <s v="boAt Earbuds"/>
    <n v="2"/>
    <n v="2300"/>
    <x v="0"/>
    <s v="Cash"/>
    <x v="2"/>
    <x v="2"/>
    <n v="4600"/>
    <x v="0"/>
    <x v="0"/>
    <x v="0"/>
    <s v="Female"/>
    <x v="8"/>
  </r>
  <r>
    <s v="ORD20052"/>
    <d v="2023-06-04T00:00:00"/>
    <s v="Nitin Kapoor"/>
    <n v="55"/>
    <s v="Female"/>
    <s v="clothing"/>
    <s v="W Ethnic Wear"/>
    <n v="2"/>
    <n v="2300"/>
    <x v="0"/>
    <s v="Card"/>
    <x v="0"/>
    <x v="0"/>
    <n v="4600"/>
    <x v="0"/>
    <x v="0"/>
    <x v="1"/>
    <s v="Female"/>
    <x v="3"/>
  </r>
  <r>
    <s v="ORD20619"/>
    <d v="2023-11-20T00:00:00"/>
    <s v="Lakshmi Krishnan"/>
    <n v="37"/>
    <s v="Male"/>
    <s v="Home &amp; Kitchen"/>
    <s v="Nilkamal Plastic Chair"/>
    <n v="2"/>
    <n v="2303"/>
    <x v="0"/>
    <s v="COD"/>
    <x v="0"/>
    <x v="0"/>
    <n v="4606"/>
    <x v="1"/>
    <x v="1"/>
    <x v="3"/>
    <s v="Male"/>
    <x v="1"/>
  </r>
  <r>
    <s v="ORD20415"/>
    <s v="Null"/>
    <s v="Deepika Rao"/>
    <n v="42"/>
    <s v="Female"/>
    <s v="Beauty"/>
    <s v="Maybelline Lipstick"/>
    <n v="7"/>
    <n v="697"/>
    <x v="4"/>
    <s v="COD"/>
    <x v="0"/>
    <x v="0"/>
    <n v="4635.05"/>
    <x v="2"/>
    <x v="2"/>
    <x v="2"/>
    <s v="Female"/>
    <x v="2"/>
  </r>
  <r>
    <s v="ORD20704"/>
    <d v="2023-12-20T00:00:00"/>
    <s v="Pooja Nair"/>
    <n v="56"/>
    <s v="Male"/>
    <s v="clothing"/>
    <s v="Levi's Jeans"/>
    <n v="2"/>
    <n v="4650"/>
    <x v="8"/>
    <s v="Cash"/>
    <x v="0"/>
    <x v="0"/>
    <n v="4650"/>
    <x v="0"/>
    <x v="0"/>
    <x v="1"/>
    <s v="Male"/>
    <x v="4"/>
  </r>
  <r>
    <s v="ORD20392"/>
    <d v="2023-02-04T00:00:00"/>
    <s v="Arjun Pillai"/>
    <m/>
    <s v="Male"/>
    <s v="clothing"/>
    <s v="Biba Salwar Suit"/>
    <n v="2"/>
    <n v="2600"/>
    <x v="2"/>
    <s v="Card"/>
    <x v="2"/>
    <x v="2"/>
    <n v="4680"/>
    <x v="3"/>
    <x v="3"/>
    <x v="1"/>
    <s v="Male"/>
    <x v="12"/>
  </r>
  <r>
    <s v="ORD20838"/>
    <d v="2023-09-11T00:00:00"/>
    <s v="Rekha Sinha"/>
    <n v="59"/>
    <s v="Male"/>
    <s v="Home &amp; Kitchen"/>
    <s v="Pigeon Induction Cooktop"/>
    <n v="2"/>
    <n v="3124"/>
    <x v="6"/>
    <s v="COD"/>
    <x v="0"/>
    <x v="0"/>
    <n v="4686"/>
    <x v="4"/>
    <x v="1"/>
    <x v="3"/>
    <s v="Male"/>
    <x v="0"/>
  </r>
  <r>
    <s v="ORD20642"/>
    <s v="Null"/>
    <s v="Amit Kumar"/>
    <n v="53"/>
    <s v="Male"/>
    <s v="Beauity"/>
    <s v="Kama Ayurveda Hair Oil"/>
    <n v="4"/>
    <n v="1186"/>
    <x v="13"/>
    <s v="Card"/>
    <x v="0"/>
    <x v="0"/>
    <n v="4744"/>
    <x v="1"/>
    <x v="1"/>
    <x v="2"/>
    <s v="Male"/>
    <x v="2"/>
  </r>
  <r>
    <s v="ORD20277"/>
    <s v="Null"/>
    <s v="Nikhil Bose"/>
    <n v="47"/>
    <s v="Female"/>
    <s v="Home &amp; Kitchen"/>
    <s v="Tupperware Set"/>
    <n v="3"/>
    <n v="2125"/>
    <x v="6"/>
    <s v="Credit Card"/>
    <x v="0"/>
    <x v="0"/>
    <n v="4781.25"/>
    <x v="3"/>
    <x v="3"/>
    <x v="3"/>
    <s v="Female"/>
    <x v="2"/>
  </r>
  <r>
    <s v="ORD20389"/>
    <d v="2023-07-10T00:00:00"/>
    <s v="Gaurav Bansal"/>
    <n v="32"/>
    <s v="Female"/>
    <s v="clothing"/>
    <s v="W Ethnic Wear"/>
    <n v="2"/>
    <n v="3000"/>
    <x v="7"/>
    <s v="UPI"/>
    <x v="0"/>
    <x v="0"/>
    <n v="4800"/>
    <x v="1"/>
    <x v="1"/>
    <x v="1"/>
    <s v="Female"/>
    <x v="10"/>
  </r>
  <r>
    <s v="ORD20166"/>
    <d v="2023-11-04T00:00:00"/>
    <s v="Lakshmi Krishnan"/>
    <n v="20"/>
    <s v="Male"/>
    <s v="clothing"/>
    <s v="Nike Running Shoes"/>
    <n v="1"/>
    <n v="4800"/>
    <x v="13"/>
    <s v="UPI"/>
    <x v="1"/>
    <x v="1"/>
    <n v="4800"/>
    <x v="3"/>
    <x v="3"/>
    <x v="1"/>
    <s v="Male"/>
    <x v="1"/>
  </r>
  <r>
    <s v="ORD20030"/>
    <d v="2023-07-06T00:00:00"/>
    <s v="Nikhil Bose"/>
    <n v="42"/>
    <s v="Male"/>
    <s v="clothing"/>
    <s v="Manyavar Sherwani"/>
    <n v="1"/>
    <n v="5350"/>
    <x v="2"/>
    <s v="UPI"/>
    <x v="0"/>
    <x v="0"/>
    <n v="4815"/>
    <x v="0"/>
    <x v="0"/>
    <x v="1"/>
    <s v="Male"/>
    <x v="10"/>
  </r>
  <r>
    <s v="ORD20162"/>
    <s v="Null"/>
    <s v="Vikram Mehta"/>
    <n v="51"/>
    <s v="Female"/>
    <s v="Home &amp; Kitchen"/>
    <s v="Tupperware Set"/>
    <n v="5"/>
    <n v="1927"/>
    <x v="8"/>
    <s v="Card"/>
    <x v="0"/>
    <x v="0"/>
    <n v="4817.5"/>
    <x v="0"/>
    <x v="0"/>
    <x v="3"/>
    <s v="Female"/>
    <x v="2"/>
  </r>
  <r>
    <s v="ORD20922"/>
    <d v="2023-04-30T00:00:00"/>
    <s v="Pooja Nair"/>
    <n v="48"/>
    <s v="Male"/>
    <s v="Home &amp; Kitchen"/>
    <s v="Asian Paints 4L"/>
    <n v="2"/>
    <n v="2412"/>
    <x v="0"/>
    <s v="CashOnDelivery"/>
    <x v="1"/>
    <x v="1"/>
    <n v="4824"/>
    <x v="3"/>
    <x v="3"/>
    <x v="3"/>
    <s v="Male"/>
    <x v="11"/>
  </r>
  <r>
    <s v="ORD20886"/>
    <d v="2023-11-17T00:00:00"/>
    <s v="Arjun Pillai"/>
    <n v="57"/>
    <s v="Male"/>
    <s v="Home &amp; Kitchen"/>
    <s v="Milton Steel Bottles"/>
    <n v="8"/>
    <n v="864"/>
    <x v="10"/>
    <s v="Cash"/>
    <x v="0"/>
    <x v="0"/>
    <n v="4838.3999999999996"/>
    <x v="2"/>
    <x v="2"/>
    <x v="3"/>
    <s v="Male"/>
    <x v="1"/>
  </r>
  <r>
    <s v="ORD20620"/>
    <d v="2023-02-03T00:00:00"/>
    <s v="Null"/>
    <n v="48"/>
    <s v="Male"/>
    <s v="Beauty"/>
    <s v="L'Oreal Shampoo"/>
    <n v="4"/>
    <n v="808"/>
    <x v="8"/>
    <s v="COD"/>
    <x v="0"/>
    <x v="0"/>
    <n v="4848"/>
    <x v="2"/>
    <x v="2"/>
    <x v="2"/>
    <s v="Male"/>
    <x v="12"/>
  </r>
  <r>
    <s v="ORD20909"/>
    <d v="2023-06-17T00:00:00"/>
    <s v="Manoj Chauhan"/>
    <n v="46"/>
    <s v="Female"/>
    <s v="Home &amp; Kitchen"/>
    <s v="Nilkamal Plastic Chair"/>
    <n v="6"/>
    <n v="1078"/>
    <x v="6"/>
    <s v="Cash"/>
    <x v="0"/>
    <x v="0"/>
    <n v="4851"/>
    <x v="2"/>
    <x v="2"/>
    <x v="3"/>
    <s v="Female"/>
    <x v="3"/>
  </r>
  <r>
    <s v="ORD20104"/>
    <d v="2023-02-05T00:00:00"/>
    <s v="Ashok Yadav"/>
    <n v="31"/>
    <s v="Male"/>
    <s v="Home &amp; Kitchen"/>
    <s v="Tupperware Set"/>
    <n v="4"/>
    <n v="2430"/>
    <x v="8"/>
    <s v="Debit Card"/>
    <x v="0"/>
    <x v="0"/>
    <n v="4860"/>
    <x v="3"/>
    <x v="3"/>
    <x v="3"/>
    <s v="Male"/>
    <x v="12"/>
  </r>
  <r>
    <s v="ORD20102"/>
    <d v="2023-05-11T00:00:00"/>
    <s v="Null"/>
    <n v="61"/>
    <s v="Male"/>
    <s v="clothing"/>
    <s v="Levi's Jeans"/>
    <n v="1"/>
    <n v="4900"/>
    <x v="13"/>
    <s v="Cash"/>
    <x v="0"/>
    <x v="0"/>
    <n v="4900"/>
    <x v="13"/>
    <x v="0"/>
    <x v="1"/>
    <s v="Male"/>
    <x v="8"/>
  </r>
  <r>
    <s v="ORD20701"/>
    <s v="Null"/>
    <s v="Shreya Pandey"/>
    <n v="150"/>
    <s v="Female"/>
    <s v="Beauty"/>
    <s v="L'Oreal Shampoo"/>
    <n v="10"/>
    <n v="492"/>
    <x v="0"/>
    <s v="UPI"/>
    <x v="0"/>
    <x v="0"/>
    <n v="4920"/>
    <x v="0"/>
    <x v="0"/>
    <x v="2"/>
    <s v="Female"/>
    <x v="2"/>
  </r>
  <r>
    <s v="ORD20230"/>
    <d v="2023-09-09T00:00:00"/>
    <s v="Nikhil Bose"/>
    <n v="60"/>
    <s v="Female"/>
    <s v="Beauty"/>
    <s v="Maybelline Lipstick"/>
    <n v="6"/>
    <n v="864"/>
    <x v="4"/>
    <s v="Card"/>
    <x v="1"/>
    <x v="1"/>
    <n v="4924.8"/>
    <x v="0"/>
    <x v="0"/>
    <x v="2"/>
    <s v="Female"/>
    <x v="0"/>
  </r>
  <r>
    <s v="ORD20164"/>
    <d v="2023-05-02T00:00:00"/>
    <s v="Rajesh Tiwari"/>
    <m/>
    <s v="Female"/>
    <s v="Beauty"/>
    <s v="Maybelline Lipstick"/>
    <n v="7"/>
    <n v="708"/>
    <x v="0"/>
    <s v="Card"/>
    <x v="0"/>
    <x v="0"/>
    <n v="4956"/>
    <x v="6"/>
    <x v="2"/>
    <x v="2"/>
    <s v="Female"/>
    <x v="8"/>
  </r>
  <r>
    <s v="ORD20676"/>
    <d v="2023-11-19T00:00:00"/>
    <s v="Manoj Chauhan"/>
    <n v="20"/>
    <s v="Female"/>
    <s v="Beauty"/>
    <s v="Kama Ayurveda Hair Oil"/>
    <n v="9"/>
    <n v="1102"/>
    <x v="8"/>
    <s v="COD"/>
    <x v="1"/>
    <x v="1"/>
    <n v="4959"/>
    <x v="3"/>
    <x v="3"/>
    <x v="2"/>
    <s v="Female"/>
    <x v="1"/>
  </r>
  <r>
    <s v="ORD20071"/>
    <d v="2023-09-09T00:00:00"/>
    <s v="Priya Patel"/>
    <n v="51"/>
    <s v="Other"/>
    <s v="Home &amp; Kitchen"/>
    <s v="Asian Paints 4L"/>
    <n v="2"/>
    <n v="2482"/>
    <x v="0"/>
    <s v="Card"/>
    <x v="2"/>
    <x v="2"/>
    <n v="4964"/>
    <x v="3"/>
    <x v="3"/>
    <x v="3"/>
    <s v="Other"/>
    <x v="0"/>
  </r>
  <r>
    <s v="ORD20950"/>
    <d v="2023-02-03T00:00:00"/>
    <s v="Kiran Malhotra"/>
    <n v="27"/>
    <s v="Female"/>
    <s v="clothing"/>
    <s v="Westside Dress"/>
    <n v="3"/>
    <n v="1850"/>
    <x v="2"/>
    <s v="Card"/>
    <x v="2"/>
    <x v="2"/>
    <n v="4995"/>
    <x v="3"/>
    <x v="3"/>
    <x v="1"/>
    <s v="Female"/>
    <x v="12"/>
  </r>
  <r>
    <s v="ORD20594"/>
    <s v="Null"/>
    <s v="Null"/>
    <n v="33"/>
    <s v="Male"/>
    <s v="Elctronics"/>
    <s v="Sony Headphones"/>
    <n v="1"/>
    <n v="5000"/>
    <x v="0"/>
    <s v="UPI"/>
    <x v="0"/>
    <x v="0"/>
    <n v="5000"/>
    <x v="1"/>
    <x v="1"/>
    <x v="0"/>
    <s v="Male"/>
    <x v="2"/>
  </r>
  <r>
    <s v="ORD20863"/>
    <d v="2023-02-26T00:00:00"/>
    <s v="Null"/>
    <n v="52"/>
    <s v="F"/>
    <s v="Home &amp; Kitchen"/>
    <s v="Cello Water Bottle"/>
    <n v="8"/>
    <n v="628"/>
    <x v="0"/>
    <s v="COD"/>
    <x v="1"/>
    <x v="1"/>
    <n v="5024"/>
    <x v="3"/>
    <x v="3"/>
    <x v="3"/>
    <s v="Female"/>
    <x v="12"/>
  </r>
  <r>
    <s v="ORD20127"/>
    <d v="2023-07-26T00:00:00"/>
    <s v="Null"/>
    <n v="63"/>
    <s v="Male"/>
    <s v="Home &amp; Kitchen"/>
    <s v="Milton Steel Bottles"/>
    <n v="4"/>
    <n v="1257"/>
    <x v="13"/>
    <s v="UPI"/>
    <x v="0"/>
    <x v="0"/>
    <n v="5028"/>
    <x v="3"/>
    <x v="3"/>
    <x v="3"/>
    <s v="Male"/>
    <x v="10"/>
  </r>
  <r>
    <s v="ORD20959"/>
    <s v="Null"/>
    <s v="Geeta Thakur"/>
    <m/>
    <s v="Female"/>
    <s v="Beauty"/>
    <s v="WOW Vitamin C Serum"/>
    <n v="6"/>
    <n v="1199"/>
    <x v="10"/>
    <s v="Card"/>
    <x v="0"/>
    <x v="0"/>
    <n v="5035.8"/>
    <x v="2"/>
    <x v="2"/>
    <x v="2"/>
    <s v="Female"/>
    <x v="2"/>
  </r>
  <r>
    <s v="ORD20932"/>
    <d v="2023-06-23T00:00:00"/>
    <s v="Sneha Iyer"/>
    <m/>
    <s v="Female"/>
    <s v="clothing"/>
    <s v="Fabindia Kurta"/>
    <n v="2"/>
    <n v="2800"/>
    <x v="2"/>
    <s v="Card"/>
    <x v="2"/>
    <x v="2"/>
    <n v="5040"/>
    <x v="1"/>
    <x v="1"/>
    <x v="1"/>
    <s v="Female"/>
    <x v="3"/>
  </r>
  <r>
    <s v="ORD20678"/>
    <d v="2023-03-18T00:00:00"/>
    <s v="Tanvi Kulkarni"/>
    <n v="52"/>
    <s v="Male"/>
    <s v="Hme &amp; Kitchen"/>
    <s v="Nilkamal Plastic Chair"/>
    <n v="3"/>
    <n v="2412"/>
    <x v="10"/>
    <s v="COD"/>
    <x v="0"/>
    <x v="0"/>
    <n v="5065.2"/>
    <x v="3"/>
    <x v="3"/>
    <x v="3"/>
    <s v="Male"/>
    <x v="7"/>
  </r>
  <r>
    <s v="ORD20948"/>
    <s v="Null"/>
    <s v="Shweta Ghosh"/>
    <n v="27"/>
    <s v="Female"/>
    <s v="Home &amp; Kitchen"/>
    <s v="Cello Water Bottle"/>
    <n v="10"/>
    <n v="677"/>
    <x v="6"/>
    <s v="COD"/>
    <x v="1"/>
    <x v="1"/>
    <n v="5077.5"/>
    <x v="2"/>
    <x v="2"/>
    <x v="3"/>
    <s v="Female"/>
    <x v="2"/>
  </r>
  <r>
    <s v="ORD20339"/>
    <d v="2023-10-10T00:00:00"/>
    <s v="Gaurav Bansal"/>
    <n v="46"/>
    <s v="Male"/>
    <s v="Home &amp; Kitchen"/>
    <s v="Pigeon Induction Cooktop"/>
    <n v="2"/>
    <n v="2682"/>
    <x v="4"/>
    <s v="Card"/>
    <x v="7"/>
    <x v="2"/>
    <n v="5095.8"/>
    <x v="1"/>
    <x v="1"/>
    <x v="3"/>
    <s v="Male"/>
    <x v="6"/>
  </r>
  <r>
    <s v="ORD20892"/>
    <d v="2023-06-20T00:00:00"/>
    <s v="Nitin Kapoor"/>
    <n v="30"/>
    <s v="Mle"/>
    <s v="clothing"/>
    <s v="Nike Running Shoes"/>
    <n v="1"/>
    <n v="5100"/>
    <x v="0"/>
    <s v="COD"/>
    <x v="8"/>
    <x v="2"/>
    <n v="5100"/>
    <x v="0"/>
    <x v="0"/>
    <x v="1"/>
    <s v="Other"/>
    <x v="3"/>
  </r>
  <r>
    <s v="ORD20547"/>
    <d v="2023-07-10T00:00:00"/>
    <s v="Arjun Pillai"/>
    <n v="53"/>
    <s v="Male"/>
    <s v="clothing"/>
    <s v="Puma Track Suit"/>
    <n v="3"/>
    <n v="5100"/>
    <x v="0"/>
    <s v="COD"/>
    <x v="0"/>
    <x v="0"/>
    <n v="5100"/>
    <x v="0"/>
    <x v="0"/>
    <x v="1"/>
    <s v="Male"/>
    <x v="10"/>
  </r>
  <r>
    <s v="ORD20797"/>
    <s v="Null"/>
    <s v="Suresh Joshi"/>
    <n v="23"/>
    <s v="Male"/>
    <s v="clothing"/>
    <s v="Westside Dress"/>
    <n v="3"/>
    <n v="1700"/>
    <x v="14"/>
    <s v="UPI"/>
    <x v="0"/>
    <x v="0"/>
    <n v="5100"/>
    <x v="2"/>
    <x v="2"/>
    <x v="1"/>
    <s v="Male"/>
    <x v="2"/>
  </r>
  <r>
    <s v="ORD20601"/>
    <s v="Null"/>
    <s v="Gaurav Bansal"/>
    <n v="46"/>
    <s v="Male"/>
    <s v="Beauty"/>
    <s v="Maybelline Lipstick"/>
    <n v="9"/>
    <n v="630"/>
    <x v="2"/>
    <s v="COD"/>
    <x v="0"/>
    <x v="0"/>
    <n v="5103"/>
    <x v="0"/>
    <x v="0"/>
    <x v="2"/>
    <s v="Male"/>
    <x v="2"/>
  </r>
  <r>
    <s v="ORD20198"/>
    <s v="Null"/>
    <s v="Sanjay Dubey"/>
    <n v="20"/>
    <s v="Female"/>
    <s v="clothing"/>
    <s v="Fabindia Kurta"/>
    <n v="2"/>
    <n v="2700"/>
    <x v="4"/>
    <s v="Card"/>
    <x v="0"/>
    <x v="0"/>
    <n v="5130"/>
    <x v="1"/>
    <x v="1"/>
    <x v="1"/>
    <s v="Female"/>
    <x v="2"/>
  </r>
  <r>
    <s v="ORD20455"/>
    <d v="2023-09-14T00:00:00"/>
    <s v="Shreya Pandey"/>
    <n v="42"/>
    <s v="Male"/>
    <s v="Beauty"/>
    <s v="L'Oreal Shampoo"/>
    <n v="8"/>
    <n v="647"/>
    <x v="0"/>
    <s v="Card"/>
    <x v="0"/>
    <x v="0"/>
    <n v="5176"/>
    <x v="2"/>
    <x v="2"/>
    <x v="2"/>
    <s v="Male"/>
    <x v="0"/>
  </r>
  <r>
    <s v="ORD20806"/>
    <s v="Null"/>
    <s v="Null"/>
    <n v="64"/>
    <s v="Female"/>
    <s v="Home &amp; Kitchen"/>
    <s v="Hawkins Cookware Set"/>
    <n v="2"/>
    <n v="3245"/>
    <x v="7"/>
    <s v="U.P.I"/>
    <x v="0"/>
    <x v="0"/>
    <n v="5192"/>
    <x v="1"/>
    <x v="1"/>
    <x v="3"/>
    <s v="Female"/>
    <x v="2"/>
  </r>
  <r>
    <s v="ORD20887"/>
    <d v="2023-04-08T00:00:00"/>
    <s v="Rahull Gupta"/>
    <n v="59"/>
    <s v="Female"/>
    <s v="Electronics"/>
    <s v="Mi Band 7"/>
    <n v="2"/>
    <n v="3500"/>
    <x v="6"/>
    <s v="Card"/>
    <x v="0"/>
    <x v="0"/>
    <n v="5250"/>
    <x v="2"/>
    <x v="2"/>
    <x v="0"/>
    <s v="Female"/>
    <x v="11"/>
  </r>
  <r>
    <s v="ORD20671"/>
    <d v="2023-06-20T00:00:00"/>
    <s v="Sanjay Dubey"/>
    <n v="56"/>
    <s v="Female"/>
    <s v="clothing"/>
    <s v="Cotton Saree"/>
    <n v="3"/>
    <n v="1950"/>
    <x v="2"/>
    <s v="UPI"/>
    <x v="2"/>
    <x v="2"/>
    <n v="5265"/>
    <x v="3"/>
    <x v="3"/>
    <x v="1"/>
    <s v="Female"/>
    <x v="3"/>
  </r>
  <r>
    <s v="ORD20345"/>
    <d v="2023-11-26T00:00:00"/>
    <s v="Pranav Kulkarni"/>
    <n v="52"/>
    <s v="Female"/>
    <s v="clothing"/>
    <s v="Westside Dress"/>
    <n v="2"/>
    <n v="3100"/>
    <x v="5"/>
    <s v="Cash"/>
    <x v="0"/>
    <x v="0"/>
    <n v="5270"/>
    <x v="1"/>
    <x v="1"/>
    <x v="1"/>
    <s v="Female"/>
    <x v="1"/>
  </r>
  <r>
    <s v="ORD20396"/>
    <d v="2023-05-08T00:00:00"/>
    <s v="Gaurav Bansal"/>
    <n v="26"/>
    <s v="F"/>
    <s v="clothing"/>
    <s v="Allen Solly Formal Shirt"/>
    <n v="3"/>
    <n v="2200"/>
    <x v="7"/>
    <s v="COD"/>
    <x v="0"/>
    <x v="0"/>
    <n v="5280"/>
    <x v="4"/>
    <x v="1"/>
    <x v="1"/>
    <s v="Female"/>
    <x v="8"/>
  </r>
  <r>
    <s v="ORD20292"/>
    <d v="2023-09-13T00:00:00"/>
    <s v="Meera Nambiar"/>
    <n v="53"/>
    <s v="Mle"/>
    <s v="Home &amp; Kitchen"/>
    <s v="Hawkins Cookware Set"/>
    <n v="1"/>
    <n v="6609"/>
    <x v="7"/>
    <s v="Cash"/>
    <x v="0"/>
    <x v="0"/>
    <n v="5287.2"/>
    <x v="0"/>
    <x v="0"/>
    <x v="3"/>
    <s v="Other"/>
    <x v="0"/>
  </r>
  <r>
    <s v="ORD20499"/>
    <d v="2023-10-13T00:00:00"/>
    <s v="Manish Agarwal"/>
    <n v="43"/>
    <s v="Female"/>
    <s v="clothing"/>
    <s v="Fabindia Kurta"/>
    <n v="3"/>
    <n v="2950"/>
    <x v="1"/>
    <s v="Cash"/>
    <x v="0"/>
    <x v="0"/>
    <n v="5310"/>
    <x v="2"/>
    <x v="2"/>
    <x v="1"/>
    <s v="Female"/>
    <x v="6"/>
  </r>
  <r>
    <s v="ORD20209"/>
    <d v="2023-04-04T00:00:00"/>
    <s v="Harish Menon"/>
    <n v="37"/>
    <s v="Female"/>
    <s v="clothing"/>
    <s v="Nike Running Shoes"/>
    <n v="1"/>
    <n v="5650"/>
    <x v="4"/>
    <s v="COD"/>
    <x v="0"/>
    <x v="0"/>
    <n v="5367.5"/>
    <x v="0"/>
    <x v="0"/>
    <x v="1"/>
    <s v="Female"/>
    <x v="11"/>
  </r>
  <r>
    <s v="ORD20986"/>
    <d v="2023-11-01T00:00:00"/>
    <s v="Gaurav Bansal"/>
    <n v="35"/>
    <s v="Male"/>
    <s v="clothing"/>
    <s v="Allen Solly Formal Shirt"/>
    <n v="3"/>
    <n v="1800"/>
    <x v="0"/>
    <s v="UPI"/>
    <x v="0"/>
    <x v="0"/>
    <n v="5400"/>
    <x v="0"/>
    <x v="0"/>
    <x v="1"/>
    <s v="Male"/>
    <x v="1"/>
  </r>
  <r>
    <s v="ORD20540"/>
    <s v="Null"/>
    <s v="Shweta Ghosh"/>
    <n v="63"/>
    <s v="Male"/>
    <s v="Electronics"/>
    <s v="boAt Earbuds"/>
    <n v="2"/>
    <n v="3600"/>
    <x v="6"/>
    <s v="Card"/>
    <x v="0"/>
    <x v="0"/>
    <n v="5400"/>
    <x v="1"/>
    <x v="1"/>
    <x v="0"/>
    <s v="Male"/>
    <x v="2"/>
  </r>
  <r>
    <s v="ORD20636"/>
    <d v="2023-12-20T00:00:00"/>
    <s v="Karthik Rajan"/>
    <n v="54"/>
    <s v="Male"/>
    <s v="Beauty"/>
    <s v="Maybelline Lipstick"/>
    <n v="7"/>
    <n v="778"/>
    <x v="0"/>
    <s v="Cash"/>
    <x v="2"/>
    <x v="2"/>
    <n v="5446"/>
    <x v="2"/>
    <x v="2"/>
    <x v="2"/>
    <s v="Male"/>
    <x v="4"/>
  </r>
  <r>
    <s v="ORD20319"/>
    <d v="2023-11-09T00:00:00"/>
    <s v="Null"/>
    <n v="56"/>
    <s v="Male"/>
    <s v="Home &amp; Kitchen"/>
    <s v="Hawkins Cookware Set"/>
    <n v="1"/>
    <n v="7312"/>
    <x v="6"/>
    <s v="Card"/>
    <x v="0"/>
    <x v="0"/>
    <n v="5484"/>
    <x v="2"/>
    <x v="2"/>
    <x v="3"/>
    <s v="Male"/>
    <x v="1"/>
  </r>
  <r>
    <s v="ORD20257"/>
    <d v="2023-11-11T00:00:00"/>
    <s v="Sanjay Dubey"/>
    <n v="31"/>
    <s v="Male"/>
    <s v="clothing"/>
    <s v="Fabindia Kurta"/>
    <n v="2"/>
    <n v="2750"/>
    <x v="13"/>
    <s v="UPI"/>
    <x v="2"/>
    <x v="2"/>
    <n v="5500"/>
    <x v="1"/>
    <x v="1"/>
    <x v="1"/>
    <s v="Male"/>
    <x v="1"/>
  </r>
  <r>
    <s v="ORD20232"/>
    <d v="2023-12-14T00:00:00"/>
    <s v="Null"/>
    <n v="25"/>
    <s v="Male"/>
    <s v="Clothiing"/>
    <s v="Westside Dress"/>
    <n v="3"/>
    <n v="2050"/>
    <x v="2"/>
    <s v="COD"/>
    <x v="0"/>
    <x v="0"/>
    <n v="5535"/>
    <x v="0"/>
    <x v="0"/>
    <x v="1"/>
    <s v="Male"/>
    <x v="4"/>
  </r>
  <r>
    <s v="ORD20687"/>
    <s v="Null"/>
    <s v="Deepika Rao"/>
    <n v="20"/>
    <s v="Female"/>
    <s v="clothing"/>
    <s v="Nike Running Shoes"/>
    <n v="2"/>
    <n v="5550"/>
    <x v="8"/>
    <s v="UPI"/>
    <x v="5"/>
    <x v="0"/>
    <n v="5550"/>
    <x v="3"/>
    <x v="3"/>
    <x v="1"/>
    <s v="Female"/>
    <x v="2"/>
  </r>
  <r>
    <s v="ORD20528"/>
    <d v="2023-11-29T00:00:00"/>
    <s v="Karthik Rajan"/>
    <n v="34"/>
    <s v="Male"/>
    <s v="Electronics"/>
    <s v="boAt Earbuds"/>
    <n v="2"/>
    <n v="3700"/>
    <x v="6"/>
    <s v="Cash"/>
    <x v="0"/>
    <x v="0"/>
    <n v="5550"/>
    <x v="2"/>
    <x v="2"/>
    <x v="0"/>
    <s v="Male"/>
    <x v="1"/>
  </r>
  <r>
    <s v="ORD20983"/>
    <d v="2023-08-17T00:00:00"/>
    <s v="Sneha Iyer"/>
    <n v="25"/>
    <s v="Female"/>
    <s v="Beauty"/>
    <s v="Forest Essentials Cream"/>
    <n v="3"/>
    <n v="1951"/>
    <x v="4"/>
    <s v="UPI"/>
    <x v="1"/>
    <x v="1"/>
    <n v="5560.35"/>
    <x v="1"/>
    <x v="1"/>
    <x v="2"/>
    <s v="Female"/>
    <x v="5"/>
  </r>
  <r>
    <s v="ORD20476"/>
    <d v="2023-08-07T00:00:00"/>
    <s v="Gaurav Bansal"/>
    <n v="53"/>
    <s v="Other"/>
    <s v="clothing"/>
    <s v="Biba Salwar Suit"/>
    <n v="3"/>
    <n v="3100"/>
    <x v="1"/>
    <s v="Csh"/>
    <x v="0"/>
    <x v="0"/>
    <n v="5580"/>
    <x v="2"/>
    <x v="2"/>
    <x v="1"/>
    <s v="Other"/>
    <x v="5"/>
  </r>
  <r>
    <s v="ORD20714"/>
    <s v="Null"/>
    <s v="Manish Agarwal"/>
    <n v="34"/>
    <s v="Female"/>
    <s v="Home &amp; Kitchen"/>
    <s v="Cello Water Bottle"/>
    <n v="8"/>
    <n v="777"/>
    <x v="2"/>
    <s v="Card"/>
    <x v="0"/>
    <x v="0"/>
    <n v="5594.4"/>
    <x v="1"/>
    <x v="1"/>
    <x v="3"/>
    <s v="Female"/>
    <x v="2"/>
  </r>
  <r>
    <s v="ORD20987"/>
    <d v="2023-11-06T00:00:00"/>
    <s v="Smita Desai"/>
    <n v="999"/>
    <s v="Female"/>
    <s v="clothing"/>
    <s v="Westside Dress"/>
    <n v="2"/>
    <n v="2800"/>
    <x v="0"/>
    <s v="Cash"/>
    <x v="2"/>
    <x v="2"/>
    <n v="5600"/>
    <x v="2"/>
    <x v="2"/>
    <x v="1"/>
    <s v="Female"/>
    <x v="1"/>
  </r>
  <r>
    <s v="ORD20471"/>
    <d v="2023-05-26T00:00:00"/>
    <s v="Vikram Mehta"/>
    <n v="45"/>
    <s v="Female"/>
    <s v="clothing"/>
    <s v="Nike Running Shoes"/>
    <n v="1"/>
    <n v="7000"/>
    <x v="7"/>
    <s v="Card"/>
    <x v="0"/>
    <x v="0"/>
    <n v="5600"/>
    <x v="0"/>
    <x v="0"/>
    <x v="1"/>
    <s v="Female"/>
    <x v="8"/>
  </r>
  <r>
    <s v="ORD20361"/>
    <s v="Null"/>
    <s v="Kavya Reddy"/>
    <n v="33"/>
    <s v="Male"/>
    <s v="Home &amp; Kitchen"/>
    <s v="Usha Iron"/>
    <n v="4"/>
    <n v="2819"/>
    <x v="8"/>
    <s v="UPI"/>
    <x v="2"/>
    <x v="2"/>
    <n v="5638"/>
    <x v="0"/>
    <x v="0"/>
    <x v="3"/>
    <s v="Male"/>
    <x v="2"/>
  </r>
  <r>
    <s v="ORD20656"/>
    <d v="2023-11-27T00:00:00"/>
    <s v="Rekha Sinha"/>
    <n v="32"/>
    <s v="Female"/>
    <s v="Beauty"/>
    <s v="Forest Essentials Cream"/>
    <n v="4"/>
    <n v="1881"/>
    <x v="6"/>
    <s v="Card"/>
    <x v="2"/>
    <x v="2"/>
    <n v="5643"/>
    <x v="0"/>
    <x v="0"/>
    <x v="2"/>
    <s v="Female"/>
    <x v="1"/>
  </r>
  <r>
    <s v="ORD20945"/>
    <s v="Null"/>
    <s v="Null"/>
    <n v="34"/>
    <s v="Female"/>
    <s v="Beauty"/>
    <s v="Biotique Sunscreen"/>
    <n v="10"/>
    <n v="664"/>
    <x v="5"/>
    <s v="UPI"/>
    <x v="0"/>
    <x v="0"/>
    <n v="5644"/>
    <x v="0"/>
    <x v="0"/>
    <x v="2"/>
    <s v="Female"/>
    <x v="2"/>
  </r>
  <r>
    <s v="ORD20398"/>
    <s v="Null"/>
    <s v="Null"/>
    <n v="18"/>
    <s v="Female"/>
    <s v="Beauty"/>
    <s v="WOW Vitamin C Serum"/>
    <n v="6"/>
    <n v="1347"/>
    <x v="10"/>
    <s v="COD"/>
    <x v="0"/>
    <x v="0"/>
    <n v="5657.4"/>
    <x v="0"/>
    <x v="0"/>
    <x v="2"/>
    <s v="Female"/>
    <x v="2"/>
  </r>
  <r>
    <s v="ORD20874"/>
    <s v="Null"/>
    <s v="Deepika Rao"/>
    <n v="45"/>
    <s v="Mle"/>
    <s v="Beauty"/>
    <s v="Kama Ayurveda Hair Oil"/>
    <n v="7"/>
    <n v="1162"/>
    <x v="10"/>
    <s v="UPI"/>
    <x v="0"/>
    <x v="0"/>
    <n v="5693.8"/>
    <x v="2"/>
    <x v="2"/>
    <x v="2"/>
    <s v="Other"/>
    <x v="2"/>
  </r>
  <r>
    <s v="ORD20094"/>
    <d v="2023-07-18T00:00:00"/>
    <s v="Null"/>
    <n v="48"/>
    <s v="Female"/>
    <s v="clothing"/>
    <s v="Westside Dress"/>
    <n v="2"/>
    <n v="2850"/>
    <x v="0"/>
    <s v="Card"/>
    <x v="5"/>
    <x v="0"/>
    <n v="5700"/>
    <x v="2"/>
    <x v="2"/>
    <x v="1"/>
    <s v="Female"/>
    <x v="10"/>
  </r>
  <r>
    <s v="ORD20440"/>
    <s v="Null"/>
    <s v="Null"/>
    <n v="31"/>
    <s v="Male"/>
    <s v="Electronics"/>
    <s v="Lenovo Tab M10"/>
    <n v="1"/>
    <n v="22800"/>
    <x v="11"/>
    <s v="UPI"/>
    <x v="0"/>
    <x v="0"/>
    <n v="5700"/>
    <x v="0"/>
    <x v="0"/>
    <x v="0"/>
    <s v="Male"/>
    <x v="2"/>
  </r>
  <r>
    <s v="ORD20507"/>
    <s v="Null"/>
    <s v="Lakshmi Krishnan"/>
    <n v="49"/>
    <s v="Femal"/>
    <s v="clothing"/>
    <s v="Westside Dress"/>
    <n v="2"/>
    <n v="3800"/>
    <x v="6"/>
    <s v="COD"/>
    <x v="0"/>
    <x v="0"/>
    <n v="5700"/>
    <x v="1"/>
    <x v="1"/>
    <x v="1"/>
    <s v="Other"/>
    <x v="2"/>
  </r>
  <r>
    <s v="ORD20140"/>
    <d v="2023-05-24T00:00:00"/>
    <s v="Ananya Singh"/>
    <n v="30"/>
    <s v="Male"/>
    <s v="Home &amp; Kitchen"/>
    <s v="Cello Water Bottle"/>
    <n v="9"/>
    <n v="643"/>
    <x v="0"/>
    <s v="Crdit Card"/>
    <x v="2"/>
    <x v="2"/>
    <n v="5787"/>
    <x v="0"/>
    <x v="0"/>
    <x v="3"/>
    <s v="Male"/>
    <x v="8"/>
  </r>
  <r>
    <s v="ORD20409"/>
    <s v="Null"/>
    <s v="Ananya Singh"/>
    <n v="26"/>
    <s v="Male"/>
    <s v="Clthing"/>
    <s v="Levi's Jeans"/>
    <n v="2"/>
    <n v="4850"/>
    <x v="1"/>
    <s v="Card"/>
    <x v="0"/>
    <x v="0"/>
    <n v="5820"/>
    <x v="3"/>
    <x v="3"/>
    <x v="1"/>
    <s v="Male"/>
    <x v="2"/>
  </r>
  <r>
    <s v="ORD20481"/>
    <d v="2023-05-12T00:00:00"/>
    <s v="Gaurav Bansal"/>
    <n v="57"/>
    <s v="Female"/>
    <s v="Beauty"/>
    <s v="Kama Ayurveda Hair Oil"/>
    <n v="7"/>
    <n v="1388"/>
    <x v="1"/>
    <s v="UPI"/>
    <x v="1"/>
    <x v="1"/>
    <n v="5829.6"/>
    <x v="0"/>
    <x v="0"/>
    <x v="2"/>
    <s v="Female"/>
    <x v="8"/>
  </r>
  <r>
    <s v="ORD20726"/>
    <d v="2023-09-03T00:00:00"/>
    <s v="Null"/>
    <n v="46"/>
    <s v="Male"/>
    <s v="clothing"/>
    <s v="Westside Dress"/>
    <n v="3"/>
    <n v="1950"/>
    <x v="0"/>
    <s v="UPI"/>
    <x v="2"/>
    <x v="2"/>
    <n v="5850"/>
    <x v="1"/>
    <x v="1"/>
    <x v="1"/>
    <s v="Male"/>
    <x v="0"/>
  </r>
  <r>
    <s v="ORD20747"/>
    <d v="2023-12-11T00:00:00"/>
    <s v="Manish Agarwal"/>
    <n v="27"/>
    <s v="Male"/>
    <s v="Beauty"/>
    <s v="Plum Night Cream"/>
    <n v="9"/>
    <n v="723"/>
    <x v="2"/>
    <s v="UPI"/>
    <x v="2"/>
    <x v="2"/>
    <n v="5856.3"/>
    <x v="1"/>
    <x v="1"/>
    <x v="2"/>
    <s v="Male"/>
    <x v="4"/>
  </r>
  <r>
    <s v="ORD20908"/>
    <d v="2023-05-31T00:00:00"/>
    <s v="Lakshmi Krishnan"/>
    <n v="61"/>
    <s v="Female"/>
    <s v="clothing"/>
    <s v="Allen Solly Formal Shirt"/>
    <n v="2"/>
    <n v="2950"/>
    <x v="0"/>
    <s v="UPI"/>
    <x v="0"/>
    <x v="0"/>
    <n v="5900"/>
    <x v="0"/>
    <x v="0"/>
    <x v="1"/>
    <s v="Female"/>
    <x v="8"/>
  </r>
  <r>
    <s v="ORD20117"/>
    <d v="2023-06-08T00:00:00"/>
    <s v="Nikhil Bose"/>
    <n v="21"/>
    <s v="Female"/>
    <s v="Beauty"/>
    <s v="WOW Vitamin C Serum"/>
    <n v="8"/>
    <n v="826"/>
    <x v="2"/>
    <s v="Cash"/>
    <x v="1"/>
    <x v="1"/>
    <n v="5947.2"/>
    <x v="0"/>
    <x v="0"/>
    <x v="2"/>
    <s v="Female"/>
    <x v="3"/>
  </r>
  <r>
    <s v="ORD20100"/>
    <d v="2023-07-27T00:00:00"/>
    <s v="Null"/>
    <n v="28"/>
    <s v="Male"/>
    <s v="clothing"/>
    <s v="Peter England Trousers"/>
    <n v="2"/>
    <n v="3150"/>
    <x v="4"/>
    <s v="Cash"/>
    <x v="0"/>
    <x v="0"/>
    <n v="5985"/>
    <x v="1"/>
    <x v="1"/>
    <x v="1"/>
    <s v="Male"/>
    <x v="10"/>
  </r>
  <r>
    <s v="ORD20821"/>
    <s v="Null"/>
    <s v="Nitin Kapoor"/>
    <n v="65"/>
    <s v="Femle"/>
    <s v="Home &amp; Kitchen"/>
    <s v="Milton Steel Bottles"/>
    <n v="10"/>
    <n v="749"/>
    <x v="7"/>
    <s v="COD"/>
    <x v="2"/>
    <x v="2"/>
    <n v="5992"/>
    <x v="2"/>
    <x v="2"/>
    <x v="3"/>
    <s v="Other"/>
    <x v="2"/>
  </r>
  <r>
    <s v="ORD20756"/>
    <d v="2023-08-08T00:00:00"/>
    <s v="Shweta Ghosh"/>
    <n v="28"/>
    <s v="Female"/>
    <s v="clothing"/>
    <s v="Manyavar Sherwani"/>
    <n v="1"/>
    <n v="6000"/>
    <x v="4"/>
    <s v="Card"/>
    <x v="1"/>
    <x v="1"/>
    <n v="6000"/>
    <x v="0"/>
    <x v="0"/>
    <x v="1"/>
    <s v="Female"/>
    <x v="5"/>
  </r>
  <r>
    <s v="ORD20927"/>
    <d v="2023-03-29T00:00:00"/>
    <s v="Rahul Gupta"/>
    <n v="23"/>
    <s v="Male"/>
    <s v="Electonics"/>
    <s v="Mi Band 7"/>
    <n v="2"/>
    <n v="4000"/>
    <x v="6"/>
    <s v="Cash"/>
    <x v="0"/>
    <x v="0"/>
    <n v="6000"/>
    <x v="0"/>
    <x v="0"/>
    <x v="0"/>
    <s v="Male"/>
    <x v="7"/>
  </r>
  <r>
    <s v="ORD20429"/>
    <d v="2023-08-14T00:00:00"/>
    <s v="Neha Mishra"/>
    <n v="19"/>
    <s v="Female"/>
    <s v="Home &amp; Kitchen"/>
    <s v="Tupperware Set"/>
    <n v="4"/>
    <n v="2143"/>
    <x v="10"/>
    <s v="Card"/>
    <x v="0"/>
    <x v="0"/>
    <n v="6000.4"/>
    <x v="2"/>
    <x v="2"/>
    <x v="3"/>
    <s v="Female"/>
    <x v="5"/>
  </r>
  <r>
    <s v="ORD20577"/>
    <d v="2023-06-23T00:00:00"/>
    <s v="Pranav Kulkarni"/>
    <n v="35"/>
    <s v="F"/>
    <s v="Home &amp; Kitchen"/>
    <s v="Tupperware Set"/>
    <n v="2"/>
    <n v="3596"/>
    <x v="5"/>
    <s v="Card"/>
    <x v="2"/>
    <x v="2"/>
    <n v="6113.2"/>
    <x v="0"/>
    <x v="0"/>
    <x v="3"/>
    <s v="Female"/>
    <x v="3"/>
  </r>
  <r>
    <s v="ORD20271"/>
    <s v="Null"/>
    <s v="Null"/>
    <n v="21"/>
    <s v="Female"/>
    <s v="Home &amp; Kitchen"/>
    <s v="Milton Steel Bottles"/>
    <n v="8"/>
    <n v="1024"/>
    <x v="6"/>
    <s v="Card"/>
    <x v="0"/>
    <x v="0"/>
    <n v="6144"/>
    <x v="1"/>
    <x v="1"/>
    <x v="3"/>
    <s v="Female"/>
    <x v="2"/>
  </r>
  <r>
    <s v="ORD20284"/>
    <d v="2023-01-15T00:00:00"/>
    <s v="Shweta Ghosh"/>
    <n v="20"/>
    <s v="Male"/>
    <s v="clothing"/>
    <s v="Peter England Trousers"/>
    <n v="3"/>
    <n v="2050"/>
    <x v="0"/>
    <s v="Cash"/>
    <x v="0"/>
    <x v="0"/>
    <n v="6150"/>
    <x v="0"/>
    <x v="0"/>
    <x v="1"/>
    <s v="Male"/>
    <x v="9"/>
  </r>
  <r>
    <s v="ORD20022"/>
    <s v="Null"/>
    <s v="Sanjay Dubey"/>
    <m/>
    <s v="Female"/>
    <s v="Clothng"/>
    <s v="Westside Dress"/>
    <n v="3"/>
    <n v="2050"/>
    <x v="13"/>
    <s v="UPI"/>
    <x v="1"/>
    <x v="1"/>
    <n v="6150"/>
    <x v="0"/>
    <x v="0"/>
    <x v="1"/>
    <s v="Female"/>
    <x v="2"/>
  </r>
  <r>
    <s v="ORD20418"/>
    <d v="2023-03-15T00:00:00"/>
    <s v="Null"/>
    <n v="34"/>
    <s v="Male"/>
    <s v="Home &amp; Kitchen"/>
    <s v="Bajaj Mixer Grinder"/>
    <n v="5"/>
    <n v="2480"/>
    <x v="8"/>
    <s v="Card"/>
    <x v="0"/>
    <x v="0"/>
    <n v="6200"/>
    <x v="0"/>
    <x v="0"/>
    <x v="3"/>
    <s v="Male"/>
    <x v="7"/>
  </r>
  <r>
    <s v="ORD20683"/>
    <s v="Null"/>
    <s v="Amit Kumar"/>
    <n v="44"/>
    <s v="Female"/>
    <s v="Electronics"/>
    <s v="Mi Band 7"/>
    <n v="2"/>
    <n v="3900"/>
    <x v="7"/>
    <s v="Cash"/>
    <x v="0"/>
    <x v="0"/>
    <n v="6240"/>
    <x v="3"/>
    <x v="3"/>
    <x v="0"/>
    <s v="Female"/>
    <x v="2"/>
  </r>
  <r>
    <s v="ORD20537"/>
    <d v="2023-12-11T00:00:00"/>
    <s v="Deepika Rao"/>
    <n v="21"/>
    <s v="Female"/>
    <s v="clothing"/>
    <s v="Puma Track Suit"/>
    <n v="2"/>
    <n v="3150"/>
    <x v="0"/>
    <s v="Cash"/>
    <x v="0"/>
    <x v="0"/>
    <n v="6300"/>
    <x v="1"/>
    <x v="1"/>
    <x v="1"/>
    <s v="Female"/>
    <x v="4"/>
  </r>
  <r>
    <s v="ORD20208"/>
    <d v="2023-10-12T00:00:00"/>
    <s v="Null"/>
    <n v="23"/>
    <s v="Female"/>
    <s v="clothing"/>
    <s v="Raymond Suit"/>
    <n v="3"/>
    <n v="6450"/>
    <x v="7"/>
    <s v="Card"/>
    <x v="2"/>
    <x v="2"/>
    <n v="6450"/>
    <x v="1"/>
    <x v="1"/>
    <x v="1"/>
    <s v="Female"/>
    <x v="6"/>
  </r>
  <r>
    <s v="ORD20829"/>
    <d v="2023-05-04T00:00:00"/>
    <s v="Nikhil Bose"/>
    <n v="22"/>
    <s v="Male"/>
    <s v="Beauity"/>
    <s v="Lakme Foundation"/>
    <n v="9"/>
    <n v="957"/>
    <x v="6"/>
    <s v="Card"/>
    <x v="0"/>
    <x v="0"/>
    <n v="6459.75"/>
    <x v="2"/>
    <x v="2"/>
    <x v="2"/>
    <s v="Male"/>
    <x v="8"/>
  </r>
  <r>
    <s v="ORD20070"/>
    <d v="2023-09-28T00:00:00"/>
    <s v="Pallavi Deshmukh"/>
    <n v="28"/>
    <s v="Male"/>
    <s v="clothing"/>
    <s v="Biba Salwar Suit"/>
    <n v="3"/>
    <n v="2400"/>
    <x v="2"/>
    <s v="Card"/>
    <x v="2"/>
    <x v="2"/>
    <n v="6480"/>
    <x v="3"/>
    <x v="3"/>
    <x v="1"/>
    <s v="Male"/>
    <x v="0"/>
  </r>
  <r>
    <s v="ORD20155"/>
    <d v="2023-05-13T00:00:00"/>
    <s v="Pranav Kulkarni"/>
    <n v="22"/>
    <s v="Female"/>
    <s v="clothing"/>
    <s v="Peter England Trousers"/>
    <n v="3"/>
    <n v="2400"/>
    <x v="2"/>
    <s v="CashOnDelivery"/>
    <x v="1"/>
    <x v="1"/>
    <n v="6480"/>
    <x v="0"/>
    <x v="0"/>
    <x v="1"/>
    <s v="Female"/>
    <x v="8"/>
  </r>
  <r>
    <s v="ORD20774"/>
    <d v="2023-11-16T00:00:00"/>
    <s v="Ananya Singh"/>
    <n v="29"/>
    <s v="Male"/>
    <s v="clothing"/>
    <s v="Manyavar Sherwani"/>
    <n v="1"/>
    <n v="7200"/>
    <x v="2"/>
    <s v="Cash"/>
    <x v="0"/>
    <x v="0"/>
    <n v="6480"/>
    <x v="2"/>
    <x v="2"/>
    <x v="1"/>
    <s v="Male"/>
    <x v="1"/>
  </r>
  <r>
    <s v="ORD20728"/>
    <s v="Null"/>
    <s v="Null"/>
    <m/>
    <s v="Male"/>
    <s v="Clothng"/>
    <s v="W Ethnic Wear"/>
    <n v="2"/>
    <n v="3450"/>
    <x v="4"/>
    <s v="Cash"/>
    <x v="0"/>
    <x v="0"/>
    <n v="6555"/>
    <x v="2"/>
    <x v="2"/>
    <x v="1"/>
    <s v="Male"/>
    <x v="2"/>
  </r>
  <r>
    <s v="ORD20106"/>
    <d v="2023-02-06T00:00:00"/>
    <s v="Rahul Gupta"/>
    <n v="31"/>
    <s v="Female"/>
    <s v="BEUTY"/>
    <s v="VLCC Gold Facial Kit"/>
    <n v="4"/>
    <n v="1730"/>
    <x v="4"/>
    <s v="Crdit Card"/>
    <x v="0"/>
    <x v="0"/>
    <n v="6574"/>
    <x v="1"/>
    <x v="1"/>
    <x v="2"/>
    <s v="Female"/>
    <x v="12"/>
  </r>
  <r>
    <s v="ORD20261"/>
    <s v="Null"/>
    <s v="Vikram Mehta"/>
    <n v="19"/>
    <s v="Male"/>
    <s v="clothing"/>
    <s v="H&amp;M T-Shirt"/>
    <n v="2"/>
    <n v="1850"/>
    <x v="2"/>
    <s v="UPI"/>
    <x v="1"/>
    <x v="1"/>
    <n v="6660"/>
    <x v="0"/>
    <x v="0"/>
    <x v="1"/>
    <s v="Male"/>
    <x v="2"/>
  </r>
  <r>
    <s v="ORD20925"/>
    <s v="Null"/>
    <s v="Nikhil Bose"/>
    <n v="48"/>
    <s v="Male"/>
    <s v="Beauty"/>
    <s v="Kama Ayurveda Hair Oil"/>
    <n v="10"/>
    <n v="784"/>
    <x v="5"/>
    <s v="C.O.D"/>
    <x v="0"/>
    <x v="0"/>
    <n v="6664"/>
    <x v="3"/>
    <x v="3"/>
    <x v="2"/>
    <s v="Male"/>
    <x v="2"/>
  </r>
  <r>
    <s v="ORD20790"/>
    <s v="Null"/>
    <s v="Rekha Sinha"/>
    <n v="23"/>
    <s v="Male"/>
    <s v="clothing"/>
    <s v="W Ethnic Wear"/>
    <n v="3"/>
    <n v="2350"/>
    <x v="4"/>
    <s v="U.P.I"/>
    <x v="0"/>
    <x v="0"/>
    <n v="6697.5"/>
    <x v="1"/>
    <x v="1"/>
    <x v="1"/>
    <s v="Male"/>
    <x v="2"/>
  </r>
  <r>
    <s v="ORD20984"/>
    <s v="Null"/>
    <s v="Karthik Rajan"/>
    <n v="23"/>
    <s v="Male"/>
    <s v="Home &amp; Kitchen"/>
    <s v="Nilkamal Plastic Chair"/>
    <n v="5"/>
    <n v="1348"/>
    <x v="0"/>
    <s v="COD"/>
    <x v="0"/>
    <x v="0"/>
    <n v="6740"/>
    <x v="3"/>
    <x v="3"/>
    <x v="3"/>
    <s v="Male"/>
    <x v="2"/>
  </r>
  <r>
    <s v="ORD20573"/>
    <d v="2023-03-16T00:00:00"/>
    <s v="Vikram Mehta"/>
    <n v="19"/>
    <s v="Female"/>
    <s v="clothing"/>
    <s v="W Ethnic Wear"/>
    <n v="3"/>
    <n v="2500"/>
    <x v="2"/>
    <s v="Card"/>
    <x v="1"/>
    <x v="1"/>
    <n v="6750"/>
    <x v="9"/>
    <x v="3"/>
    <x v="1"/>
    <s v="Female"/>
    <x v="7"/>
  </r>
  <r>
    <s v="ORD20259"/>
    <d v="2023-05-29T00:00:00"/>
    <s v="Nikhil Bose"/>
    <n v="53"/>
    <s v="Female"/>
    <s v="Home &amp; Kitchen"/>
    <s v="Cello Water Bottle"/>
    <n v="10"/>
    <n v="680"/>
    <x v="0"/>
    <s v="Cash"/>
    <x v="0"/>
    <x v="0"/>
    <n v="6800"/>
    <x v="3"/>
    <x v="3"/>
    <x v="3"/>
    <s v="Female"/>
    <x v="8"/>
  </r>
  <r>
    <s v="ORD20483"/>
    <s v="Null"/>
    <s v="Null"/>
    <n v="36"/>
    <s v="Male"/>
    <s v="Electroni cs"/>
    <s v="boAt Earbuds"/>
    <n v="2"/>
    <n v="3400"/>
    <x v="0"/>
    <s v="UPI"/>
    <x v="0"/>
    <x v="0"/>
    <n v="6800"/>
    <x v="3"/>
    <x v="3"/>
    <x v="0"/>
    <s v="Male"/>
    <x v="2"/>
  </r>
  <r>
    <s v="ORD20126"/>
    <s v="Null"/>
    <s v="Null"/>
    <n v="51"/>
    <s v="Female"/>
    <s v="Home &amp; Kitchen"/>
    <s v="Pigeon Induction Cooktop"/>
    <n v="4"/>
    <n v="2149"/>
    <x v="7"/>
    <s v="Card"/>
    <x v="2"/>
    <x v="2"/>
    <n v="6876.8"/>
    <x v="2"/>
    <x v="2"/>
    <x v="3"/>
    <s v="Female"/>
    <x v="2"/>
  </r>
  <r>
    <s v="ORD20775"/>
    <s v="Null"/>
    <s v="Vikram Mehta"/>
    <n v="31"/>
    <s v="Female"/>
    <s v="Electronics"/>
    <s v="boAt Earbuds"/>
    <n v="2"/>
    <n v="3300"/>
    <x v="14"/>
    <s v="UPI"/>
    <x v="2"/>
    <x v="2"/>
    <n v="6930"/>
    <x v="0"/>
    <x v="0"/>
    <x v="0"/>
    <s v="Female"/>
    <x v="2"/>
  </r>
  <r>
    <s v="ORD20730"/>
    <d v="2023-01-10T00:00:00"/>
    <s v="Null"/>
    <n v="21"/>
    <s v="Female"/>
    <s v="Home &amp; Kitchen"/>
    <s v="Tupperware Set"/>
    <n v="2"/>
    <n v="3659"/>
    <x v="4"/>
    <s v="COD"/>
    <x v="0"/>
    <x v="0"/>
    <n v="6952.1"/>
    <x v="1"/>
    <x v="1"/>
    <x v="3"/>
    <s v="Female"/>
    <x v="9"/>
  </r>
  <r>
    <s v="ORD20278"/>
    <d v="2023-12-24T00:00:00"/>
    <s v="Pranav Kulkarni"/>
    <n v="35"/>
    <s v="Female"/>
    <s v="Home &amp; Kitchen"/>
    <s v="Milton Steel Bottles"/>
    <n v="5"/>
    <n v="1392"/>
    <x v="0"/>
    <s v="Cash"/>
    <x v="0"/>
    <x v="0"/>
    <n v="6960"/>
    <x v="9"/>
    <x v="3"/>
    <x v="3"/>
    <s v="Female"/>
    <x v="4"/>
  </r>
  <r>
    <s v="ORD20459"/>
    <d v="2023-11-08T00:00:00"/>
    <s v="Vikram Mehta"/>
    <n v="27"/>
    <s v="Other"/>
    <s v="Home &amp; Kitchen"/>
    <s v="Pigeon Induction Cooktop"/>
    <n v="2"/>
    <n v="3879"/>
    <x v="2"/>
    <s v="COD"/>
    <x v="0"/>
    <x v="0"/>
    <n v="6982.2"/>
    <x v="2"/>
    <x v="2"/>
    <x v="3"/>
    <s v="Other"/>
    <x v="1"/>
  </r>
  <r>
    <s v="ORD20596"/>
    <d v="2023-11-17T00:00:00"/>
    <s v="Nikhil Bose"/>
    <n v="25"/>
    <s v="Femal"/>
    <s v="Home &amp; Kitchen"/>
    <s v="Hawkins Cookware Set"/>
    <n v="1"/>
    <n v="7402"/>
    <x v="4"/>
    <s v="COD"/>
    <x v="0"/>
    <x v="0"/>
    <n v="7031.9"/>
    <x v="2"/>
    <x v="2"/>
    <x v="3"/>
    <s v="Other"/>
    <x v="1"/>
  </r>
  <r>
    <s v="ORD20458"/>
    <d v="2023-11-25T00:00:00"/>
    <s v="Deepika Rao"/>
    <n v="46"/>
    <s v="M"/>
    <s v="Home &amp; Kitchen"/>
    <s v="Orient Ceiling Fan"/>
    <n v="3"/>
    <n v="3908"/>
    <x v="1"/>
    <s v="Card"/>
    <x v="0"/>
    <x v="0"/>
    <n v="7034.4"/>
    <x v="1"/>
    <x v="1"/>
    <x v="3"/>
    <s v="Male"/>
    <x v="1"/>
  </r>
  <r>
    <s v="ORD20524"/>
    <d v="2023-04-16T00:00:00"/>
    <s v="Manish Agarwal"/>
    <n v="28"/>
    <s v="Male"/>
    <s v="Home &amp; Kitchen"/>
    <s v="Borosil Glass Set"/>
    <n v="5"/>
    <n v="1485"/>
    <x v="4"/>
    <s v="UPI"/>
    <x v="0"/>
    <x v="0"/>
    <n v="7053.75"/>
    <x v="2"/>
    <x v="2"/>
    <x v="3"/>
    <s v="Male"/>
    <x v="11"/>
  </r>
  <r>
    <s v="ORD20647"/>
    <d v="2023-12-29T00:00:00"/>
    <s v="Null"/>
    <n v="29"/>
    <s v="Male"/>
    <s v="clothing"/>
    <s v="Nike Running Shoes"/>
    <n v="1"/>
    <n v="7850"/>
    <x v="2"/>
    <s v="COD"/>
    <x v="0"/>
    <x v="0"/>
    <n v="7065"/>
    <x v="0"/>
    <x v="0"/>
    <x v="1"/>
    <s v="Male"/>
    <x v="4"/>
  </r>
  <r>
    <s v="ORD20484"/>
    <d v="2023-12-12T00:00:00"/>
    <s v="Karthik Rajan"/>
    <n v="21"/>
    <s v="Male"/>
    <s v="Beauty"/>
    <s v="WOW Vitamin C Serum"/>
    <n v="5"/>
    <n v="1415"/>
    <x v="0"/>
    <s v="UPI"/>
    <x v="0"/>
    <x v="0"/>
    <n v="7075"/>
    <x v="3"/>
    <x v="3"/>
    <x v="2"/>
    <s v="Male"/>
    <x v="4"/>
  </r>
  <r>
    <s v="ORD20794"/>
    <d v="2023-11-05T00:00:00"/>
    <s v="Null"/>
    <n v="60"/>
    <s v="Male"/>
    <s v="Home&amp;Kitchen"/>
    <s v="Tupperware Set"/>
    <n v="3"/>
    <n v="2405"/>
    <x v="0"/>
    <s v="Card"/>
    <x v="0"/>
    <x v="0"/>
    <n v="7215"/>
    <x v="0"/>
    <x v="0"/>
    <x v="3"/>
    <s v="Male"/>
    <x v="1"/>
  </r>
  <r>
    <s v="ORD20659"/>
    <d v="2023-10-01T00:00:00"/>
    <s v="Null"/>
    <n v="19"/>
    <s v="Female"/>
    <s v="Electronics"/>
    <s v="Mi Band 7"/>
    <n v="2"/>
    <n v="3800"/>
    <x v="4"/>
    <s v="Card"/>
    <x v="0"/>
    <x v="0"/>
    <n v="7220"/>
    <x v="1"/>
    <x v="1"/>
    <x v="0"/>
    <s v="Female"/>
    <x v="6"/>
  </r>
  <r>
    <s v="ORD20273"/>
    <d v="2023-08-12T00:00:00"/>
    <s v="Manish Agarwal"/>
    <n v="58"/>
    <s v="Female"/>
    <s v="Home &amp; Kitchen"/>
    <s v="Asian Paints 4L"/>
    <n v="5"/>
    <n v="1610"/>
    <x v="2"/>
    <s v="COD"/>
    <x v="0"/>
    <x v="0"/>
    <n v="7245"/>
    <x v="3"/>
    <x v="3"/>
    <x v="3"/>
    <s v="Female"/>
    <x v="5"/>
  </r>
  <r>
    <s v="ORD20835"/>
    <d v="2023-06-12T00:00:00"/>
    <s v="Manish Agarwal"/>
    <n v="27"/>
    <s v="Female"/>
    <s v="clothing"/>
    <s v="Raymond Suit"/>
    <n v="1"/>
    <n v="7300"/>
    <x v="0"/>
    <s v="Card"/>
    <x v="0"/>
    <x v="0"/>
    <n v="7300"/>
    <x v="3"/>
    <x v="3"/>
    <x v="1"/>
    <s v="Female"/>
    <x v="3"/>
  </r>
  <r>
    <s v="ORD20095"/>
    <d v="2023-12-24T00:00:00"/>
    <s v="Arjun Pillai"/>
    <n v="25"/>
    <s v="Female"/>
    <s v="Electronics"/>
    <s v="Mi Band 7"/>
    <n v="2"/>
    <n v="4300"/>
    <x v="5"/>
    <s v="UPI"/>
    <x v="0"/>
    <x v="0"/>
    <n v="7310"/>
    <x v="13"/>
    <x v="0"/>
    <x v="0"/>
    <s v="Female"/>
    <x v="4"/>
  </r>
  <r>
    <s v="ORD20875"/>
    <d v="2023-03-21T00:00:00"/>
    <s v="Arjun Pillai"/>
    <n v="58"/>
    <s v="Male"/>
    <s v="Beauty"/>
    <s v="Kama Ayurveda Hair Oil"/>
    <n v="6"/>
    <n v="1233"/>
    <x v="0"/>
    <s v="COD"/>
    <x v="0"/>
    <x v="0"/>
    <n v="7398"/>
    <x v="1"/>
    <x v="1"/>
    <x v="2"/>
    <s v="Male"/>
    <x v="7"/>
  </r>
  <r>
    <s v="ORD20760"/>
    <s v="Null"/>
    <s v="Ritu Bhatia"/>
    <n v="37"/>
    <s v="Female"/>
    <s v="Electronics"/>
    <s v="HP Printer"/>
    <n v="1"/>
    <n v="12400"/>
    <x v="1"/>
    <s v="UPI"/>
    <x v="2"/>
    <x v="2"/>
    <n v="7440"/>
    <x v="2"/>
    <x v="2"/>
    <x v="0"/>
    <s v="Female"/>
    <x v="2"/>
  </r>
  <r>
    <s v="ORD20097"/>
    <s v="Null"/>
    <s v="Nitin Kapoor"/>
    <n v="27"/>
    <s v="Female"/>
    <s v="clothing"/>
    <s v="Adidas Sneakers"/>
    <n v="1"/>
    <n v="7450"/>
    <x v="0"/>
    <s v="Cash"/>
    <x v="2"/>
    <x v="2"/>
    <n v="7450"/>
    <x v="0"/>
    <x v="0"/>
    <x v="1"/>
    <s v="Female"/>
    <x v="2"/>
  </r>
  <r>
    <s v="ORD20468"/>
    <d v="2023-11-28T00:00:00"/>
    <s v="Vikram Mehta"/>
    <n v="63"/>
    <s v="Female"/>
    <s v="Home &amp; Kitchen"/>
    <s v="Bajaj Mixer Grinder"/>
    <n v="3"/>
    <n v="3569"/>
    <x v="10"/>
    <s v="COD"/>
    <x v="2"/>
    <x v="2"/>
    <n v="7494.9"/>
    <x v="2"/>
    <x v="2"/>
    <x v="3"/>
    <s v="Female"/>
    <x v="1"/>
  </r>
  <r>
    <s v="ORD20605"/>
    <d v="2023-09-25T00:00:00"/>
    <s v="Null"/>
    <n v="28"/>
    <s v="M"/>
    <s v="clothing"/>
    <s v="Biba Salwar Suit"/>
    <n v="3"/>
    <n v="2500"/>
    <x v="0"/>
    <s v="COD"/>
    <x v="1"/>
    <x v="1"/>
    <n v="7500"/>
    <x v="2"/>
    <x v="2"/>
    <x v="1"/>
    <s v="Male"/>
    <x v="0"/>
  </r>
  <r>
    <s v="ORD20501"/>
    <d v="2023-11-11T00:00:00"/>
    <s v="Manish Agarwal"/>
    <n v="57"/>
    <s v="Male"/>
    <s v="clothing"/>
    <s v="Puma Track Suit"/>
    <n v="2"/>
    <n v="3750"/>
    <x v="0"/>
    <s v="Cash"/>
    <x v="0"/>
    <x v="0"/>
    <n v="7500"/>
    <x v="0"/>
    <x v="0"/>
    <x v="1"/>
    <s v="Male"/>
    <x v="1"/>
  </r>
  <r>
    <s v="ORD20236"/>
    <d v="2023-11-15T00:00:00"/>
    <s v="Pooja Nair"/>
    <n v="39"/>
    <s v="F"/>
    <s v="clothing"/>
    <s v="W Ethnic Wear"/>
    <n v="2"/>
    <n v="3750"/>
    <x v="13"/>
    <s v="UPI"/>
    <x v="1"/>
    <x v="1"/>
    <n v="7500"/>
    <x v="2"/>
    <x v="2"/>
    <x v="1"/>
    <s v="Female"/>
    <x v="1"/>
  </r>
  <r>
    <s v="ORD20515"/>
    <d v="2023-01-28T00:00:00"/>
    <s v="Divya Hegde"/>
    <n v="22"/>
    <s v="Male"/>
    <s v="Beauty"/>
    <s v="WOW Vitamin C Serum"/>
    <n v="10"/>
    <n v="1001"/>
    <x v="6"/>
    <s v="UPI"/>
    <x v="0"/>
    <x v="0"/>
    <n v="7507.5"/>
    <x v="1"/>
    <x v="1"/>
    <x v="2"/>
    <s v="Male"/>
    <x v="9"/>
  </r>
  <r>
    <s v="ORD20557"/>
    <d v="2023-02-27T00:00:00"/>
    <s v="Priyanka Choudhary"/>
    <n v="58"/>
    <s v="Male"/>
    <s v="Home and Kitchen"/>
    <s v="Milton Steel Bottles"/>
    <n v="9"/>
    <n v="1043"/>
    <x v="7"/>
    <s v="UPI"/>
    <x v="0"/>
    <x v="0"/>
    <n v="7509.6"/>
    <x v="2"/>
    <x v="2"/>
    <x v="3"/>
    <s v="Male"/>
    <x v="12"/>
  </r>
  <r>
    <s v="ORD20243"/>
    <d v="2023-06-27T00:00:00"/>
    <s v="Rekha Sinha"/>
    <n v="24"/>
    <s v="Female"/>
    <s v="Home &amp; Kitchen"/>
    <s v="Pigeon Induction Cooktop"/>
    <n v="4"/>
    <n v="2213"/>
    <x v="5"/>
    <s v="Card"/>
    <x v="0"/>
    <x v="0"/>
    <n v="7524.2"/>
    <x v="3"/>
    <x v="3"/>
    <x v="3"/>
    <s v="Female"/>
    <x v="3"/>
  </r>
  <r>
    <s v="ORD20953"/>
    <s v="Null"/>
    <s v="Harish Menon"/>
    <n v="52"/>
    <s v="Female"/>
    <s v="clothing"/>
    <s v="Peter England Trousers"/>
    <n v="3"/>
    <n v="2650"/>
    <x v="4"/>
    <s v="Card"/>
    <x v="0"/>
    <x v="0"/>
    <n v="7552.5"/>
    <x v="0"/>
    <x v="0"/>
    <x v="1"/>
    <s v="Female"/>
    <x v="2"/>
  </r>
  <r>
    <s v="ORD20985"/>
    <s v="Null"/>
    <s v="Deepika Rao"/>
    <n v="34"/>
    <s v="Female"/>
    <s v="clothing"/>
    <s v="Allen Solly Formal Shirt"/>
    <n v="3"/>
    <n v="3150"/>
    <x v="7"/>
    <s v="UPI"/>
    <x v="0"/>
    <x v="0"/>
    <n v="7560"/>
    <x v="1"/>
    <x v="1"/>
    <x v="1"/>
    <s v="Female"/>
    <x v="2"/>
  </r>
  <r>
    <s v="ORD20905"/>
    <d v="2023-11-06T00:00:00"/>
    <s v="Neha Mishra"/>
    <n v="34"/>
    <s v="Male"/>
    <s v="Electronics"/>
    <s v="Mi Band 7"/>
    <n v="2"/>
    <n v="4000"/>
    <x v="4"/>
    <s v="Card"/>
    <x v="2"/>
    <x v="2"/>
    <n v="7600"/>
    <x v="4"/>
    <x v="1"/>
    <x v="0"/>
    <s v="Male"/>
    <x v="1"/>
  </r>
  <r>
    <s v="ORD20290"/>
    <d v="2023-08-28T00:00:00"/>
    <s v="Lakshmi Krishnan"/>
    <n v="24"/>
    <s v="Male"/>
    <s v="Home &amp; Kitchen"/>
    <s v="Borosil Glass Set"/>
    <n v="5"/>
    <n v="1910"/>
    <x v="7"/>
    <s v="Crdit Card"/>
    <x v="0"/>
    <x v="0"/>
    <n v="7640"/>
    <x v="1"/>
    <x v="1"/>
    <x v="3"/>
    <s v="Male"/>
    <x v="5"/>
  </r>
  <r>
    <s v="ORD20195"/>
    <d v="2023-09-12T00:00:00"/>
    <s v="Amit Kumar"/>
    <n v="55"/>
    <s v="Male"/>
    <s v="clothing"/>
    <s v="Levi's Jeans"/>
    <n v="2"/>
    <n v="4800"/>
    <x v="7"/>
    <s v="UPI"/>
    <x v="0"/>
    <x v="0"/>
    <n v="7680"/>
    <x v="0"/>
    <x v="0"/>
    <x v="1"/>
    <s v="Male"/>
    <x v="0"/>
  </r>
  <r>
    <s v="ORD20951"/>
    <s v="Null"/>
    <s v="Pallavi Deshmukh"/>
    <n v="21"/>
    <s v="Female"/>
    <s v="Home&amp;Kitchen"/>
    <s v="Borosil Glass Set"/>
    <n v="8"/>
    <n v="1011"/>
    <x v="4"/>
    <s v="UPI"/>
    <x v="0"/>
    <x v="0"/>
    <n v="7683.6"/>
    <x v="2"/>
    <x v="2"/>
    <x v="3"/>
    <s v="Female"/>
    <x v="2"/>
  </r>
  <r>
    <s v="ORD20589"/>
    <s v="Null"/>
    <s v="Lakshmi Krishnan"/>
    <n v="39"/>
    <s v="Female"/>
    <s v="clothing"/>
    <s v="Adidas Sneakers"/>
    <n v="1"/>
    <n v="7700"/>
    <x v="0"/>
    <s v="Card"/>
    <x v="2"/>
    <x v="2"/>
    <n v="7700"/>
    <x v="1"/>
    <x v="1"/>
    <x v="1"/>
    <s v="Female"/>
    <x v="2"/>
  </r>
  <r>
    <s v="ORD20406"/>
    <d v="2023-12-31T00:00:00"/>
    <s v="Swati Jain"/>
    <n v="19"/>
    <s v="Female"/>
    <s v="Electronics"/>
    <s v="Whirlpool Refrigerator"/>
    <n v="2"/>
    <n v="38600"/>
    <x v="0"/>
    <s v="Cash"/>
    <x v="0"/>
    <x v="0"/>
    <n v="7720"/>
    <x v="0"/>
    <x v="0"/>
    <x v="0"/>
    <s v="Female"/>
    <x v="4"/>
  </r>
  <r>
    <s v="ORD20541"/>
    <d v="2023-11-20T00:00:00"/>
    <s v="Pooja Nair"/>
    <n v="60"/>
    <s v="Female"/>
    <s v="BEUTY"/>
    <s v="Plum Night Cream"/>
    <n v="9"/>
    <n v="903"/>
    <x v="4"/>
    <s v="COD"/>
    <x v="0"/>
    <x v="0"/>
    <n v="7720.65"/>
    <x v="2"/>
    <x v="2"/>
    <x v="2"/>
    <s v="Female"/>
    <x v="1"/>
  </r>
  <r>
    <s v="ORD20533"/>
    <d v="2023-06-21T00:00:00"/>
    <s v="Divya Hegde"/>
    <n v="59"/>
    <s v="Female"/>
    <s v="Electronics"/>
    <s v="iPhone 14"/>
    <n v="1"/>
    <n v="87300"/>
    <x v="13"/>
    <s v="Card"/>
    <x v="0"/>
    <x v="0"/>
    <n v="7730"/>
    <x v="3"/>
    <x v="3"/>
    <x v="0"/>
    <s v="Female"/>
    <x v="3"/>
  </r>
  <r>
    <s v="ORD20475"/>
    <d v="2023-05-20T00:00:00"/>
    <s v="Pooja Nair"/>
    <n v="33"/>
    <s v="Male"/>
    <s v="clothing"/>
    <s v="Cotton Saree"/>
    <n v="3"/>
    <n v="3050"/>
    <x v="5"/>
    <s v="Cash"/>
    <x v="0"/>
    <x v="0"/>
    <n v="7777.5"/>
    <x v="0"/>
    <x v="0"/>
    <x v="1"/>
    <s v="Male"/>
    <x v="8"/>
  </r>
  <r>
    <s v="ORD20487"/>
    <d v="2023-09-11T00:00:00"/>
    <s v="Null"/>
    <n v="30"/>
    <s v="Other"/>
    <s v="clothing"/>
    <s v="W Ethnic Wear"/>
    <n v="3"/>
    <n v="2600"/>
    <x v="0"/>
    <s v="COD"/>
    <x v="0"/>
    <x v="0"/>
    <n v="7800"/>
    <x v="0"/>
    <x v="0"/>
    <x v="1"/>
    <s v="Other"/>
    <x v="0"/>
  </r>
  <r>
    <s v="ORD20799"/>
    <d v="2023-11-22T00:00:00"/>
    <s v="Shweta Ghosh"/>
    <n v="50"/>
    <s v="Male"/>
    <s v="Home &amp; Kitchen"/>
    <s v="Bajaj Mixer Grinder"/>
    <n v="2"/>
    <n v="3915"/>
    <x v="0"/>
    <s v="Card"/>
    <x v="0"/>
    <x v="0"/>
    <n v="7830"/>
    <x v="15"/>
    <x v="0"/>
    <x v="3"/>
    <s v="Male"/>
    <x v="1"/>
  </r>
  <r>
    <s v="ORD20738"/>
    <d v="2023-09-07T00:00:00"/>
    <s v="Tanvi Kulkarni"/>
    <n v="51"/>
    <s v="Femal"/>
    <s v="Home &amp; Kitchen"/>
    <s v="Asian Paints 4L"/>
    <n v="4"/>
    <n v="2063"/>
    <x v="4"/>
    <s v="UPI"/>
    <x v="0"/>
    <x v="0"/>
    <n v="7839.4"/>
    <x v="0"/>
    <x v="0"/>
    <x v="3"/>
    <s v="Other"/>
    <x v="0"/>
  </r>
  <r>
    <s v="ORD20294"/>
    <s v="Null"/>
    <s v="Null"/>
    <n v="18"/>
    <s v="Female"/>
    <s v="clothing"/>
    <s v="Cotton Saree"/>
    <n v="2"/>
    <n v="4150"/>
    <x v="4"/>
    <s v="Card"/>
    <x v="0"/>
    <x v="0"/>
    <n v="7885"/>
    <x v="2"/>
    <x v="2"/>
    <x v="1"/>
    <s v="Female"/>
    <x v="2"/>
  </r>
  <r>
    <s v="ORD20294"/>
    <s v="Null"/>
    <s v="Null"/>
    <n v="18"/>
    <s v="Female"/>
    <s v="clothing"/>
    <s v="Cotton Saree"/>
    <n v="2"/>
    <n v="4150"/>
    <x v="4"/>
    <s v="Card"/>
    <x v="0"/>
    <x v="0"/>
    <n v="7885"/>
    <x v="2"/>
    <x v="2"/>
    <x v="1"/>
    <s v="Female"/>
    <x v="2"/>
  </r>
  <r>
    <s v="ORD20843"/>
    <d v="2023-05-22T00:00:00"/>
    <s v="Gaurav Bansal"/>
    <n v="45"/>
    <s v="Female"/>
    <s v="Clthing"/>
    <s v="Puma Track Suit"/>
    <n v="2"/>
    <n v="4400"/>
    <x v="2"/>
    <s v="Cash"/>
    <x v="2"/>
    <x v="2"/>
    <n v="7920"/>
    <x v="2"/>
    <x v="2"/>
    <x v="1"/>
    <s v="Female"/>
    <x v="8"/>
  </r>
  <r>
    <s v="ORD20930"/>
    <s v="Null"/>
    <s v="Deepika Rao"/>
    <n v="46"/>
    <s v="Male"/>
    <s v="Home &amp; Kitchen"/>
    <s v="Tupperware Set"/>
    <n v="5"/>
    <n v="2645"/>
    <x v="1"/>
    <s v="Card"/>
    <x v="0"/>
    <x v="0"/>
    <n v="7935"/>
    <x v="2"/>
    <x v="2"/>
    <x v="3"/>
    <s v="Male"/>
    <x v="2"/>
  </r>
  <r>
    <s v="ORD20451"/>
    <s v="Null"/>
    <s v="Shweta Ghosh"/>
    <n v="52"/>
    <s v="Female"/>
    <s v="clothing"/>
    <s v="Westside Dress"/>
    <n v="3"/>
    <n v="2650"/>
    <x v="0"/>
    <s v="Cash"/>
    <x v="2"/>
    <x v="2"/>
    <n v="7950"/>
    <x v="2"/>
    <x v="2"/>
    <x v="1"/>
    <s v="Female"/>
    <x v="2"/>
  </r>
  <r>
    <s v="ORD20901"/>
    <d v="2023-10-25T00:00:00"/>
    <s v="Geeta Thakur"/>
    <n v="20"/>
    <s v="Female"/>
    <s v="clothing"/>
    <s v="Manyavar Sherwani"/>
    <n v="1"/>
    <n v="7950"/>
    <x v="4"/>
    <s v="Card"/>
    <x v="0"/>
    <x v="0"/>
    <n v="7950"/>
    <x v="2"/>
    <x v="2"/>
    <x v="1"/>
    <s v="Female"/>
    <x v="6"/>
  </r>
  <r>
    <s v="ORD20466"/>
    <d v="2023-09-26T00:00:00"/>
    <s v="Sanjay Dubey"/>
    <n v="54"/>
    <s v="Female"/>
    <s v="clothing"/>
    <s v="Levi's Jeans"/>
    <n v="3"/>
    <n v="2800"/>
    <x v="4"/>
    <s v="COD"/>
    <x v="0"/>
    <x v="0"/>
    <n v="7980"/>
    <x v="1"/>
    <x v="1"/>
    <x v="1"/>
    <s v="Female"/>
    <x v="0"/>
  </r>
  <r>
    <s v="ORD20431"/>
    <s v="Null"/>
    <s v="Pooja Nair"/>
    <n v="47"/>
    <s v="Male"/>
    <s v="Home &amp; Kitchen"/>
    <s v="Prestige Pressure Cooker"/>
    <n v="3"/>
    <n v="3132"/>
    <x v="5"/>
    <s v="UPI"/>
    <x v="0"/>
    <x v="0"/>
    <n v="7986.6"/>
    <x v="2"/>
    <x v="2"/>
    <x v="3"/>
    <s v="Male"/>
    <x v="2"/>
  </r>
  <r>
    <s v="ORD20192"/>
    <s v="Null"/>
    <s v="Sanjay Dubey"/>
    <n v="59"/>
    <s v="Female"/>
    <s v="clothing"/>
    <s v="W Ethnic Wear"/>
    <n v="3"/>
    <n v="3550"/>
    <x v="6"/>
    <s v="COD"/>
    <x v="0"/>
    <x v="0"/>
    <n v="7987.5"/>
    <x v="3"/>
    <x v="3"/>
    <x v="1"/>
    <s v="Female"/>
    <x v="2"/>
  </r>
  <r>
    <s v="ORD20013"/>
    <d v="2023-01-28T00:00:00"/>
    <s v="Smita Desai"/>
    <n v="32"/>
    <s v="Male"/>
    <s v="Electronics"/>
    <s v="HP Printer"/>
    <n v="1"/>
    <n v="8000"/>
    <x v="0"/>
    <s v="Card"/>
    <x v="0"/>
    <x v="0"/>
    <n v="8000"/>
    <x v="15"/>
    <x v="0"/>
    <x v="0"/>
    <s v="Male"/>
    <x v="9"/>
  </r>
  <r>
    <s v="ORD20218"/>
    <d v="2023-01-19T00:00:00"/>
    <s v="Vikram Mehta"/>
    <n v="38"/>
    <s v="Male"/>
    <s v="Beauty"/>
    <s v="Forest Essentials Cream"/>
    <n v="2"/>
    <n v="4017"/>
    <x v="0"/>
    <s v="Debit Card"/>
    <x v="0"/>
    <x v="0"/>
    <n v="8034"/>
    <x v="0"/>
    <x v="0"/>
    <x v="2"/>
    <s v="Male"/>
    <x v="9"/>
  </r>
  <r>
    <s v="ORD20183"/>
    <d v="2023-01-27T00:00:00"/>
    <s v="Vikram Mehta"/>
    <n v="26"/>
    <s v="Male"/>
    <s v="clothing"/>
    <s v="Westside Dress"/>
    <n v="3"/>
    <n v="3350"/>
    <x v="7"/>
    <s v="UPI"/>
    <x v="0"/>
    <x v="0"/>
    <n v="8040"/>
    <x v="1"/>
    <x v="1"/>
    <x v="1"/>
    <s v="Male"/>
    <x v="9"/>
  </r>
  <r>
    <s v="ORD20516"/>
    <d v="2023-03-05T00:00:00"/>
    <s v="Geeta Thakur"/>
    <n v="41"/>
    <s v="Male"/>
    <s v="Beauty"/>
    <s v="VLCC Gold Facial Kit"/>
    <n v="6"/>
    <n v="1791"/>
    <x v="6"/>
    <s v="Cash"/>
    <x v="0"/>
    <x v="0"/>
    <n v="8059.5"/>
    <x v="2"/>
    <x v="2"/>
    <x v="2"/>
    <s v="Male"/>
    <x v="7"/>
  </r>
  <r>
    <s v="ORD20497"/>
    <d v="2023-08-22T00:00:00"/>
    <s v="Amit Kumar"/>
    <n v="56"/>
    <s v="Female"/>
    <s v="clothing"/>
    <s v="Cotton Saree"/>
    <n v="2"/>
    <n v="4750"/>
    <x v="5"/>
    <s v="Card"/>
    <x v="0"/>
    <x v="0"/>
    <n v="8075"/>
    <x v="0"/>
    <x v="0"/>
    <x v="1"/>
    <s v="Female"/>
    <x v="5"/>
  </r>
  <r>
    <s v="ORD20029"/>
    <d v="2023-06-11T00:00:00"/>
    <s v="Sanjay Dubey"/>
    <n v="27"/>
    <s v="Female"/>
    <s v="Home &amp; Kitchen"/>
    <s v="Hawkins Cookware Set"/>
    <n v="3"/>
    <n v="3395"/>
    <x v="7"/>
    <s v="Debit Card"/>
    <x v="5"/>
    <x v="0"/>
    <n v="8148"/>
    <x v="0"/>
    <x v="0"/>
    <x v="3"/>
    <s v="Female"/>
    <x v="3"/>
  </r>
  <r>
    <s v="ORD20548"/>
    <d v="2023-06-29T00:00:00"/>
    <s v="Null"/>
    <m/>
    <s v="Male"/>
    <s v="Home &amp; Kitchen"/>
    <s v="Nilkamal Plastic Chair"/>
    <n v="7"/>
    <n v="1165"/>
    <x v="0"/>
    <s v="COD"/>
    <x v="0"/>
    <x v="0"/>
    <n v="8155"/>
    <x v="7"/>
    <x v="3"/>
    <x v="3"/>
    <s v="Male"/>
    <x v="3"/>
  </r>
  <r>
    <s v="ORD20237"/>
    <d v="2023-05-03T00:00:00"/>
    <s v="Rahul  Gupta"/>
    <n v="55"/>
    <s v="Male"/>
    <s v="Clothng"/>
    <s v="H&amp;M T-Shirt"/>
    <n v="3"/>
    <n v="850"/>
    <x v="7"/>
    <s v="COD"/>
    <x v="0"/>
    <x v="0"/>
    <n v="8160"/>
    <x v="2"/>
    <x v="2"/>
    <x v="1"/>
    <s v="Male"/>
    <x v="8"/>
  </r>
  <r>
    <s v="ORD20043"/>
    <d v="2023-12-20T00:00:00"/>
    <s v="Manish Agarwal"/>
    <n v="24"/>
    <s v="Female"/>
    <s v="clothing"/>
    <s v="H&amp;M T-Shirt"/>
    <n v="3"/>
    <n v="800"/>
    <x v="5"/>
    <s v="Card"/>
    <x v="0"/>
    <x v="0"/>
    <n v="8160"/>
    <x v="1"/>
    <x v="1"/>
    <x v="1"/>
    <s v="Female"/>
    <x v="4"/>
  </r>
  <r>
    <s v="ORD20754"/>
    <d v="2023-12-04T00:00:00"/>
    <s v="Pranav Kulkarni"/>
    <n v="45"/>
    <s v="Female"/>
    <s v="clothing"/>
    <s v="Allen Solly Formal Shirt"/>
    <n v="3"/>
    <n v="3400"/>
    <x v="7"/>
    <s v="UPI"/>
    <x v="0"/>
    <x v="0"/>
    <n v="8160"/>
    <x v="1"/>
    <x v="1"/>
    <x v="1"/>
    <s v="Female"/>
    <x v="4"/>
  </r>
  <r>
    <s v="ORD20970"/>
    <d v="2023-08-05T00:00:00"/>
    <s v="Pranav Kulkarni"/>
    <n v="32"/>
    <s v="Male"/>
    <s v="clothing"/>
    <s v="Puma Track Suit"/>
    <n v="2"/>
    <n v="4550"/>
    <x v="2"/>
    <s v="Cash"/>
    <x v="1"/>
    <x v="1"/>
    <n v="8190"/>
    <x v="3"/>
    <x v="3"/>
    <x v="1"/>
    <s v="Male"/>
    <x v="5"/>
  </r>
  <r>
    <s v="ORD20359"/>
    <d v="2023-12-10T00:00:00"/>
    <s v="Neha Mishra"/>
    <n v="48"/>
    <s v="Male"/>
    <s v="clothing"/>
    <s v="Westside Dress"/>
    <n v="3"/>
    <n v="3650"/>
    <x v="6"/>
    <s v="Card"/>
    <x v="0"/>
    <x v="0"/>
    <n v="8212.5"/>
    <x v="2"/>
    <x v="2"/>
    <x v="1"/>
    <s v="Male"/>
    <x v="4"/>
  </r>
  <r>
    <s v="ORD20181"/>
    <d v="2023-01-08T00:00:00"/>
    <s v="Null"/>
    <n v="47"/>
    <s v="Male"/>
    <s v="clothing"/>
    <s v="Levi's Jeans"/>
    <n v="3"/>
    <n v="3050"/>
    <x v="2"/>
    <s v="COD"/>
    <x v="5"/>
    <x v="0"/>
    <n v="8235"/>
    <x v="0"/>
    <x v="0"/>
    <x v="1"/>
    <s v="Male"/>
    <x v="9"/>
  </r>
  <r>
    <s v="ORD20715"/>
    <d v="2023-07-03T00:00:00"/>
    <s v="Sanjay Dubey"/>
    <n v="24"/>
    <s v="Female"/>
    <s v="Home &amp; Kitchen"/>
    <s v="Usha Iron"/>
    <n v="4"/>
    <n v="2942"/>
    <x v="10"/>
    <s v="COD"/>
    <x v="0"/>
    <x v="0"/>
    <n v="8237.6"/>
    <x v="2"/>
    <x v="2"/>
    <x v="3"/>
    <s v="Female"/>
    <x v="10"/>
  </r>
  <r>
    <s v="ORD20934"/>
    <d v="2023-09-06T00:00:00"/>
    <s v="Nikhil Bose"/>
    <n v="52"/>
    <s v="Female"/>
    <s v="Home &amp; Kitchen"/>
    <s v="Hawkins Cookware Set"/>
    <n v="4"/>
    <n v="4130"/>
    <x v="8"/>
    <s v="UPI"/>
    <x v="0"/>
    <x v="0"/>
    <n v="8260"/>
    <x v="0"/>
    <x v="0"/>
    <x v="3"/>
    <s v="Female"/>
    <x v="0"/>
  </r>
  <r>
    <s v="ORD20215"/>
    <d v="2023-04-18T00:00:00"/>
    <s v="Nitin Kapoor"/>
    <n v="29"/>
    <s v="Male"/>
    <s v="clothing"/>
    <s v="Nike Running Shoes"/>
    <n v="2"/>
    <n v="4350"/>
    <x v="4"/>
    <s v="Cash"/>
    <x v="3"/>
    <x v="0"/>
    <n v="8265"/>
    <x v="1"/>
    <x v="1"/>
    <x v="1"/>
    <s v="Male"/>
    <x v="11"/>
  </r>
  <r>
    <s v="ORD20812"/>
    <d v="2023-11-23T00:00:00"/>
    <s v="Nikhil Bose"/>
    <n v="52"/>
    <s v="Female"/>
    <s v="clothing"/>
    <s v="Adidas Sneakers"/>
    <n v="2"/>
    <n v="4600"/>
    <x v="2"/>
    <s v="Card"/>
    <x v="1"/>
    <x v="1"/>
    <n v="8280"/>
    <x v="2"/>
    <x v="2"/>
    <x v="1"/>
    <s v="Female"/>
    <x v="1"/>
  </r>
  <r>
    <s v="ORD20204"/>
    <s v="Null"/>
    <s v="Null"/>
    <n v="42"/>
    <s v="Male"/>
    <s v="Home &amp; Kitchen"/>
    <s v="Orient Ceiling Fan"/>
    <n v="4"/>
    <n v="3452"/>
    <x v="1"/>
    <s v="Card"/>
    <x v="0"/>
    <x v="0"/>
    <n v="8284.7999999999993"/>
    <x v="3"/>
    <x v="3"/>
    <x v="3"/>
    <s v="Male"/>
    <x v="2"/>
  </r>
  <r>
    <s v="ORD20900"/>
    <s v="Null"/>
    <s v="Gaurav Bansal"/>
    <m/>
    <s v="Male"/>
    <s v="Beauty"/>
    <s v="WOW Vitamin C Serum"/>
    <n v="7"/>
    <n v="1250"/>
    <x v="4"/>
    <s v="UPI"/>
    <x v="2"/>
    <x v="2"/>
    <n v="8312.5"/>
    <x v="0"/>
    <x v="0"/>
    <x v="2"/>
    <s v="Male"/>
    <x v="2"/>
  </r>
  <r>
    <s v="ORD20141"/>
    <d v="2023-04-19T00:00:00"/>
    <s v="Rajesh Tiwari"/>
    <n v="21"/>
    <s v="Male"/>
    <s v="Home &amp; Kitchen"/>
    <s v="Tupperware Set"/>
    <n v="5"/>
    <n v="2776"/>
    <x v="1"/>
    <s v="COD"/>
    <x v="0"/>
    <x v="0"/>
    <n v="8328"/>
    <x v="3"/>
    <x v="3"/>
    <x v="3"/>
    <s v="Male"/>
    <x v="11"/>
  </r>
  <r>
    <s v="ORD20213"/>
    <d v="2023-11-19T00:00:00"/>
    <s v="Lakshmi Krishnan"/>
    <n v="59"/>
    <s v="Male"/>
    <s v="clothing"/>
    <s v="Cotton Saree"/>
    <n v="2"/>
    <n v="4900"/>
    <x v="5"/>
    <s v="UPI"/>
    <x v="0"/>
    <x v="0"/>
    <n v="8330"/>
    <x v="2"/>
    <x v="2"/>
    <x v="1"/>
    <s v="Male"/>
    <x v="1"/>
  </r>
  <r>
    <s v="ORD20031"/>
    <d v="2023-10-11T00:00:00"/>
    <s v="Null"/>
    <n v="27"/>
    <s v="Female"/>
    <s v="Beauty"/>
    <s v="WOW Vitamin C Serum"/>
    <n v="8"/>
    <n v="1098"/>
    <x v="4"/>
    <s v="UPI"/>
    <x v="2"/>
    <x v="2"/>
    <n v="8344.7999999999993"/>
    <x v="0"/>
    <x v="0"/>
    <x v="2"/>
    <s v="Female"/>
    <x v="6"/>
  </r>
  <r>
    <s v="ORD20956"/>
    <d v="2023-07-19T00:00:00"/>
    <s v="Pooja Nair"/>
    <n v="47"/>
    <s v="M"/>
    <s v="clothing"/>
    <s v="Peter England Trousers"/>
    <n v="2"/>
    <n v="4400"/>
    <x v="4"/>
    <s v="UPI"/>
    <x v="0"/>
    <x v="0"/>
    <n v="8360"/>
    <x v="0"/>
    <x v="0"/>
    <x v="1"/>
    <s v="Male"/>
    <x v="10"/>
  </r>
  <r>
    <s v="ORD20764"/>
    <s v="Null"/>
    <s v="Rahul Gupta"/>
    <n v="58"/>
    <s v="Male"/>
    <s v="clothing"/>
    <s v="Manyavar Sherwani"/>
    <n v="2"/>
    <n v="7000"/>
    <x v="1"/>
    <s v="Csh"/>
    <x v="0"/>
    <x v="0"/>
    <n v="8400"/>
    <x v="1"/>
    <x v="1"/>
    <x v="1"/>
    <s v="Male"/>
    <x v="2"/>
  </r>
  <r>
    <s v="ORD20055"/>
    <d v="2023-11-08T00:00:00"/>
    <s v="Null"/>
    <n v="34"/>
    <s v="Male"/>
    <s v="clothing"/>
    <s v="Biba Salwar Suit"/>
    <n v="2"/>
    <n v="4450"/>
    <x v="4"/>
    <s v="Card"/>
    <x v="0"/>
    <x v="0"/>
    <n v="8455"/>
    <x v="0"/>
    <x v="0"/>
    <x v="1"/>
    <s v="Male"/>
    <x v="1"/>
  </r>
  <r>
    <s v="ORD20123"/>
    <s v="Null"/>
    <s v="Pooja Nair"/>
    <n v="55"/>
    <s v="Male"/>
    <s v="Electronics"/>
    <s v="JBL Bluetooth Speaker"/>
    <n v="2"/>
    <n v="4700"/>
    <x v="2"/>
    <s v="Card"/>
    <x v="0"/>
    <x v="0"/>
    <n v="8460"/>
    <x v="2"/>
    <x v="2"/>
    <x v="0"/>
    <s v="Male"/>
    <x v="2"/>
  </r>
  <r>
    <s v="ORD20412"/>
    <s v="Null"/>
    <s v="Ashok Yadav"/>
    <n v="57"/>
    <s v="Female"/>
    <s v="Beauty"/>
    <s v="Maybelline Lipstick"/>
    <n v="10"/>
    <n v="858"/>
    <x v="0"/>
    <s v="Cash"/>
    <x v="0"/>
    <x v="0"/>
    <n v="8580"/>
    <x v="0"/>
    <x v="0"/>
    <x v="2"/>
    <s v="Female"/>
    <x v="2"/>
  </r>
  <r>
    <s v="ORD20087"/>
    <s v="Null"/>
    <s v="Null"/>
    <n v="43"/>
    <s v="Female"/>
    <s v="Home &amp; Kitchen"/>
    <s v="Philips Air Fryer"/>
    <n v="1"/>
    <n v="8601"/>
    <x v="0"/>
    <s v="CashOnDelivery"/>
    <x v="0"/>
    <x v="0"/>
    <n v="8601"/>
    <x v="1"/>
    <x v="1"/>
    <x v="3"/>
    <s v="Female"/>
    <x v="2"/>
  </r>
  <r>
    <s v="ORD20413"/>
    <s v="Null"/>
    <s v="Pranav Kulkarni"/>
    <n v="51"/>
    <s v="Female"/>
    <s v="Clthing"/>
    <s v="Peter England Trousers"/>
    <n v="3"/>
    <n v="3200"/>
    <x v="2"/>
    <s v="UPI"/>
    <x v="0"/>
    <x v="0"/>
    <n v="8640"/>
    <x v="3"/>
    <x v="3"/>
    <x v="1"/>
    <s v="Female"/>
    <x v="2"/>
  </r>
  <r>
    <s v="ORD20433"/>
    <s v="Null"/>
    <s v="Null"/>
    <n v="32"/>
    <s v="Female"/>
    <s v="Hme &amp; Kitchen"/>
    <s v="Asian Paints 4L"/>
    <n v="6"/>
    <n v="2882"/>
    <x v="8"/>
    <s v="UPI"/>
    <x v="2"/>
    <x v="2"/>
    <n v="8646"/>
    <x v="1"/>
    <x v="1"/>
    <x v="3"/>
    <s v="Female"/>
    <x v="2"/>
  </r>
  <r>
    <s v="ORD20300"/>
    <d v="2023-07-30T00:00:00"/>
    <s v="Vinod Patil"/>
    <n v="62"/>
    <s v="Male"/>
    <s v="Home &amp; Kitchen"/>
    <s v="Milton Steel Bottles"/>
    <n v="6"/>
    <n v="1442"/>
    <x v="0"/>
    <s v="UPI"/>
    <x v="5"/>
    <x v="0"/>
    <n v="8652"/>
    <x v="11"/>
    <x v="2"/>
    <x v="3"/>
    <s v="Male"/>
    <x v="10"/>
  </r>
  <r>
    <s v="ORD20696"/>
    <s v="Null"/>
    <s v="Manoj Chauhan"/>
    <n v="65"/>
    <s v="Female"/>
    <s v="Home &amp; Kitchen"/>
    <s v="Philips Air Fryer"/>
    <n v="1"/>
    <n v="8665"/>
    <x v="0"/>
    <s v="Cash"/>
    <x v="2"/>
    <x v="2"/>
    <n v="8665"/>
    <x v="0"/>
    <x v="0"/>
    <x v="3"/>
    <s v="Female"/>
    <x v="2"/>
  </r>
  <r>
    <s v="ORD20145"/>
    <s v="Null"/>
    <s v="Null"/>
    <n v="43"/>
    <s v="Male"/>
    <s v="Home and Kitchen"/>
    <s v="Milton Steel Bottles"/>
    <n v="7"/>
    <n v="1307"/>
    <x v="4"/>
    <s v="COD"/>
    <x v="1"/>
    <x v="1"/>
    <n v="8691.5499999999993"/>
    <x v="1"/>
    <x v="1"/>
    <x v="3"/>
    <s v="Male"/>
    <x v="2"/>
  </r>
  <r>
    <s v="ORD20344"/>
    <d v="2023-12-19T00:00:00"/>
    <s v="Null"/>
    <n v="54"/>
    <s v="Female"/>
    <s v="Home &amp; Kitchen"/>
    <s v="Milton Steel Bottles"/>
    <n v="7"/>
    <n v="1243"/>
    <x v="0"/>
    <s v="Cash"/>
    <x v="2"/>
    <x v="2"/>
    <n v="8701"/>
    <x v="0"/>
    <x v="0"/>
    <x v="3"/>
    <s v="Female"/>
    <x v="4"/>
  </r>
  <r>
    <s v="ORD20968"/>
    <d v="2023-08-27T00:00:00"/>
    <s v="Gaurav Bansal"/>
    <n v="51"/>
    <s v="Female"/>
    <s v="clothing"/>
    <s v="Cotton Saree"/>
    <n v="3"/>
    <n v="4850"/>
    <x v="1"/>
    <s v="UPI"/>
    <x v="0"/>
    <x v="0"/>
    <n v="8730"/>
    <x v="3"/>
    <x v="3"/>
    <x v="1"/>
    <s v="Female"/>
    <x v="5"/>
  </r>
  <r>
    <s v="ORD20246"/>
    <d v="2023-05-12T00:00:00"/>
    <s v="Nikhil Bose"/>
    <n v="62"/>
    <s v="Male"/>
    <s v="clothing"/>
    <s v="Levi's Jeans"/>
    <n v="2"/>
    <n v="4600"/>
    <x v="4"/>
    <s v="UPI"/>
    <x v="0"/>
    <x v="0"/>
    <n v="8740"/>
    <x v="2"/>
    <x v="2"/>
    <x v="1"/>
    <s v="Male"/>
    <x v="8"/>
  </r>
  <r>
    <s v="ORD20246"/>
    <d v="2023-05-12T00:00:00"/>
    <s v="Nikhil Bose"/>
    <n v="62"/>
    <s v="Male"/>
    <s v="clothing"/>
    <s v="Levi's Jeans"/>
    <n v="2"/>
    <n v="4600"/>
    <x v="4"/>
    <s v="UPI"/>
    <x v="0"/>
    <x v="0"/>
    <n v="8740"/>
    <x v="2"/>
    <x v="2"/>
    <x v="1"/>
    <s v="Male"/>
    <x v="8"/>
  </r>
  <r>
    <s v="ORD20911"/>
    <d v="2023-04-18T00:00:00"/>
    <s v="Nikhil Bose"/>
    <n v="49"/>
    <s v="Male"/>
    <s v="Home &amp; Kitchen"/>
    <s v="Milton Steel Bottles"/>
    <n v="9"/>
    <n v="972"/>
    <x v="11"/>
    <s v="Card"/>
    <x v="0"/>
    <x v="0"/>
    <n v="8748"/>
    <x v="2"/>
    <x v="2"/>
    <x v="3"/>
    <s v="Male"/>
    <x v="11"/>
  </r>
  <r>
    <s v="ORD20316"/>
    <s v="Null"/>
    <s v="Sunita Pandey"/>
    <n v="28"/>
    <s v="Female"/>
    <s v="clothing"/>
    <s v="Manyavar Sherwani"/>
    <n v="2"/>
    <n v="5850"/>
    <x v="6"/>
    <s v="UPI"/>
    <x v="1"/>
    <x v="1"/>
    <n v="8775"/>
    <x v="1"/>
    <x v="1"/>
    <x v="1"/>
    <s v="Female"/>
    <x v="2"/>
  </r>
  <r>
    <s v="ORD20755"/>
    <d v="2023-10-21T00:00:00"/>
    <s v="Ananya Singh"/>
    <n v="52"/>
    <s v="Female"/>
    <s v="clothing"/>
    <s v="Allen Solly Formal Shirt"/>
    <n v="1"/>
    <n v="2200"/>
    <x v="0"/>
    <s v="UPI"/>
    <x v="1"/>
    <x v="1"/>
    <n v="8800"/>
    <x v="2"/>
    <x v="2"/>
    <x v="1"/>
    <s v="Female"/>
    <x v="6"/>
  </r>
  <r>
    <s v="ORD20303"/>
    <s v="Null"/>
    <s v="kavya reddy"/>
    <n v="53"/>
    <s v="Mle"/>
    <s v="clothing"/>
    <s v="Puma Track Suit"/>
    <n v="3"/>
    <n v="4900"/>
    <x v="1"/>
    <s v="UPI"/>
    <x v="0"/>
    <x v="0"/>
    <n v="8820"/>
    <x v="0"/>
    <x v="0"/>
    <x v="1"/>
    <s v="Other"/>
    <x v="2"/>
  </r>
  <r>
    <s v="ORD20196"/>
    <s v="Null"/>
    <s v="Kavya Reddy"/>
    <n v="28"/>
    <s v="Female"/>
    <s v="Home &amp; Kitchen"/>
    <s v="Godrej Almirah"/>
    <n v="1"/>
    <n v="10485"/>
    <x v="5"/>
    <s v="UPI"/>
    <x v="1"/>
    <x v="1"/>
    <n v="8912.25"/>
    <x v="0"/>
    <x v="0"/>
    <x v="3"/>
    <s v="Female"/>
    <x v="2"/>
  </r>
  <r>
    <s v="ORD20722"/>
    <d v="2023-05-30T00:00:00"/>
    <s v="Null"/>
    <n v="63"/>
    <s v="Female"/>
    <s v="Electronics"/>
    <s v="Mi Band 7"/>
    <n v="2"/>
    <n v="4700"/>
    <x v="4"/>
    <s v="Card"/>
    <x v="0"/>
    <x v="0"/>
    <n v="8930"/>
    <x v="1"/>
    <x v="1"/>
    <x v="0"/>
    <s v="Female"/>
    <x v="8"/>
  </r>
  <r>
    <s v="ORD20655"/>
    <s v="Null"/>
    <s v="Manish Agarwal"/>
    <n v="40"/>
    <s v="Male"/>
    <s v="Home &amp; Kitchen"/>
    <s v="Borosil Glass Set"/>
    <n v="9"/>
    <n v="1993"/>
    <x v="8"/>
    <s v="UPI"/>
    <x v="0"/>
    <x v="0"/>
    <n v="8968.5"/>
    <x v="10"/>
    <x v="2"/>
    <x v="3"/>
    <s v="Male"/>
    <x v="2"/>
  </r>
  <r>
    <s v="ORD20889"/>
    <s v="Null"/>
    <s v="Neha Mishra"/>
    <n v="29"/>
    <s v="Male"/>
    <s v="Electronics"/>
    <s v="Mi Band 7"/>
    <n v="2"/>
    <n v="5000"/>
    <x v="2"/>
    <s v="Cash"/>
    <x v="0"/>
    <x v="0"/>
    <n v="9000"/>
    <x v="0"/>
    <x v="0"/>
    <x v="0"/>
    <s v="Male"/>
    <x v="2"/>
  </r>
  <r>
    <s v="ORD20080"/>
    <d v="2023-09-12T00:00:00"/>
    <s v="Pooja Nair"/>
    <n v="52"/>
    <s v="Female"/>
    <s v="clothing"/>
    <s v="Peter England Trousers"/>
    <n v="3"/>
    <n v="3000"/>
    <x v="2"/>
    <s v="Cash"/>
    <x v="2"/>
    <x v="2"/>
    <n v="9000"/>
    <x v="1"/>
    <x v="1"/>
    <x v="1"/>
    <s v="Female"/>
    <x v="0"/>
  </r>
  <r>
    <s v="ORD20770"/>
    <d v="2023-05-20T00:00:00"/>
    <s v="Deepika Rao"/>
    <n v="32"/>
    <s v="Female"/>
    <s v="Electronics"/>
    <s v="JBL Bluetooth Speaker"/>
    <n v="2"/>
    <n v="5000"/>
    <x v="2"/>
    <s v="Credit Card"/>
    <x v="0"/>
    <x v="0"/>
    <n v="9000"/>
    <x v="3"/>
    <x v="3"/>
    <x v="0"/>
    <s v="Female"/>
    <x v="8"/>
  </r>
  <r>
    <s v="ORD20972"/>
    <d v="2023-11-21T00:00:00"/>
    <s v="Rahul Gupta"/>
    <n v="36"/>
    <s v="Male"/>
    <s v="Home &amp; Kitchen"/>
    <s v="Milton Steel Bottles"/>
    <n v="7"/>
    <n v="1286"/>
    <x v="0"/>
    <s v="UPI"/>
    <x v="0"/>
    <x v="0"/>
    <n v="9002"/>
    <x v="9"/>
    <x v="3"/>
    <x v="3"/>
    <s v="Male"/>
    <x v="1"/>
  </r>
  <r>
    <s v="ORD20530"/>
    <s v="Null"/>
    <s v="Sanjay Dubey"/>
    <n v="36"/>
    <s v="Male"/>
    <s v="Home &amp; Kitchen"/>
    <s v="Asian Paints 4L"/>
    <n v="4"/>
    <n v="2511"/>
    <x v="2"/>
    <s v="Card"/>
    <x v="0"/>
    <x v="0"/>
    <n v="9039.6"/>
    <x v="1"/>
    <x v="1"/>
    <x v="3"/>
    <s v="Male"/>
    <x v="2"/>
  </r>
  <r>
    <s v="ORD20876"/>
    <d v="2023-05-03T00:00:00"/>
    <s v="Rajan Bhatt"/>
    <n v="22"/>
    <s v="Male"/>
    <s v="Beauty"/>
    <s v="Kama Ayurveda Hair Oil"/>
    <n v="8"/>
    <n v="1133"/>
    <x v="13"/>
    <s v="COD"/>
    <x v="1"/>
    <x v="1"/>
    <n v="9064"/>
    <x v="2"/>
    <x v="2"/>
    <x v="2"/>
    <s v="Male"/>
    <x v="8"/>
  </r>
  <r>
    <s v="ORD20800"/>
    <d v="2023-02-24T00:00:00"/>
    <s v="Nikhil Bose"/>
    <n v="32"/>
    <s v="F"/>
    <s v="Home &amp; Kitchen"/>
    <s v="Pigeon Induction Cooktop"/>
    <n v="4"/>
    <n v="3245"/>
    <x v="10"/>
    <s v="Card"/>
    <x v="0"/>
    <x v="0"/>
    <n v="9086"/>
    <x v="1"/>
    <x v="1"/>
    <x v="3"/>
    <s v="Female"/>
    <x v="12"/>
  </r>
  <r>
    <s v="ORD20743"/>
    <d v="2023-05-18T00:00:00"/>
    <s v="Manish Agarwal"/>
    <n v="41"/>
    <s v="Male"/>
    <s v="clothing"/>
    <s v="Puma Track Suit"/>
    <n v="2"/>
    <n v="4550"/>
    <x v="10"/>
    <s v="COD"/>
    <x v="0"/>
    <x v="0"/>
    <n v="9100"/>
    <x v="1"/>
    <x v="1"/>
    <x v="1"/>
    <s v="Male"/>
    <x v="8"/>
  </r>
  <r>
    <s v="ORD20939"/>
    <d v="2023-03-25T00:00:00"/>
    <s v="Pooja Nair"/>
    <n v="31"/>
    <s v="Female"/>
    <s v="Home &amp; Kitchen"/>
    <s v="Orient Ceiling Fan"/>
    <n v="3"/>
    <n v="3035"/>
    <x v="4"/>
    <s v="COD"/>
    <x v="0"/>
    <x v="0"/>
    <n v="9105"/>
    <x v="0"/>
    <x v="0"/>
    <x v="3"/>
    <s v="Female"/>
    <x v="7"/>
  </r>
  <r>
    <s v="ORD20629"/>
    <d v="2023-02-01T00:00:00"/>
    <s v="Arjun Pillai"/>
    <n v="29"/>
    <s v="Female"/>
    <s v="clothing"/>
    <s v="Nike Running Shoes"/>
    <n v="2"/>
    <n v="5100"/>
    <x v="2"/>
    <s v="Cash"/>
    <x v="0"/>
    <x v="0"/>
    <n v="9180"/>
    <x v="1"/>
    <x v="1"/>
    <x v="1"/>
    <s v="Female"/>
    <x v="12"/>
  </r>
  <r>
    <s v="ORD20757"/>
    <s v="Null"/>
    <s v="Neha Mishra"/>
    <n v="19"/>
    <s v="Female"/>
    <s v="clothing"/>
    <s v="Puma Track Suit"/>
    <n v="2"/>
    <n v="4600"/>
    <x v="0"/>
    <s v="Card"/>
    <x v="0"/>
    <x v="0"/>
    <n v="9200"/>
    <x v="1"/>
    <x v="1"/>
    <x v="1"/>
    <s v="Female"/>
    <x v="2"/>
  </r>
  <r>
    <s v="ORD20220"/>
    <d v="2023-02-18T00:00:00"/>
    <s v="Priyanka Choudhary"/>
    <n v="38"/>
    <s v="Male"/>
    <s v="Hme &amp; Kitchen"/>
    <s v="Philips Air Fryer"/>
    <n v="1"/>
    <n v="9713"/>
    <x v="4"/>
    <s v="COD"/>
    <x v="2"/>
    <x v="2"/>
    <n v="9227.35"/>
    <x v="3"/>
    <x v="3"/>
    <x v="3"/>
    <s v="Male"/>
    <x v="12"/>
  </r>
  <r>
    <s v="ORD20414"/>
    <s v="Null"/>
    <s v="Pooja Nair"/>
    <n v="19"/>
    <s v="Female"/>
    <s v="Home &amp; Kitchen"/>
    <s v="Nilkamal Plastic Chair"/>
    <n v="5"/>
    <n v="1953"/>
    <x v="4"/>
    <s v="Cash"/>
    <x v="0"/>
    <x v="0"/>
    <n v="9276.75"/>
    <x v="1"/>
    <x v="1"/>
    <x v="3"/>
    <s v="Female"/>
    <x v="2"/>
  </r>
  <r>
    <s v="ORD20302"/>
    <s v="Null"/>
    <s v="Null"/>
    <n v="50"/>
    <s v="Male"/>
    <s v="clothing"/>
    <s v="Raymond Suit"/>
    <n v="2"/>
    <n v="5800"/>
    <x v="7"/>
    <s v="Cash"/>
    <x v="1"/>
    <x v="1"/>
    <n v="9280"/>
    <x v="0"/>
    <x v="0"/>
    <x v="1"/>
    <s v="Male"/>
    <x v="2"/>
  </r>
  <r>
    <s v="ORD20865"/>
    <s v="Null"/>
    <s v="Null"/>
    <n v="36"/>
    <s v="Female"/>
    <s v="Home &amp; Kitchen"/>
    <s v="Milton Steel Bottles"/>
    <n v="7"/>
    <n v="1327"/>
    <x v="0"/>
    <s v="UPI"/>
    <x v="0"/>
    <x v="0"/>
    <n v="9289"/>
    <x v="0"/>
    <x v="0"/>
    <x v="3"/>
    <s v="Female"/>
    <x v="2"/>
  </r>
  <r>
    <s v="ORD20832"/>
    <d v="2023-03-19T00:00:00"/>
    <s v="Smita Desai"/>
    <n v="52"/>
    <s v="Female"/>
    <s v="Electronics"/>
    <s v="HP Printer"/>
    <n v="1"/>
    <n v="11700"/>
    <x v="7"/>
    <s v="Card"/>
    <x v="0"/>
    <x v="0"/>
    <n v="9360"/>
    <x v="3"/>
    <x v="3"/>
    <x v="0"/>
    <s v="Female"/>
    <x v="7"/>
  </r>
  <r>
    <s v="ORD20288"/>
    <d v="2023-05-11T00:00:00"/>
    <s v="Pooja Nair"/>
    <n v="55"/>
    <s v="Female"/>
    <s v="Home &amp; Kitchen"/>
    <s v="Usha Iron"/>
    <n v="5"/>
    <n v="1874"/>
    <x v="0"/>
    <s v="Card"/>
    <x v="0"/>
    <x v="0"/>
    <n v="9370"/>
    <x v="1"/>
    <x v="1"/>
    <x v="3"/>
    <s v="Female"/>
    <x v="8"/>
  </r>
  <r>
    <s v="ORD20693"/>
    <d v="2023-08-06T00:00:00"/>
    <s v="Neha Mishra"/>
    <n v="29"/>
    <s v="Male"/>
    <s v="clothing"/>
    <s v="Westside Dress"/>
    <n v="3"/>
    <n v="3150"/>
    <x v="0"/>
    <s v="UPI"/>
    <x v="0"/>
    <x v="0"/>
    <n v="9450"/>
    <x v="0"/>
    <x v="0"/>
    <x v="1"/>
    <s v="Male"/>
    <x v="5"/>
  </r>
  <r>
    <s v="ORD20375"/>
    <d v="2023-06-27T00:00:00"/>
    <s v="Ashok Yadav"/>
    <n v="28"/>
    <s v="Female"/>
    <s v="clothing"/>
    <s v="Peter England Trousers"/>
    <n v="3"/>
    <n v="3500"/>
    <x v="2"/>
    <s v="Card"/>
    <x v="0"/>
    <x v="0"/>
    <n v="9450"/>
    <x v="1"/>
    <x v="1"/>
    <x v="1"/>
    <s v="Female"/>
    <x v="3"/>
  </r>
  <r>
    <s v="ORD20856"/>
    <d v="2023-01-14T00:00:00"/>
    <s v="Pranav Kulkarni"/>
    <n v="30"/>
    <s v="Female"/>
    <s v="clothing"/>
    <s v="Levi's Jeans"/>
    <n v="3"/>
    <n v="4200"/>
    <x v="6"/>
    <s v="UPI"/>
    <x v="0"/>
    <x v="0"/>
    <n v="9450"/>
    <x v="1"/>
    <x v="1"/>
    <x v="1"/>
    <s v="Female"/>
    <x v="9"/>
  </r>
  <r>
    <s v="ORD20897"/>
    <d v="2023-05-30T00:00:00"/>
    <s v="Null"/>
    <m/>
    <s v="Female"/>
    <s v="Home &amp; Kitchen"/>
    <s v="Borosil Glass Set"/>
    <n v="6"/>
    <n v="1665"/>
    <x v="4"/>
    <s v="Cash"/>
    <x v="1"/>
    <x v="1"/>
    <n v="9490.5"/>
    <x v="1"/>
    <x v="1"/>
    <x v="3"/>
    <s v="Female"/>
    <x v="8"/>
  </r>
  <r>
    <s v="ORD20347"/>
    <d v="2023-08-05T00:00:00"/>
    <s v="Null"/>
    <n v="56"/>
    <s v="Male"/>
    <s v="clothing"/>
    <s v="Puma Track Suit"/>
    <n v="2"/>
    <n v="5000"/>
    <x v="4"/>
    <s v="Card"/>
    <x v="0"/>
    <x v="0"/>
    <n v="9500"/>
    <x v="0"/>
    <x v="0"/>
    <x v="1"/>
    <s v="Male"/>
    <x v="5"/>
  </r>
  <r>
    <s v="ORD20439"/>
    <d v="2023-11-10T00:00:00"/>
    <s v="Null"/>
    <n v="32"/>
    <s v="Female"/>
    <s v="Home &amp; Kitchen"/>
    <s v="Bajaj Mixer Grinder"/>
    <n v="1"/>
    <n v="4761"/>
    <x v="13"/>
    <s v="COD"/>
    <x v="2"/>
    <x v="2"/>
    <n v="9522"/>
    <x v="3"/>
    <x v="3"/>
    <x v="3"/>
    <s v="Female"/>
    <x v="1"/>
  </r>
  <r>
    <s v="ORD20888"/>
    <d v="2023-11-04T00:00:00"/>
    <s v="ROHIT VERMA"/>
    <n v="33"/>
    <s v="Male"/>
    <s v="Home &amp; Kitchen"/>
    <s v="Nilkamal Plastic Chair"/>
    <n v="10"/>
    <n v="1122"/>
    <x v="5"/>
    <s v="UPI"/>
    <x v="0"/>
    <x v="0"/>
    <n v="9537"/>
    <x v="0"/>
    <x v="0"/>
    <x v="3"/>
    <s v="Male"/>
    <x v="1"/>
  </r>
  <r>
    <s v="ORD20511"/>
    <d v="2023-01-23T00:00:00"/>
    <s v="Nikhil Bose"/>
    <n v="19"/>
    <s v="Male"/>
    <s v="Home &amp; Kitchen"/>
    <s v="Usha Iron"/>
    <n v="4"/>
    <n v="2393"/>
    <x v="0"/>
    <s v="Card"/>
    <x v="0"/>
    <x v="0"/>
    <n v="9572"/>
    <x v="1"/>
    <x v="1"/>
    <x v="3"/>
    <s v="Male"/>
    <x v="9"/>
  </r>
  <r>
    <s v="ORD20381"/>
    <s v="Null"/>
    <s v="Null"/>
    <n v="48"/>
    <s v="Male"/>
    <s v="Home &amp; Kitchen"/>
    <s v="Bajaj Mixer Grinder"/>
    <n v="2"/>
    <n v="4830"/>
    <x v="0"/>
    <s v="COD"/>
    <x v="4"/>
    <x v="1"/>
    <n v="9660"/>
    <x v="2"/>
    <x v="2"/>
    <x v="3"/>
    <s v="Male"/>
    <x v="2"/>
  </r>
  <r>
    <s v="ORD20746"/>
    <d v="2023-12-01T00:00:00"/>
    <s v="Tanvi Kulkarni"/>
    <n v="44"/>
    <s v="Male"/>
    <s v="Electronics"/>
    <s v="HP Printer"/>
    <n v="1"/>
    <n v="11400"/>
    <x v="5"/>
    <s v="Card"/>
    <x v="0"/>
    <x v="0"/>
    <n v="9690"/>
    <x v="2"/>
    <x v="2"/>
    <x v="0"/>
    <s v="Male"/>
    <x v="4"/>
  </r>
  <r>
    <s v="ORD20783"/>
    <d v="2023-09-17T00:00:00"/>
    <s v="Rahul Gupta"/>
    <n v="25"/>
    <s v="Male"/>
    <s v="Home &amp; Kitchen"/>
    <s v="Cello Water Bottle"/>
    <n v="9"/>
    <n v="317"/>
    <x v="5"/>
    <s v="Card"/>
    <x v="0"/>
    <x v="0"/>
    <n v="9700.2000000000007"/>
    <x v="3"/>
    <x v="3"/>
    <x v="3"/>
    <s v="Male"/>
    <x v="0"/>
  </r>
  <r>
    <s v="ORD20965"/>
    <d v="2023-10-15T00:00:00"/>
    <s v="Null"/>
    <n v="29"/>
    <s v="Female"/>
    <s v="Home &amp; Kitchen"/>
    <s v="Borosil Glass Set"/>
    <n v="6"/>
    <n v="1620"/>
    <x v="13"/>
    <s v="UPI"/>
    <x v="5"/>
    <x v="0"/>
    <n v="9720"/>
    <x v="3"/>
    <x v="3"/>
    <x v="3"/>
    <s v="Female"/>
    <x v="6"/>
  </r>
  <r>
    <s v="ORD20558"/>
    <d v="2023-06-06T00:00:00"/>
    <s v="Pranav Kulkarni"/>
    <n v="63"/>
    <s v="Male"/>
    <s v="clothing"/>
    <s v="Allen Solly Formal Shirt"/>
    <n v="3"/>
    <n v="3250"/>
    <x v="0"/>
    <s v="Card"/>
    <x v="0"/>
    <x v="0"/>
    <n v="9750"/>
    <x v="0"/>
    <x v="0"/>
    <x v="1"/>
    <s v="Male"/>
    <x v="3"/>
  </r>
  <r>
    <s v="ORD20260"/>
    <s v="Null"/>
    <s v="Ashok Yadav"/>
    <n v="43"/>
    <s v="Male"/>
    <s v="Home &amp; Kitchen"/>
    <s v="Tupperware Set"/>
    <n v="7"/>
    <n v="2792"/>
    <x v="8"/>
    <s v="COD"/>
    <x v="0"/>
    <x v="0"/>
    <n v="9772"/>
    <x v="2"/>
    <x v="2"/>
    <x v="3"/>
    <s v="Male"/>
    <x v="2"/>
  </r>
  <r>
    <s v="ORD20918"/>
    <d v="2023-01-29T00:00:00"/>
    <s v="Manoj Chauhan"/>
    <n v="32"/>
    <s v="Other"/>
    <s v="clothing"/>
    <s v="Nike Running Shoes"/>
    <n v="2"/>
    <n v="5150"/>
    <x v="4"/>
    <s v="Card"/>
    <x v="2"/>
    <x v="2"/>
    <n v="9785"/>
    <x v="0"/>
    <x v="0"/>
    <x v="1"/>
    <s v="Other"/>
    <x v="9"/>
  </r>
  <r>
    <s v="ORD20253"/>
    <d v="2023-12-14T00:00:00"/>
    <s v="Arjun Pillai"/>
    <n v="31"/>
    <s v="Male"/>
    <s v="Beauty"/>
    <s v="VLCC Gold Facial Kit"/>
    <n v="10"/>
    <n v="1306"/>
    <x v="6"/>
    <s v="Card"/>
    <x v="2"/>
    <x v="2"/>
    <n v="9795"/>
    <x v="0"/>
    <x v="0"/>
    <x v="2"/>
    <s v="Male"/>
    <x v="4"/>
  </r>
  <r>
    <s v="ORD20960"/>
    <d v="2023-09-10T00:00:00"/>
    <s v="Pranav Kulkarni"/>
    <n v="42"/>
    <s v="Female"/>
    <s v="clothing"/>
    <s v="Westside Dress"/>
    <n v="3"/>
    <n v="3450"/>
    <x v="4"/>
    <s v="UPI"/>
    <x v="0"/>
    <x v="0"/>
    <n v="9832.5"/>
    <x v="2"/>
    <x v="2"/>
    <x v="1"/>
    <s v="Female"/>
    <x v="0"/>
  </r>
  <r>
    <s v="ORD20453"/>
    <d v="2023-05-10T00:00:00"/>
    <s v="Neha Mishra"/>
    <n v="37"/>
    <s v="Female"/>
    <s v="Home &amp; Kitchen"/>
    <s v="Pigeon Induction Cooktop"/>
    <n v="5"/>
    <n v="2199"/>
    <x v="2"/>
    <s v="UPI"/>
    <x v="0"/>
    <x v="0"/>
    <n v="9895.5"/>
    <x v="0"/>
    <x v="0"/>
    <x v="3"/>
    <s v="Female"/>
    <x v="8"/>
  </r>
  <r>
    <s v="ORD20559"/>
    <d v="2023-06-02T00:00:00"/>
    <s v="Pranav Kulkarni"/>
    <n v="39"/>
    <s v="Female"/>
    <s v="clothing"/>
    <s v="Levi's Jeans"/>
    <n v="2"/>
    <n v="4950"/>
    <x v="0"/>
    <s v="Cash"/>
    <x v="0"/>
    <x v="0"/>
    <n v="9900"/>
    <x v="1"/>
    <x v="1"/>
    <x v="1"/>
    <s v="Female"/>
    <x v="3"/>
  </r>
  <r>
    <s v="ORD20016"/>
    <d v="2023-05-24T00:00:00"/>
    <s v="Neha Mishra"/>
    <n v="34"/>
    <s v="Male"/>
    <s v="clothing"/>
    <s v="Allen Solly Formal Shirt"/>
    <n v="99"/>
    <n v="2000"/>
    <x v="8"/>
    <s v="Cash"/>
    <x v="0"/>
    <x v="0"/>
    <n v="9900"/>
    <x v="1"/>
    <x v="1"/>
    <x v="1"/>
    <s v="Male"/>
    <x v="8"/>
  </r>
  <r>
    <s v="ORD20045"/>
    <d v="2023-02-03T00:00:00"/>
    <s v="Kavya Reddy"/>
    <n v="43"/>
    <s v="Male"/>
    <s v="Electronics"/>
    <s v="Whirlpool Refrigerator"/>
    <n v="2"/>
    <n v="49800"/>
    <x v="0"/>
    <s v="UPI"/>
    <x v="0"/>
    <x v="0"/>
    <n v="9960"/>
    <x v="2"/>
    <x v="2"/>
    <x v="0"/>
    <s v="Male"/>
    <x v="12"/>
  </r>
  <r>
    <s v="ORD20494"/>
    <s v="Null"/>
    <s v="Pooja Nair"/>
    <n v="38"/>
    <s v="Male"/>
    <s v="Electronics"/>
    <s v="Samsung Smart TV 43&quot;"/>
    <n v="2"/>
    <n v="50300"/>
    <x v="0"/>
    <s v="COD"/>
    <x v="2"/>
    <x v="2"/>
    <n v="10060"/>
    <x v="1"/>
    <x v="1"/>
    <x v="0"/>
    <s v="Male"/>
    <x v="2"/>
  </r>
  <r>
    <s v="ORD20351"/>
    <d v="2023-12-17T00:00:00"/>
    <s v="Pallavi Deshmukh"/>
    <n v="38"/>
    <s v="Female"/>
    <s v="Home &amp; Kitchen"/>
    <s v="Usha Iron"/>
    <n v="6"/>
    <n v="2795"/>
    <x v="1"/>
    <s v="UPI"/>
    <x v="0"/>
    <x v="0"/>
    <n v="10062"/>
    <x v="2"/>
    <x v="2"/>
    <x v="3"/>
    <s v="Female"/>
    <x v="4"/>
  </r>
  <r>
    <s v="ORD20128"/>
    <s v="Null"/>
    <s v="Ritu Bhatia"/>
    <n v="45"/>
    <s v="Male"/>
    <s v="Beauty"/>
    <s v="WOW Vitamin C Serum"/>
    <n v="9"/>
    <n v="1244"/>
    <x v="2"/>
    <s v="UPI"/>
    <x v="0"/>
    <x v="0"/>
    <n v="10076.4"/>
    <x v="3"/>
    <x v="3"/>
    <x v="2"/>
    <s v="Male"/>
    <x v="2"/>
  </r>
  <r>
    <s v="ORD20667"/>
    <s v="Null"/>
    <s v="Vikram Mehta"/>
    <m/>
    <s v="Femle"/>
    <s v="Electronics"/>
    <s v="Dell Laptop i5"/>
    <n v="2"/>
    <n v="56100"/>
    <x v="2"/>
    <s v="UPI"/>
    <x v="0"/>
    <x v="0"/>
    <n v="10098"/>
    <x v="2"/>
    <x v="2"/>
    <x v="0"/>
    <s v="Other"/>
    <x v="2"/>
  </r>
  <r>
    <s v="ORD20585"/>
    <d v="2023-04-02T00:00:00"/>
    <s v="Harish Menon"/>
    <n v="25"/>
    <s v="Male"/>
    <s v="Electronics"/>
    <s v="Sony Headphones"/>
    <n v="1"/>
    <n v="10100"/>
    <x v="2"/>
    <s v="UPI"/>
    <x v="0"/>
    <x v="0"/>
    <n v="10100"/>
    <x v="1"/>
    <x v="1"/>
    <x v="0"/>
    <s v="Male"/>
    <x v="11"/>
  </r>
  <r>
    <s v="ORD20555"/>
    <d v="2023-11-15T00:00:00"/>
    <s v="Nikhil Bose"/>
    <n v="28"/>
    <s v="Male"/>
    <s v="Home &amp; Kitchen"/>
    <s v="Milton Steel Bottles"/>
    <n v="9"/>
    <n v="1324"/>
    <x v="5"/>
    <s v="Cash"/>
    <x v="0"/>
    <x v="0"/>
    <n v="10128.6"/>
    <x v="0"/>
    <x v="0"/>
    <x v="3"/>
    <s v="Male"/>
    <x v="1"/>
  </r>
  <r>
    <s v="ORD20529"/>
    <d v="2023-08-06T00:00:00"/>
    <s v="Null"/>
    <n v="18"/>
    <s v="Male"/>
    <s v="Clothiing"/>
    <s v="Peter England Trousers"/>
    <n v="3"/>
    <n v="4250"/>
    <x v="7"/>
    <s v="Card"/>
    <x v="0"/>
    <x v="0"/>
    <n v="10200"/>
    <x v="1"/>
    <x v="1"/>
    <x v="1"/>
    <s v="Male"/>
    <x v="5"/>
  </r>
  <r>
    <s v="ORD20625"/>
    <d v="2023-03-06T00:00:00"/>
    <s v="Meera Nambiar"/>
    <n v="47"/>
    <s v="Male"/>
    <s v="Home &amp; Kitchen"/>
    <s v="Nilkamal Plastic Chair"/>
    <n v="8"/>
    <n v="1705"/>
    <x v="6"/>
    <s v="Card"/>
    <x v="2"/>
    <x v="2"/>
    <n v="10230"/>
    <x v="0"/>
    <x v="0"/>
    <x v="3"/>
    <s v="Male"/>
    <x v="7"/>
  </r>
  <r>
    <s v="ORD20846"/>
    <d v="2023-12-15T00:00:00"/>
    <s v="Rohit Verma"/>
    <n v="65"/>
    <s v="Male"/>
    <s v="clothing"/>
    <s v="Nike Running Shoes"/>
    <n v="3"/>
    <n v="5700"/>
    <x v="1"/>
    <s v="Card"/>
    <x v="0"/>
    <x v="0"/>
    <n v="10260"/>
    <x v="0"/>
    <x v="0"/>
    <x v="1"/>
    <s v="Male"/>
    <x v="4"/>
  </r>
  <r>
    <s v="ORD20270"/>
    <s v="Null"/>
    <s v="Vikram Mehta"/>
    <n v="24"/>
    <s v="Male"/>
    <s v="Beauty"/>
    <s v="Forest Essentials Cream"/>
    <n v="5"/>
    <n v="2165"/>
    <x v="4"/>
    <s v="Card"/>
    <x v="2"/>
    <x v="2"/>
    <n v="10283.75"/>
    <x v="0"/>
    <x v="0"/>
    <x v="2"/>
    <s v="Male"/>
    <x v="2"/>
  </r>
  <r>
    <s v="ORD20428"/>
    <d v="2023-12-20T00:00:00"/>
    <s v="Deepika Rao"/>
    <n v="46"/>
    <s v="Male"/>
    <s v="Home &amp; Kitchen"/>
    <s v="Nilkamal Plastic Chair"/>
    <n v="7"/>
    <n v="1737"/>
    <x v="5"/>
    <s v="Crdit Card"/>
    <x v="1"/>
    <x v="1"/>
    <n v="10335.15"/>
    <x v="1"/>
    <x v="1"/>
    <x v="3"/>
    <s v="Male"/>
    <x v="4"/>
  </r>
  <r>
    <s v="ORD20417"/>
    <d v="2023-09-12T00:00:00"/>
    <s v="Suresh Joshi"/>
    <n v="23"/>
    <s v="Male"/>
    <s v="clothing"/>
    <s v="Nike Running Shoes"/>
    <n v="3"/>
    <n v="5750"/>
    <x v="1"/>
    <s v="UPI"/>
    <x v="0"/>
    <x v="0"/>
    <n v="10350"/>
    <x v="1"/>
    <x v="1"/>
    <x v="1"/>
    <s v="Male"/>
    <x v="0"/>
  </r>
  <r>
    <s v="ORD20593"/>
    <d v="2023-03-15T00:00:00"/>
    <s v="Nikhil Bose"/>
    <n v="53"/>
    <s v="Male"/>
    <s v="clothing"/>
    <s v="Manyavar Sherwani"/>
    <n v="2"/>
    <n v="6150"/>
    <x v="5"/>
    <s v="C.O.D"/>
    <x v="0"/>
    <x v="0"/>
    <n v="10455"/>
    <x v="1"/>
    <x v="1"/>
    <x v="1"/>
    <s v="Male"/>
    <x v="7"/>
  </r>
  <r>
    <s v="ORD20175"/>
    <d v="2023-12-16T00:00:00"/>
    <s v="Suresh Joshi"/>
    <n v="36"/>
    <s v="Female"/>
    <s v="Home &amp; Kitchen"/>
    <s v="Bajaj Mixer Grinder"/>
    <n v="6"/>
    <n v="2329"/>
    <x v="6"/>
    <s v="UPI"/>
    <x v="0"/>
    <x v="0"/>
    <n v="10480.5"/>
    <x v="2"/>
    <x v="2"/>
    <x v="3"/>
    <s v="Female"/>
    <x v="4"/>
  </r>
  <r>
    <s v="ORD20883"/>
    <d v="2023-10-02T00:00:00"/>
    <s v="Null"/>
    <n v="40"/>
    <s v="Female"/>
    <s v="clothing"/>
    <s v="Manyavar Sherwani"/>
    <n v="2"/>
    <n v="5600"/>
    <x v="4"/>
    <s v="Cash"/>
    <x v="0"/>
    <x v="0"/>
    <n v="10640"/>
    <x v="2"/>
    <x v="2"/>
    <x v="1"/>
    <s v="Female"/>
    <x v="6"/>
  </r>
  <r>
    <s v="ORD20742"/>
    <d v="2023-01-03T00:00:00"/>
    <s v="Vikram Mehta"/>
    <n v="27"/>
    <s v="Male"/>
    <s v="Elctronics"/>
    <s v="Lenovo Tab M10"/>
    <n v="1"/>
    <n v="15200"/>
    <x v="10"/>
    <s v="Card"/>
    <x v="0"/>
    <x v="0"/>
    <n v="10640"/>
    <x v="2"/>
    <x v="2"/>
    <x v="0"/>
    <s v="Male"/>
    <x v="9"/>
  </r>
  <r>
    <s v="ORD20859"/>
    <d v="2023-10-19T00:00:00"/>
    <s v="Tanvi Kulkarni"/>
    <n v="46"/>
    <s v="Female"/>
    <s v="Home &amp; Kitchen"/>
    <s v="Tupperware Set"/>
    <n v="5"/>
    <n v="2135"/>
    <x v="0"/>
    <s v="Cash"/>
    <x v="2"/>
    <x v="2"/>
    <n v="10675"/>
    <x v="2"/>
    <x v="2"/>
    <x v="3"/>
    <s v="Female"/>
    <x v="6"/>
  </r>
  <r>
    <s v="ORD20840"/>
    <s v="Null"/>
    <s v="Lakshmi Krishnan"/>
    <n v="19"/>
    <s v="Femal"/>
    <s v="Home &amp; Kitchen"/>
    <s v="Pigeon Induction Cooktop"/>
    <n v="5"/>
    <n v="2191"/>
    <x v="0"/>
    <s v="Cash"/>
    <x v="0"/>
    <x v="0"/>
    <n v="10955"/>
    <x v="2"/>
    <x v="2"/>
    <x v="3"/>
    <s v="Other"/>
    <x v="2"/>
  </r>
  <r>
    <s v="ORD20346"/>
    <d v="2023-02-12T00:00:00"/>
    <s v="Priya Patel"/>
    <n v="20"/>
    <s v="Male"/>
    <s v="Home &amp; Kitchen"/>
    <s v="Bajaj Mixer Grinder"/>
    <n v="5"/>
    <n v="2318"/>
    <x v="4"/>
    <s v="Card"/>
    <x v="1"/>
    <x v="1"/>
    <n v="11010.5"/>
    <x v="0"/>
    <x v="0"/>
    <x v="3"/>
    <s v="Male"/>
    <x v="12"/>
  </r>
  <r>
    <s v="ORD20509"/>
    <s v="Null"/>
    <s v="Null"/>
    <n v="23"/>
    <s v="Female"/>
    <s v="Electroni cs"/>
    <s v="Lenovo Tab M10"/>
    <n v="1"/>
    <n v="18400"/>
    <x v="1"/>
    <s v="Card"/>
    <x v="0"/>
    <x v="0"/>
    <n v="11040"/>
    <x v="0"/>
    <x v="0"/>
    <x v="0"/>
    <s v="Female"/>
    <x v="2"/>
  </r>
  <r>
    <s v="ORD20026"/>
    <d v="2023-02-10T00:00:00"/>
    <s v="rohit verma"/>
    <n v="53"/>
    <s v="Female"/>
    <s v="Beauty"/>
    <s v="VLCC Gold Facial Kit"/>
    <n v="9"/>
    <n v="1242"/>
    <x v="0"/>
    <s v="UPI"/>
    <x v="2"/>
    <x v="2"/>
    <n v="11178"/>
    <x v="3"/>
    <x v="3"/>
    <x v="2"/>
    <s v="Female"/>
    <x v="12"/>
  </r>
  <r>
    <s v="ORD20422"/>
    <s v="Null"/>
    <s v="Geeta Thakur"/>
    <n v="45"/>
    <s v="Male"/>
    <s v="Clthing"/>
    <s v="Levi's Jeans"/>
    <n v="3"/>
    <n v="3750"/>
    <x v="13"/>
    <s v="UPI"/>
    <x v="2"/>
    <x v="2"/>
    <n v="11250"/>
    <x v="1"/>
    <x v="1"/>
    <x v="1"/>
    <s v="Male"/>
    <x v="2"/>
  </r>
  <r>
    <s v="ORD20115"/>
    <s v="Null"/>
    <s v="Null"/>
    <n v="32"/>
    <s v="Female"/>
    <s v="clothing"/>
    <s v="Adidas Sneakers"/>
    <n v="2"/>
    <n v="5650"/>
    <x v="0"/>
    <s v="Card"/>
    <x v="0"/>
    <x v="0"/>
    <n v="11300"/>
    <x v="0"/>
    <x v="0"/>
    <x v="1"/>
    <s v="Female"/>
    <x v="2"/>
  </r>
  <r>
    <s v="ORD20598"/>
    <d v="2023-12-09T00:00:00"/>
    <s v="Pranav Kulkarni"/>
    <n v="62"/>
    <s v="Other"/>
    <s v="Electronics"/>
    <s v="Sony Headphones"/>
    <n v="1"/>
    <n v="13300"/>
    <x v="5"/>
    <s v="Card"/>
    <x v="0"/>
    <x v="0"/>
    <n v="11305"/>
    <x v="10"/>
    <x v="2"/>
    <x v="0"/>
    <s v="Other"/>
    <x v="4"/>
  </r>
  <r>
    <s v="ORD20404"/>
    <s v="Null"/>
    <s v="Null"/>
    <n v="28"/>
    <s v="Female"/>
    <s v="Home &amp; Kitchen"/>
    <s v="Prestige Pressure Cooker"/>
    <n v="4"/>
    <n v="2978"/>
    <x v="4"/>
    <s v="COD"/>
    <x v="0"/>
    <x v="0"/>
    <n v="11316.4"/>
    <x v="2"/>
    <x v="2"/>
    <x v="3"/>
    <s v="Female"/>
    <x v="2"/>
  </r>
  <r>
    <s v="ORD20105"/>
    <d v="2023-05-16T00:00:00"/>
    <s v="Smita Desai"/>
    <n v="20"/>
    <s v="Male"/>
    <s v="clothing"/>
    <s v="Adidas Sneakers"/>
    <n v="3"/>
    <n v="7550"/>
    <x v="8"/>
    <s v="UPI"/>
    <x v="0"/>
    <x v="0"/>
    <n v="11325"/>
    <x v="3"/>
    <x v="3"/>
    <x v="1"/>
    <s v="Male"/>
    <x v="8"/>
  </r>
  <r>
    <s v="ORD20921"/>
    <d v="2023-04-10T00:00:00"/>
    <s v="Null"/>
    <n v="48"/>
    <s v="Other"/>
    <s v="clothing"/>
    <s v="Adidas Sneakers"/>
    <n v="2"/>
    <n v="5700"/>
    <x v="6"/>
    <s v="COD"/>
    <x v="2"/>
    <x v="2"/>
    <n v="11400"/>
    <x v="1"/>
    <x v="1"/>
    <x v="1"/>
    <s v="Other"/>
    <x v="11"/>
  </r>
  <r>
    <s v="ORD20044"/>
    <d v="2023-06-03T00:00:00"/>
    <s v="Rekha Sinha"/>
    <n v="48"/>
    <s v="Female"/>
    <s v="clothing"/>
    <s v="Raymond Suit"/>
    <n v="2"/>
    <n v="5700"/>
    <x v="0"/>
    <s v="Csh"/>
    <x v="0"/>
    <x v="0"/>
    <n v="11400"/>
    <x v="2"/>
    <x v="2"/>
    <x v="1"/>
    <s v="Female"/>
    <x v="3"/>
  </r>
  <r>
    <s v="ORD20739"/>
    <s v="Null"/>
    <s v="Manoj Chauhan"/>
    <m/>
    <s v="Female"/>
    <s v="clothing"/>
    <s v="Manyavar Sherwani"/>
    <n v="2"/>
    <n v="5700"/>
    <x v="0"/>
    <s v="Cash"/>
    <x v="0"/>
    <x v="0"/>
    <n v="11400"/>
    <x v="0"/>
    <x v="0"/>
    <x v="1"/>
    <s v="Female"/>
    <x v="2"/>
  </r>
  <r>
    <s v="ORD20614"/>
    <d v="2023-09-10T00:00:00"/>
    <s v="Rahul Gupta"/>
    <n v="200"/>
    <s v="Male"/>
    <s v="Electronics"/>
    <s v="HP Printer"/>
    <n v="2"/>
    <n v="11500"/>
    <x v="8"/>
    <s v="Cash"/>
    <x v="2"/>
    <x v="2"/>
    <n v="11500"/>
    <x v="2"/>
    <x v="2"/>
    <x v="0"/>
    <s v="Male"/>
    <x v="0"/>
  </r>
  <r>
    <s v="ORD20614"/>
    <d v="2023-09-10T00:00:00"/>
    <s v="Rahul Gupta"/>
    <n v="200"/>
    <s v="Male"/>
    <s v="Electronics"/>
    <s v="HP Printer"/>
    <n v="2"/>
    <n v="11500"/>
    <x v="8"/>
    <s v="Cash"/>
    <x v="2"/>
    <x v="2"/>
    <n v="11500"/>
    <x v="2"/>
    <x v="2"/>
    <x v="0"/>
    <s v="Male"/>
    <x v="0"/>
  </r>
  <r>
    <s v="ORD20067"/>
    <d v="2023-12-11T00:00:00"/>
    <s v="Neha Mishra"/>
    <n v="56"/>
    <s v="Female"/>
    <s v="clothing"/>
    <s v="Raymond Suit"/>
    <n v="3"/>
    <n v="7700"/>
    <x v="8"/>
    <s v="Cash"/>
    <x v="0"/>
    <x v="0"/>
    <n v="11550"/>
    <x v="11"/>
    <x v="2"/>
    <x v="1"/>
    <s v="Female"/>
    <x v="4"/>
  </r>
  <r>
    <s v="ORD20379"/>
    <d v="2023-10-08T00:00:00"/>
    <s v="Nikhil Bose"/>
    <n v="44"/>
    <s v="Female"/>
    <s v="electrnics"/>
    <s v="Realme Smartphone"/>
    <n v="1"/>
    <n v="16500"/>
    <x v="10"/>
    <s v="COD"/>
    <x v="2"/>
    <x v="2"/>
    <n v="11550"/>
    <x v="1"/>
    <x v="1"/>
    <x v="0"/>
    <s v="Female"/>
    <x v="6"/>
  </r>
  <r>
    <s v="ORD20928"/>
    <d v="2023-08-01T00:00:00"/>
    <s v="Gaurav Bansal"/>
    <n v="31"/>
    <s v="Male"/>
    <s v="Home &amp; Kitchen"/>
    <s v="Tupperware Set"/>
    <n v="10"/>
    <n v="1926"/>
    <x v="1"/>
    <s v="Card"/>
    <x v="0"/>
    <x v="0"/>
    <n v="11556"/>
    <x v="0"/>
    <x v="0"/>
    <x v="3"/>
    <s v="Male"/>
    <x v="5"/>
  </r>
  <r>
    <s v="ORD20691"/>
    <d v="2023-03-10T00:00:00"/>
    <s v="Nikhil Bose"/>
    <n v="56"/>
    <s v="Female"/>
    <s v="Home &amp; Kitchen"/>
    <s v="Orient Ceiling Fan"/>
    <n v="4"/>
    <n v="3622"/>
    <x v="7"/>
    <s v="Card"/>
    <x v="0"/>
    <x v="0"/>
    <n v="11590.4"/>
    <x v="1"/>
    <x v="1"/>
    <x v="3"/>
    <s v="Female"/>
    <x v="7"/>
  </r>
  <r>
    <s v="ORD20125"/>
    <d v="2023-04-19T00:00:00"/>
    <s v="Priya Patel"/>
    <n v="33"/>
    <s v="Male"/>
    <s v="Electronics"/>
    <s v="OnePlus 11 5G"/>
    <n v="2"/>
    <n v="61200"/>
    <x v="4"/>
    <s v="COD"/>
    <x v="0"/>
    <x v="0"/>
    <n v="11628"/>
    <x v="13"/>
    <x v="0"/>
    <x v="0"/>
    <s v="Male"/>
    <x v="11"/>
  </r>
  <r>
    <s v="ORD20828"/>
    <d v="2023-05-13T00:00:00"/>
    <s v="Deepika Rao"/>
    <n v="48"/>
    <s v="Male"/>
    <s v="Home &amp; Kitchen"/>
    <s v="Tupperware Set"/>
    <n v="5"/>
    <n v="3333"/>
    <x v="10"/>
    <s v="Card"/>
    <x v="0"/>
    <x v="0"/>
    <n v="11665.5"/>
    <x v="1"/>
    <x v="1"/>
    <x v="3"/>
    <s v="Male"/>
    <x v="8"/>
  </r>
  <r>
    <s v="ORD20784"/>
    <d v="2023-05-09T00:00:00"/>
    <s v="Nikhil Bose"/>
    <n v="40"/>
    <s v="Male"/>
    <s v="Home &amp; Kitchen"/>
    <s v="Godrej Almirah"/>
    <n v="9"/>
    <n v="14469"/>
    <x v="2"/>
    <s v="UPI"/>
    <x v="1"/>
    <x v="1"/>
    <n v="11719.9"/>
    <x v="0"/>
    <x v="0"/>
    <x v="3"/>
    <s v="Male"/>
    <x v="8"/>
  </r>
  <r>
    <s v="ORD20051"/>
    <d v="2023-03-29T00:00:00"/>
    <s v="Gaurav Bansal"/>
    <n v="38"/>
    <s v="Female"/>
    <s v="clothing"/>
    <s v="Nike Running Shoes"/>
    <n v="3"/>
    <n v="4350"/>
    <x v="2"/>
    <s v="UPI"/>
    <x v="0"/>
    <x v="0"/>
    <n v="11745"/>
    <x v="3"/>
    <x v="3"/>
    <x v="1"/>
    <s v="Female"/>
    <x v="7"/>
  </r>
  <r>
    <s v="ORD20804"/>
    <s v="Null"/>
    <s v="Anjali Srivastava"/>
    <n v="7"/>
    <s v="Male"/>
    <s v="clothing"/>
    <s v="Manyavar Sherwani"/>
    <n v="2"/>
    <n v="7350"/>
    <x v="7"/>
    <s v="UPI"/>
    <x v="0"/>
    <x v="0"/>
    <n v="11760"/>
    <x v="0"/>
    <x v="0"/>
    <x v="1"/>
    <s v="Male"/>
    <x v="2"/>
  </r>
  <r>
    <s v="ORD20866"/>
    <d v="2023-12-12T00:00:00"/>
    <s v="Null"/>
    <n v="34"/>
    <s v="Female"/>
    <s v="Beauty"/>
    <s v="Maybelline Lipstick"/>
    <n v="20"/>
    <n v="589"/>
    <x v="0"/>
    <s v="Cash"/>
    <x v="0"/>
    <x v="0"/>
    <n v="11780"/>
    <x v="0"/>
    <x v="0"/>
    <x v="2"/>
    <s v="Female"/>
    <x v="4"/>
  </r>
  <r>
    <s v="ORD20354"/>
    <d v="2023-05-23T00:00:00"/>
    <s v="Null"/>
    <n v="27"/>
    <s v="Male"/>
    <s v="Home &amp; Kitchen"/>
    <s v="Asian Paints 4L"/>
    <n v="6"/>
    <n v="2624"/>
    <x v="6"/>
    <s v="Cash"/>
    <x v="2"/>
    <x v="2"/>
    <n v="11808"/>
    <x v="0"/>
    <x v="0"/>
    <x v="3"/>
    <s v="Male"/>
    <x v="8"/>
  </r>
  <r>
    <s v="ORD20089"/>
    <d v="2023-08-07T00:00:00"/>
    <s v="Rekha Sinha"/>
    <n v="60"/>
    <s v="Female"/>
    <s v="clothing"/>
    <s v="Peter England Trousers"/>
    <n v="3"/>
    <n v="3950"/>
    <x v="0"/>
    <s v="COD"/>
    <x v="0"/>
    <x v="0"/>
    <n v="11850"/>
    <x v="4"/>
    <x v="1"/>
    <x v="1"/>
    <s v="Female"/>
    <x v="5"/>
  </r>
  <r>
    <s v="ORD20146"/>
    <s v="Null"/>
    <s v="Shweta Ghosh"/>
    <n v="47"/>
    <s v="Female"/>
    <s v="Beauty"/>
    <s v="Maybelline Lipstick"/>
    <n v="20"/>
    <n v="569"/>
    <x v="14"/>
    <s v="Csh"/>
    <x v="1"/>
    <x v="1"/>
    <n v="11949"/>
    <x v="3"/>
    <x v="3"/>
    <x v="2"/>
    <s v="Female"/>
    <x v="2"/>
  </r>
  <r>
    <s v="ORD20151"/>
    <d v="2023-04-11T00:00:00"/>
    <s v="Null"/>
    <n v="29"/>
    <s v="Male"/>
    <s v="Home and Kitchen"/>
    <s v="Asian Paints 4L"/>
    <n v="2"/>
    <n v="2136"/>
    <x v="10"/>
    <s v="UPI"/>
    <x v="0"/>
    <x v="0"/>
    <n v="11961.6"/>
    <x v="3"/>
    <x v="3"/>
    <x v="3"/>
    <s v="Male"/>
    <x v="11"/>
  </r>
  <r>
    <s v="ORD20266"/>
    <s v="Null"/>
    <s v="Swati Jain"/>
    <m/>
    <s v="Female"/>
    <s v="Home &amp; Kitchen"/>
    <s v="Hawkins Cookware Set"/>
    <n v="2"/>
    <n v="6020"/>
    <x v="0"/>
    <s v="Csh"/>
    <x v="2"/>
    <x v="2"/>
    <n v="12040"/>
    <x v="0"/>
    <x v="0"/>
    <x v="3"/>
    <s v="Female"/>
    <x v="2"/>
  </r>
  <r>
    <s v="ORD20798"/>
    <d v="2023-03-28T00:00:00"/>
    <s v="Ashok Yadav"/>
    <n v="999"/>
    <s v="Female"/>
    <s v="clothing"/>
    <s v="Raymond Suit"/>
    <n v="2"/>
    <n v="6700"/>
    <x v="2"/>
    <s v="COD"/>
    <x v="0"/>
    <x v="0"/>
    <n v="12060"/>
    <x v="1"/>
    <x v="1"/>
    <x v="1"/>
    <s v="Female"/>
    <x v="7"/>
  </r>
  <r>
    <s v="ORD20133"/>
    <d v="2023-11-28T00:00:00"/>
    <s v="Rahul Gupta"/>
    <n v="42"/>
    <s v="Female"/>
    <s v="Electronics"/>
    <s v="Realme Smartphone"/>
    <n v="1"/>
    <n v="20200"/>
    <x v="1"/>
    <s v="UPI"/>
    <x v="1"/>
    <x v="1"/>
    <n v="12120"/>
    <x v="1"/>
    <x v="1"/>
    <x v="0"/>
    <s v="Female"/>
    <x v="1"/>
  </r>
  <r>
    <s v="ORD20470"/>
    <d v="2023-04-27T00:00:00"/>
    <s v="Null"/>
    <n v="21"/>
    <s v="Female"/>
    <s v="Home &amp; Kitchen"/>
    <s v="Bajaj Mixer Grinder"/>
    <n v="5"/>
    <n v="3247"/>
    <x v="6"/>
    <s v="Card"/>
    <x v="0"/>
    <x v="0"/>
    <n v="12176.25"/>
    <x v="3"/>
    <x v="3"/>
    <x v="3"/>
    <s v="Female"/>
    <x v="11"/>
  </r>
  <r>
    <s v="ORD20861"/>
    <d v="2023-09-11T00:00:00"/>
    <s v="Null"/>
    <n v="42"/>
    <s v="Female"/>
    <s v="Home &amp; Kitchen"/>
    <s v="Prestige Pressure Cooker"/>
    <n v="4"/>
    <n v="4391"/>
    <x v="10"/>
    <s v="Card"/>
    <x v="3"/>
    <x v="0"/>
    <n v="12294.8"/>
    <x v="1"/>
    <x v="1"/>
    <x v="3"/>
    <s v="Female"/>
    <x v="0"/>
  </r>
  <r>
    <s v="ORD20340"/>
    <s v="Null"/>
    <s v="Sanjay Dubey"/>
    <n v="55"/>
    <s v="Male"/>
    <s v="Electronics"/>
    <s v="Samsung Smart TV 43&quot;"/>
    <n v="1"/>
    <n v="49400"/>
    <x v="11"/>
    <s v="UPI"/>
    <x v="2"/>
    <x v="2"/>
    <n v="12350"/>
    <x v="2"/>
    <x v="2"/>
    <x v="0"/>
    <s v="Male"/>
    <x v="2"/>
  </r>
  <r>
    <s v="ORD20330"/>
    <s v="Null"/>
    <s v="Pranav Kulkarni"/>
    <n v="18"/>
    <s v="Male"/>
    <s v="Electronics"/>
    <s v="JBL Bluetooth Speaker"/>
    <n v="2"/>
    <n v="6500"/>
    <x v="4"/>
    <s v="U.P.I"/>
    <x v="2"/>
    <x v="2"/>
    <n v="12350"/>
    <x v="0"/>
    <x v="0"/>
    <x v="0"/>
    <s v="Male"/>
    <x v="2"/>
  </r>
  <r>
    <s v="ORD20010"/>
    <d v="2023-05-07T00:00:00"/>
    <s v="Deepika Rao"/>
    <n v="30"/>
    <s v="Female"/>
    <s v="Home &amp; Kitchen"/>
    <s v="Philips Air Fryer"/>
    <n v="2"/>
    <n v="6230"/>
    <x v="0"/>
    <s v="Card"/>
    <x v="0"/>
    <x v="0"/>
    <n v="12460"/>
    <x v="3"/>
    <x v="3"/>
    <x v="3"/>
    <s v="Female"/>
    <x v="8"/>
  </r>
  <r>
    <s v="ORD20320"/>
    <d v="2023-12-19T00:00:00"/>
    <s v="Pooja Nair"/>
    <n v="60"/>
    <s v="Femal"/>
    <s v="clothing"/>
    <s v="Biba Salwar Suit"/>
    <n v="3"/>
    <n v="4900"/>
    <x v="5"/>
    <s v="Cash"/>
    <x v="0"/>
    <x v="0"/>
    <n v="12495"/>
    <x v="1"/>
    <x v="1"/>
    <x v="1"/>
    <s v="Other"/>
    <x v="4"/>
  </r>
  <r>
    <s v="ORD20813"/>
    <d v="2023-11-27T00:00:00"/>
    <s v="Gaurav Bansal"/>
    <n v="62"/>
    <s v="Male"/>
    <s v="clothing"/>
    <s v="W Ethnic Wear"/>
    <n v="2"/>
    <n v="1850"/>
    <x v="5"/>
    <s v="UPI"/>
    <x v="0"/>
    <x v="0"/>
    <n v="12580"/>
    <x v="2"/>
    <x v="2"/>
    <x v="1"/>
    <s v="Male"/>
    <x v="1"/>
  </r>
  <r>
    <s v="ORD20207"/>
    <d v="2023-03-18T00:00:00"/>
    <s v="Vinod Patil"/>
    <n v="21"/>
    <s v="Female"/>
    <s v="clothing"/>
    <s v="Adidas Sneakers"/>
    <n v="2"/>
    <n v="6700"/>
    <x v="4"/>
    <s v="Cash"/>
    <x v="2"/>
    <x v="2"/>
    <n v="12730"/>
    <x v="1"/>
    <x v="1"/>
    <x v="1"/>
    <s v="Female"/>
    <x v="7"/>
  </r>
  <r>
    <s v="ORD20855"/>
    <d v="2023-07-22T00:00:00"/>
    <s v="Sanjay Dubey"/>
    <n v="58"/>
    <s v="Male"/>
    <s v="Home &amp; Kitchen"/>
    <s v="Pigeon Induction Cooktop"/>
    <n v="6"/>
    <n v="2238"/>
    <x v="4"/>
    <s v="UPI"/>
    <x v="0"/>
    <x v="0"/>
    <n v="12756.6"/>
    <x v="1"/>
    <x v="1"/>
    <x v="3"/>
    <s v="Male"/>
    <x v="10"/>
  </r>
  <r>
    <s v="ORD20867"/>
    <d v="2023-11-09T00:00:00"/>
    <s v="Neha Mishra"/>
    <n v="34"/>
    <s v="F"/>
    <s v="Electronics"/>
    <s v="HP Printer"/>
    <n v="1"/>
    <n v="12800"/>
    <x v="13"/>
    <s v="COD"/>
    <x v="0"/>
    <x v="0"/>
    <n v="12800"/>
    <x v="0"/>
    <x v="0"/>
    <x v="0"/>
    <s v="Female"/>
    <x v="1"/>
  </r>
  <r>
    <s v="ORD20502"/>
    <d v="2023-04-21T00:00:00"/>
    <s v="Lakshmi Krishnan"/>
    <n v="25"/>
    <s v="Other"/>
    <s v="clothing"/>
    <s v="Nike Running Shoes"/>
    <n v="3"/>
    <n v="4800"/>
    <x v="2"/>
    <s v="Card"/>
    <x v="2"/>
    <x v="2"/>
    <n v="12960"/>
    <x v="3"/>
    <x v="3"/>
    <x v="1"/>
    <s v="Other"/>
    <x v="11"/>
  </r>
  <r>
    <s v="ORD20941"/>
    <s v="Null"/>
    <s v="Null"/>
    <n v="34"/>
    <s v="Male"/>
    <s v="clothing"/>
    <s v="Nike Running Shoes"/>
    <n v="3"/>
    <n v="7250"/>
    <x v="1"/>
    <s v="UPI"/>
    <x v="0"/>
    <x v="0"/>
    <n v="13050"/>
    <x v="2"/>
    <x v="2"/>
    <x v="1"/>
    <s v="Male"/>
    <x v="2"/>
  </r>
  <r>
    <s v="ORD20899"/>
    <d v="2023-11-01T00:00:00"/>
    <s v="Null"/>
    <n v="18"/>
    <s v="Female"/>
    <s v="clothing"/>
    <s v="Peter England Trousers"/>
    <n v="3"/>
    <n v="4400"/>
    <x v="0"/>
    <s v="UPI"/>
    <x v="0"/>
    <x v="0"/>
    <n v="13200"/>
    <x v="0"/>
    <x v="0"/>
    <x v="1"/>
    <s v="Female"/>
    <x v="1"/>
  </r>
  <r>
    <s v="ORD20508"/>
    <d v="2023-05-14T00:00:00"/>
    <s v="Pooja Nair"/>
    <n v="42"/>
    <s v="Female"/>
    <s v="Electronics"/>
    <s v="Lenovo Tab M10"/>
    <n v="2"/>
    <n v="18400"/>
    <x v="2"/>
    <s v="Crdit Card"/>
    <x v="0"/>
    <x v="0"/>
    <n v="13248"/>
    <x v="2"/>
    <x v="2"/>
    <x v="0"/>
    <s v="Female"/>
    <x v="8"/>
  </r>
  <r>
    <s v="ORD20263"/>
    <d v="2023-02-03T00:00:00"/>
    <s v="Null"/>
    <n v="45"/>
    <s v="Other"/>
    <s v="Home &amp; Kitchen"/>
    <s v="Philips Air Fryer"/>
    <n v="2"/>
    <n v="6974"/>
    <x v="4"/>
    <s v="Cash"/>
    <x v="0"/>
    <x v="0"/>
    <n v="13250.6"/>
    <x v="1"/>
    <x v="1"/>
    <x v="3"/>
    <s v="Other"/>
    <x v="12"/>
  </r>
  <r>
    <s v="ORD20297"/>
    <d v="2023-12-05T00:00:00"/>
    <s v="Shweta Ghosh"/>
    <n v="47"/>
    <s v="Female"/>
    <s v="Electronics"/>
    <s v="HP Printer"/>
    <n v="1"/>
    <n v="13300"/>
    <x v="0"/>
    <s v="COD"/>
    <x v="1"/>
    <x v="1"/>
    <n v="13300"/>
    <x v="0"/>
    <x v="0"/>
    <x v="0"/>
    <s v="Female"/>
    <x v="4"/>
  </r>
  <r>
    <s v="ORD20847"/>
    <d v="2023-12-02T00:00:00"/>
    <s v="Rekha Sinha"/>
    <n v="59"/>
    <s v="Male"/>
    <s v="Electronics"/>
    <s v="Canon DSLR Camera"/>
    <n v="2"/>
    <n v="67000"/>
    <x v="13"/>
    <s v="COD"/>
    <x v="0"/>
    <x v="0"/>
    <n v="13400"/>
    <x v="0"/>
    <x v="0"/>
    <x v="0"/>
    <s v="Male"/>
    <x v="4"/>
  </r>
  <r>
    <s v="ORD20350"/>
    <s v="Null"/>
    <s v="Sanjay Dubey"/>
    <n v="63"/>
    <s v="Female"/>
    <s v="Beauty"/>
    <s v="WOW Vitamin C Serum"/>
    <n v="10"/>
    <n v="1344"/>
    <x v="0"/>
    <s v="Card"/>
    <x v="0"/>
    <x v="0"/>
    <n v="13440"/>
    <x v="1"/>
    <x v="1"/>
    <x v="2"/>
    <s v="Female"/>
    <x v="2"/>
  </r>
  <r>
    <s v="ORD20190"/>
    <d v="2023-08-09T00:00:00"/>
    <s v="Rekha Sinha"/>
    <n v="32"/>
    <s v="Female"/>
    <s v="Home &amp; Kitchen"/>
    <s v="Tupperware Set"/>
    <n v="5"/>
    <n v="3369"/>
    <x v="7"/>
    <s v="UPI"/>
    <x v="0"/>
    <x v="0"/>
    <n v="13476"/>
    <x v="1"/>
    <x v="1"/>
    <x v="3"/>
    <s v="Female"/>
    <x v="5"/>
  </r>
  <r>
    <s v="ORD20369"/>
    <s v="Null"/>
    <s v="Null"/>
    <n v="54"/>
    <s v="Male"/>
    <s v="Home &amp; Kitchen"/>
    <s v="Asian Paints 4L"/>
    <n v="5"/>
    <n v="2697"/>
    <x v="13"/>
    <s v="UPI"/>
    <x v="0"/>
    <x v="0"/>
    <n v="13485"/>
    <x v="2"/>
    <x v="2"/>
    <x v="3"/>
    <s v="Male"/>
    <x v="2"/>
  </r>
  <r>
    <s v="ORD20281"/>
    <d v="2023-04-28T00:00:00"/>
    <s v="Anjali Srivastava"/>
    <n v="27"/>
    <s v="Female"/>
    <s v="clothing"/>
    <s v="Puma Track Suit"/>
    <n v="3"/>
    <n v="4500"/>
    <x v="0"/>
    <s v="UPI"/>
    <x v="0"/>
    <x v="0"/>
    <n v="13500"/>
    <x v="3"/>
    <x v="3"/>
    <x v="1"/>
    <s v="Female"/>
    <x v="11"/>
  </r>
  <r>
    <s v="ORD20796"/>
    <d v="2023-11-22T00:00:00"/>
    <s v="Ashok Yadav"/>
    <n v="52"/>
    <s v="Mle"/>
    <s v="clothing"/>
    <s v="Puma Track Suit"/>
    <n v="3"/>
    <n v="5300"/>
    <x v="5"/>
    <s v="UPI"/>
    <x v="0"/>
    <x v="0"/>
    <n v="13515"/>
    <x v="1"/>
    <x v="1"/>
    <x v="1"/>
    <s v="Other"/>
    <x v="1"/>
  </r>
  <r>
    <s v="ORD20179"/>
    <s v="Null"/>
    <s v="Vikas Saxena"/>
    <n v="40"/>
    <s v="Mle"/>
    <s v="Home &amp; Kitchen"/>
    <s v="Asian Paints 4L"/>
    <n v="6"/>
    <n v="2523"/>
    <x v="2"/>
    <s v="COD"/>
    <x v="4"/>
    <x v="1"/>
    <n v="13624.2"/>
    <x v="2"/>
    <x v="2"/>
    <x v="3"/>
    <s v="Other"/>
    <x v="2"/>
  </r>
  <r>
    <s v="ORD20725"/>
    <d v="2023-10-21T00:00:00"/>
    <s v="Manoj Chauhan"/>
    <n v="42"/>
    <s v="Female"/>
    <s v="Clthing"/>
    <s v="Puma Track Suit"/>
    <n v="3"/>
    <n v="4800"/>
    <x v="4"/>
    <s v="UPI"/>
    <x v="0"/>
    <x v="0"/>
    <n v="13680"/>
    <x v="2"/>
    <x v="2"/>
    <x v="1"/>
    <s v="Female"/>
    <x v="6"/>
  </r>
  <r>
    <s v="ORD20082"/>
    <d v="2023-09-30T00:00:00"/>
    <s v="Vinod Patil"/>
    <n v="31"/>
    <s v="Female"/>
    <s v="Home &amp; Kitchen"/>
    <s v="Usha Iron"/>
    <n v="7"/>
    <n v="2173"/>
    <x v="2"/>
    <s v="UPI"/>
    <x v="0"/>
    <x v="0"/>
    <n v="13689.9"/>
    <x v="1"/>
    <x v="1"/>
    <x v="3"/>
    <s v="Female"/>
    <x v="0"/>
  </r>
  <r>
    <s v="ORD20931"/>
    <d v="2023-10-10T00:00:00"/>
    <s v="Manoj Chauhan"/>
    <n v="64"/>
    <s v="Male"/>
    <s v="Home &amp; Kitchen"/>
    <s v="Bajaj Mixer Grinder"/>
    <n v="4"/>
    <n v="3456"/>
    <x v="13"/>
    <s v="COD"/>
    <x v="2"/>
    <x v="2"/>
    <n v="13824"/>
    <x v="2"/>
    <x v="2"/>
    <x v="3"/>
    <s v="Male"/>
    <x v="6"/>
  </r>
  <r>
    <s v="ORD20550"/>
    <d v="2023-01-01T00:00:00"/>
    <s v="Pranav Kulkarni"/>
    <n v="59"/>
    <s v="Female"/>
    <s v="Electronics"/>
    <s v="Realme Smartphone"/>
    <n v="1"/>
    <n v="18700"/>
    <x v="6"/>
    <s v="Cash"/>
    <x v="0"/>
    <x v="0"/>
    <n v="14025"/>
    <x v="2"/>
    <x v="2"/>
    <x v="0"/>
    <s v="Female"/>
    <x v="9"/>
  </r>
  <r>
    <s v="ORD20550"/>
    <d v="2023-01-01T00:00:00"/>
    <s v="Pranav Kulkarni"/>
    <n v="59"/>
    <s v="Female"/>
    <s v="Electronics"/>
    <s v="Realme Smartphone"/>
    <n v="1"/>
    <n v="18700"/>
    <x v="6"/>
    <s v="Cash"/>
    <x v="0"/>
    <x v="0"/>
    <n v="14025"/>
    <x v="2"/>
    <x v="2"/>
    <x v="0"/>
    <s v="Female"/>
    <x v="9"/>
  </r>
  <r>
    <s v="ORD20291"/>
    <d v="2023-03-07T00:00:00"/>
    <s v="Pooja Nair"/>
    <n v="53"/>
    <s v="Male"/>
    <s v="clothing"/>
    <s v="Nike Running Shoes"/>
    <n v="3"/>
    <n v="6800"/>
    <x v="10"/>
    <s v="Cash"/>
    <x v="0"/>
    <x v="0"/>
    <n v="14280"/>
    <x v="3"/>
    <x v="3"/>
    <x v="1"/>
    <s v="Male"/>
    <x v="7"/>
  </r>
  <r>
    <s v="ORD20616"/>
    <d v="2023-08-01T00:00:00"/>
    <s v="Manish Agarwal"/>
    <n v="47"/>
    <s v="Female"/>
    <s v="Home &amp; Kitchen"/>
    <s v="Bajaj Mixer Grinder"/>
    <n v="5"/>
    <n v="2723"/>
    <x v="14"/>
    <s v="UPI"/>
    <x v="2"/>
    <x v="2"/>
    <n v="14295.75"/>
    <x v="2"/>
    <x v="2"/>
    <x v="3"/>
    <s v="Female"/>
    <x v="5"/>
  </r>
  <r>
    <s v="ORD20265"/>
    <d v="2023-01-22T00:00:00"/>
    <s v="Null"/>
    <n v="25"/>
    <s v="Female"/>
    <s v="Home &amp; Kitchen"/>
    <s v="Usha Iron"/>
    <n v="10"/>
    <n v="1907"/>
    <x v="6"/>
    <s v="Card"/>
    <x v="2"/>
    <x v="2"/>
    <n v="14302.5"/>
    <x v="1"/>
    <x v="1"/>
    <x v="3"/>
    <s v="Female"/>
    <x v="9"/>
  </r>
  <r>
    <s v="ORD20165"/>
    <d v="2023-12-02T00:00:00"/>
    <s v="Ashok Yadav"/>
    <n v="60"/>
    <s v="Female"/>
    <s v="Beauty"/>
    <s v="Forest Essentials Cream"/>
    <n v="4"/>
    <n v="4225"/>
    <x v="5"/>
    <s v="Card"/>
    <x v="0"/>
    <x v="0"/>
    <n v="14365"/>
    <x v="2"/>
    <x v="2"/>
    <x v="2"/>
    <s v="Female"/>
    <x v="4"/>
  </r>
  <r>
    <s v="ORD20348"/>
    <s v="Null"/>
    <s v="Rohit Verma"/>
    <n v="27"/>
    <s v="Male"/>
    <s v="clothing"/>
    <s v="Biba Salwar Suit"/>
    <n v="3"/>
    <n v="4800"/>
    <x v="0"/>
    <s v="UPI"/>
    <x v="2"/>
    <x v="2"/>
    <n v="14400"/>
    <x v="3"/>
    <x v="3"/>
    <x v="1"/>
    <s v="Male"/>
    <x v="2"/>
  </r>
  <r>
    <s v="ORD20791"/>
    <d v="2023-07-18T00:00:00"/>
    <s v="Null"/>
    <n v="47"/>
    <s v="Male"/>
    <s v="Home &amp; Kitchen"/>
    <s v="Orient Ceiling Fan"/>
    <n v="7"/>
    <n v="2942"/>
    <x v="10"/>
    <s v="UPI"/>
    <x v="0"/>
    <x v="0"/>
    <n v="14415.8"/>
    <x v="1"/>
    <x v="1"/>
    <x v="3"/>
    <s v="Male"/>
    <x v="10"/>
  </r>
  <r>
    <s v="ORD20512"/>
    <s v="Null"/>
    <s v="Rekha Sinha"/>
    <n v="26"/>
    <s v="Male"/>
    <s v="Home &amp; Kitchen"/>
    <s v="Hawkins Cookware Set"/>
    <n v="3"/>
    <n v="6012"/>
    <x v="7"/>
    <s v="Card"/>
    <x v="2"/>
    <x v="2"/>
    <n v="14428.8"/>
    <x v="3"/>
    <x v="3"/>
    <x v="3"/>
    <s v="Male"/>
    <x v="2"/>
  </r>
  <r>
    <s v="ORD20231"/>
    <d v="2023-12-25T00:00:00"/>
    <s v="Nikhil Bose"/>
    <n v="46"/>
    <s v="Male"/>
    <s v="Electronics"/>
    <s v="Canon DSLR Camera"/>
    <n v="2"/>
    <n v="76600"/>
    <x v="4"/>
    <s v="Cash"/>
    <x v="0"/>
    <x v="0"/>
    <n v="14554"/>
    <x v="0"/>
    <x v="0"/>
    <x v="0"/>
    <s v="Male"/>
    <x v="4"/>
  </r>
  <r>
    <s v="ORD20488"/>
    <d v="2023-09-14T00:00:00"/>
    <s v="Deepika Rao"/>
    <n v="25"/>
    <s v="Male"/>
    <s v="Electronics"/>
    <s v="HP Printer"/>
    <n v="1"/>
    <n v="14600"/>
    <x v="7"/>
    <s v="Card"/>
    <x v="0"/>
    <x v="0"/>
    <n v="14600"/>
    <x v="1"/>
    <x v="1"/>
    <x v="0"/>
    <s v="Male"/>
    <x v="0"/>
  </r>
  <r>
    <s v="ORD20836"/>
    <d v="2023-09-17T00:00:00"/>
    <s v="Pooja Nair"/>
    <n v="40"/>
    <s v="Male"/>
    <s v="Beauty"/>
    <s v="VLCC Gold Facial Kit"/>
    <n v="10"/>
    <n v="1540"/>
    <x v="4"/>
    <s v="UPI"/>
    <x v="2"/>
    <x v="2"/>
    <n v="14630"/>
    <x v="0"/>
    <x v="0"/>
    <x v="2"/>
    <s v="Male"/>
    <x v="0"/>
  </r>
  <r>
    <s v="ORD20267"/>
    <d v="2023-10-04T00:00:00"/>
    <s v="Nikhil Bose"/>
    <m/>
    <s v="Female"/>
    <s v="Hme &amp; Kitchen"/>
    <s v="Hawkins Cookware Set"/>
    <n v="4"/>
    <n v="4083"/>
    <x v="2"/>
    <s v="Card"/>
    <x v="0"/>
    <x v="0"/>
    <n v="14698.8"/>
    <x v="1"/>
    <x v="1"/>
    <x v="3"/>
    <s v="Female"/>
    <x v="6"/>
  </r>
  <r>
    <s v="ORD20929"/>
    <d v="2023-04-19T00:00:00"/>
    <s v="Priyanka Choudhary"/>
    <n v="54"/>
    <s v="Female"/>
    <s v="Electronics"/>
    <s v="Sony Headphones"/>
    <n v="1"/>
    <n v="14700"/>
    <x v="0"/>
    <s v="UPI"/>
    <x v="0"/>
    <x v="0"/>
    <n v="14700"/>
    <x v="2"/>
    <x v="2"/>
    <x v="0"/>
    <s v="Female"/>
    <x v="11"/>
  </r>
  <r>
    <s v="ORD20076"/>
    <d v="2023-03-04T00:00:00"/>
    <s v="Meera Nambiar"/>
    <n v="33"/>
    <s v="Male"/>
    <s v="Electronics"/>
    <s v="Dell Laptop i5"/>
    <n v="2"/>
    <n v="73700"/>
    <x v="0"/>
    <s v="Debit Card"/>
    <x v="0"/>
    <x v="0"/>
    <n v="14740"/>
    <x v="3"/>
    <x v="3"/>
    <x v="0"/>
    <s v="Male"/>
    <x v="7"/>
  </r>
  <r>
    <s v="ORD20037"/>
    <d v="2023-10-11T00:00:00"/>
    <s v="Sanjay Dubey"/>
    <n v="32"/>
    <s v="Male"/>
    <s v="clothing"/>
    <s v="Raymond Suit"/>
    <n v="1"/>
    <n v="6150"/>
    <x v="1"/>
    <s v="UPI"/>
    <x v="0"/>
    <x v="0"/>
    <n v="14760"/>
    <x v="1"/>
    <x v="1"/>
    <x v="1"/>
    <s v="Male"/>
    <x v="6"/>
  </r>
  <r>
    <s v="ORD20963"/>
    <d v="2023-04-12T00:00:00"/>
    <s v="Lakshmi Krishnan"/>
    <n v="61"/>
    <s v="Female"/>
    <s v="Home &amp; Kitchen"/>
    <s v="Bajaj Mixer Grinder"/>
    <n v="5"/>
    <n v="4220"/>
    <x v="10"/>
    <s v="Card"/>
    <x v="2"/>
    <x v="2"/>
    <n v="14770"/>
    <x v="1"/>
    <x v="1"/>
    <x v="3"/>
    <s v="Female"/>
    <x v="11"/>
  </r>
  <r>
    <s v="ORD20206"/>
    <d v="2023-02-06T00:00:00"/>
    <s v="Shweta Ghosh"/>
    <n v="61"/>
    <s v="Female"/>
    <s v="clothing"/>
    <s v="Manyavar Sherwani"/>
    <n v="2"/>
    <n v="7800"/>
    <x v="4"/>
    <s v="Card"/>
    <x v="0"/>
    <x v="0"/>
    <n v="14820"/>
    <x v="0"/>
    <x v="0"/>
    <x v="1"/>
    <s v="Female"/>
    <x v="12"/>
  </r>
  <r>
    <s v="ORD20159"/>
    <d v="2023-05-26T00:00:00"/>
    <s v="Null"/>
    <n v="62"/>
    <s v="Female"/>
    <s v="Home &amp; Kitchen"/>
    <s v="Bajaj Mixer Grinder"/>
    <n v="10"/>
    <n v="2968"/>
    <x v="8"/>
    <s v="COD"/>
    <x v="0"/>
    <x v="0"/>
    <n v="14840"/>
    <x v="2"/>
    <x v="2"/>
    <x v="3"/>
    <s v="Female"/>
    <x v="8"/>
  </r>
  <r>
    <s v="ORD20193"/>
    <d v="2023-09-11T00:00:00"/>
    <s v="Shweta Ghosh"/>
    <n v="55"/>
    <s v="Female"/>
    <s v="Home &amp; Kitchen"/>
    <s v="Usha Iron"/>
    <n v="10"/>
    <n v="1685"/>
    <x v="2"/>
    <s v="UPI"/>
    <x v="1"/>
    <x v="1"/>
    <n v="15165"/>
    <x v="2"/>
    <x v="2"/>
    <x v="3"/>
    <s v="Female"/>
    <x v="0"/>
  </r>
  <r>
    <s v="ORD20692"/>
    <d v="2023-07-25T00:00:00"/>
    <s v="Null"/>
    <n v="26"/>
    <s v="Male"/>
    <s v="Electronics"/>
    <s v="iPhone 14"/>
    <n v="2"/>
    <n v="79900"/>
    <x v="4"/>
    <s v="Debit Card"/>
    <x v="0"/>
    <x v="0"/>
    <n v="15181"/>
    <x v="14"/>
    <x v="1"/>
    <x v="0"/>
    <s v="Male"/>
    <x v="10"/>
  </r>
  <r>
    <s v="ORD20894"/>
    <s v="Null"/>
    <s v="Suresh Joshi"/>
    <n v="62"/>
    <s v="Female"/>
    <s v="Home &amp; Kitchen"/>
    <s v="Usha Iron"/>
    <n v="6"/>
    <n v="2823"/>
    <x v="2"/>
    <s v="Cash"/>
    <x v="0"/>
    <x v="0"/>
    <n v="15244.2"/>
    <x v="8"/>
    <x v="0"/>
    <x v="3"/>
    <s v="Female"/>
    <x v="2"/>
  </r>
  <r>
    <s v="ORD20723"/>
    <d v="2023-11-14T00:00:00"/>
    <s v="Shweta Ghosh"/>
    <n v="55"/>
    <s v="Male"/>
    <s v="Electronics"/>
    <s v="iPhone 14"/>
    <n v="2"/>
    <n v="84700"/>
    <x v="2"/>
    <s v="U.P.I"/>
    <x v="1"/>
    <x v="1"/>
    <n v="15246"/>
    <x v="3"/>
    <x v="3"/>
    <x v="0"/>
    <s v="Male"/>
    <x v="1"/>
  </r>
  <r>
    <s v="ORD20156"/>
    <d v="2023-07-12T00:00:00"/>
    <s v="Shweta Ghosh"/>
    <n v="7"/>
    <s v="Male"/>
    <s v="clothing"/>
    <s v="Nike Running Shoes"/>
    <n v="3"/>
    <n v="5750"/>
    <x v="2"/>
    <s v="UPI"/>
    <x v="2"/>
    <x v="2"/>
    <n v="15525"/>
    <x v="0"/>
    <x v="0"/>
    <x v="1"/>
    <s v="Male"/>
    <x v="10"/>
  </r>
  <r>
    <s v="ORD20654"/>
    <s v="Null"/>
    <s v="Null"/>
    <n v="31"/>
    <s v="Female"/>
    <s v="Home &amp; Kitchen"/>
    <s v="Asian Paints 4L"/>
    <n v="7"/>
    <n v="2356"/>
    <x v="4"/>
    <s v="UPI"/>
    <x v="1"/>
    <x v="1"/>
    <n v="15667.4"/>
    <x v="1"/>
    <x v="1"/>
    <x v="3"/>
    <s v="Female"/>
    <x v="2"/>
  </r>
  <r>
    <s v="ORD20581"/>
    <d v="2023-10-12T00:00:00"/>
    <s v="Kavya Reddy"/>
    <n v="62"/>
    <s v="Male"/>
    <s v="Electronics"/>
    <s v="Lenovo Tab M10"/>
    <n v="1"/>
    <n v="15900"/>
    <x v="0"/>
    <s v="Cash"/>
    <x v="2"/>
    <x v="2"/>
    <n v="15900"/>
    <x v="1"/>
    <x v="1"/>
    <x v="0"/>
    <s v="Male"/>
    <x v="6"/>
  </r>
  <r>
    <s v="ORD20356"/>
    <d v="2023-07-25T00:00:00"/>
    <s v="Vikram Mehta"/>
    <n v="61"/>
    <s v="Female"/>
    <s v="clothing"/>
    <s v="Adidas Sneakers"/>
    <n v="3"/>
    <n v="5950"/>
    <x v="2"/>
    <s v="Card"/>
    <x v="0"/>
    <x v="0"/>
    <n v="16065"/>
    <x v="15"/>
    <x v="0"/>
    <x v="1"/>
    <s v="Female"/>
    <x v="10"/>
  </r>
  <r>
    <s v="ORD20435"/>
    <d v="2023-12-20T00:00:00"/>
    <s v="Pallavi Deshmukh"/>
    <n v="31"/>
    <s v="Female"/>
    <s v="Electroni cs"/>
    <s v="iPhone 14"/>
    <n v="2"/>
    <n v="80700"/>
    <x v="13"/>
    <s v="Card"/>
    <x v="0"/>
    <x v="0"/>
    <n v="16140"/>
    <x v="2"/>
    <x v="2"/>
    <x v="0"/>
    <s v="Female"/>
    <x v="4"/>
  </r>
  <r>
    <s v="ORD20938"/>
    <d v="2023-08-07T00:00:00"/>
    <s v="Null"/>
    <n v="5"/>
    <s v="Female"/>
    <s v="Electronics"/>
    <s v="iPhone 14"/>
    <n v="2"/>
    <n v="80800"/>
    <x v="0"/>
    <s v="Cash"/>
    <x v="0"/>
    <x v="0"/>
    <n v="16160"/>
    <x v="2"/>
    <x v="2"/>
    <x v="0"/>
    <s v="Female"/>
    <x v="5"/>
  </r>
  <r>
    <s v="ORD20386"/>
    <s v="Null"/>
    <s v="Rahul Gupta"/>
    <n v="38"/>
    <s v="Male"/>
    <s v="Home &amp; Kitchen"/>
    <s v="Usha Iron"/>
    <n v="8"/>
    <n v="2700"/>
    <x v="6"/>
    <s v="Card"/>
    <x v="0"/>
    <x v="0"/>
    <n v="16200"/>
    <x v="2"/>
    <x v="2"/>
    <x v="3"/>
    <s v="Male"/>
    <x v="2"/>
  </r>
  <r>
    <s v="ORD20137"/>
    <d v="2023-10-24T00:00:00"/>
    <s v="Sanjay Dubey"/>
    <n v="24"/>
    <s v="Male"/>
    <s v="Electronics"/>
    <s v="Lenovo Tab M10"/>
    <n v="2"/>
    <n v="16200"/>
    <x v="8"/>
    <s v="Card"/>
    <x v="0"/>
    <x v="0"/>
    <n v="16200"/>
    <x v="1"/>
    <x v="1"/>
    <x v="0"/>
    <s v="Male"/>
    <x v="6"/>
  </r>
  <r>
    <s v="ORD20759"/>
    <s v="Null"/>
    <s v="Null"/>
    <m/>
    <s v="Male"/>
    <s v="Home &amp; Kitchen"/>
    <s v="Nilkamal Plastic Chair"/>
    <n v="9"/>
    <n v="2129"/>
    <x v="5"/>
    <s v="COD"/>
    <x v="2"/>
    <x v="2"/>
    <n v="16286.85"/>
    <x v="2"/>
    <x v="2"/>
    <x v="3"/>
    <s v="Male"/>
    <x v="2"/>
  </r>
  <r>
    <s v="ORD20322"/>
    <s v="Null"/>
    <s v="Rajesh Tiwari"/>
    <n v="55"/>
    <s v="Male"/>
    <s v="BEUTY"/>
    <s v="Forest Essentials Cream"/>
    <n v="99"/>
    <n v="3301"/>
    <x v="8"/>
    <s v="UPI"/>
    <x v="0"/>
    <x v="0"/>
    <n v="16339.5"/>
    <x v="1"/>
    <x v="1"/>
    <x v="2"/>
    <s v="Male"/>
    <x v="2"/>
  </r>
  <r>
    <s v="ORD20891"/>
    <d v="2023-02-24T00:00:00"/>
    <s v="Vikram Mehta"/>
    <n v="24"/>
    <s v="F"/>
    <s v="Home &amp; Kitchen"/>
    <s v="Asian Paints 4L"/>
    <n v="10"/>
    <n v="1730"/>
    <x v="4"/>
    <s v="Card"/>
    <x v="0"/>
    <x v="0"/>
    <n v="16435"/>
    <x v="0"/>
    <x v="0"/>
    <x v="3"/>
    <s v="Female"/>
    <x v="12"/>
  </r>
  <r>
    <s v="ORD20035"/>
    <d v="2023-12-30T00:00:00"/>
    <s v="Sanjay Dubey"/>
    <n v="52"/>
    <s v="Male"/>
    <s v="Electronics"/>
    <s v="iPhone 14"/>
    <n v="2"/>
    <n v="82200"/>
    <x v="0"/>
    <s v="Card"/>
    <x v="2"/>
    <x v="2"/>
    <n v="16440"/>
    <x v="1"/>
    <x v="1"/>
    <x v="0"/>
    <s v="Male"/>
    <x v="4"/>
  </r>
  <r>
    <s v="ORD20235"/>
    <s v="Null"/>
    <s v="Rahul Gupta"/>
    <n v="64"/>
    <s v="Male"/>
    <s v="Home &amp; Kitchen"/>
    <s v="Asian Paints 4L"/>
    <n v="10"/>
    <n v="2394"/>
    <x v="10"/>
    <s v="UPI"/>
    <x v="1"/>
    <x v="1"/>
    <n v="16758"/>
    <x v="3"/>
    <x v="3"/>
    <x v="3"/>
    <s v="Male"/>
    <x v="2"/>
  </r>
  <r>
    <s v="ORD20952"/>
    <d v="2023-03-03T00:00:00"/>
    <s v="Tanvi Kulkarni"/>
    <n v="35"/>
    <s v="Female"/>
    <s v="Home &amp; Kitchen"/>
    <s v="Asian Paints 4L"/>
    <n v="9"/>
    <n v="1862"/>
    <x v="0"/>
    <s v="UPI"/>
    <x v="0"/>
    <x v="0"/>
    <n v="16758"/>
    <x v="3"/>
    <x v="3"/>
    <x v="3"/>
    <s v="Female"/>
    <x v="7"/>
  </r>
  <r>
    <s v="ORD20172"/>
    <d v="2023-01-29T00:00:00"/>
    <s v="Arjun Pillai"/>
    <n v="62"/>
    <s v="Male"/>
    <s v="clothing"/>
    <s v="Raymond Suit"/>
    <n v="3"/>
    <n v="7000"/>
    <x v="7"/>
    <s v="Card"/>
    <x v="0"/>
    <x v="0"/>
    <n v="16800"/>
    <x v="1"/>
    <x v="1"/>
    <x v="1"/>
    <s v="Male"/>
    <x v="9"/>
  </r>
  <r>
    <s v="ORD20003"/>
    <d v="2023-12-21T00:00:00"/>
    <s v="Neha Mishra"/>
    <n v="62"/>
    <s v="Mle"/>
    <s v="Home &amp; Kitchen"/>
    <s v="Godrej Almirah"/>
    <n v="2"/>
    <n v="9426"/>
    <x v="2"/>
    <s v="Cash"/>
    <x v="0"/>
    <x v="0"/>
    <n v="16966.8"/>
    <x v="2"/>
    <x v="2"/>
    <x v="3"/>
    <s v="Other"/>
    <x v="4"/>
  </r>
  <r>
    <s v="ORD20587"/>
    <s v="Null"/>
    <s v="Meera Nambiar"/>
    <n v="50"/>
    <s v="F"/>
    <s v="Electronics"/>
    <s v="Whirlpool Refrigerator"/>
    <n v="1"/>
    <n v="34000"/>
    <x v="8"/>
    <s v="Card"/>
    <x v="0"/>
    <x v="0"/>
    <n v="17000"/>
    <x v="0"/>
    <x v="0"/>
    <x v="0"/>
    <s v="Female"/>
    <x v="2"/>
  </r>
  <r>
    <s v="ORD20748"/>
    <d v="2023-07-05T00:00:00"/>
    <s v="Sanjay Dubey"/>
    <n v="64"/>
    <s v="Female"/>
    <s v="Electronics"/>
    <s v="iPhone 14"/>
    <n v="2"/>
    <n v="89700"/>
    <x v="4"/>
    <s v="UPI"/>
    <x v="2"/>
    <x v="2"/>
    <n v="17043"/>
    <x v="0"/>
    <x v="0"/>
    <x v="0"/>
    <s v="Female"/>
    <x v="10"/>
  </r>
  <r>
    <s v="ORD20135"/>
    <s v="Null"/>
    <s v="Null"/>
    <n v="63"/>
    <s v="Female"/>
    <s v="Electronics"/>
    <s v="Realme Smartphone"/>
    <n v="1"/>
    <n v="18000"/>
    <x v="4"/>
    <s v="UPI"/>
    <x v="0"/>
    <x v="0"/>
    <n v="17100"/>
    <x v="3"/>
    <x v="3"/>
    <x v="0"/>
    <s v="Female"/>
    <x v="2"/>
  </r>
  <r>
    <s v="ORD20305"/>
    <d v="2023-10-03T00:00:00"/>
    <s v="Pooja Nair"/>
    <n v="20"/>
    <s v="F"/>
    <s v="Home &amp; Kitchen"/>
    <s v="Prestige Pressure Cooker"/>
    <n v="4"/>
    <n v="4287"/>
    <x v="0"/>
    <s v="UPI"/>
    <x v="5"/>
    <x v="0"/>
    <n v="17148"/>
    <x v="0"/>
    <x v="0"/>
    <x v="3"/>
    <s v="Female"/>
    <x v="6"/>
  </r>
  <r>
    <s v="ORD20522"/>
    <d v="2023-09-22T00:00:00"/>
    <s v="Null"/>
    <n v="52"/>
    <s v="Male"/>
    <s v="Home and Kitchen"/>
    <s v="Philips Air Fryer"/>
    <n v="3"/>
    <n v="7155"/>
    <x v="7"/>
    <s v="UPI"/>
    <x v="2"/>
    <x v="2"/>
    <n v="17172"/>
    <x v="5"/>
    <x v="3"/>
    <x v="3"/>
    <s v="Male"/>
    <x v="0"/>
  </r>
  <r>
    <s v="ORD20268"/>
    <d v="2023-11-30T00:00:00"/>
    <s v="Smita Desai"/>
    <n v="53"/>
    <s v="Female"/>
    <s v="Home &amp; Kitchen"/>
    <s v="Borosil Glass Set"/>
    <n v="8"/>
    <n v="1081"/>
    <x v="8"/>
    <s v="Cash"/>
    <x v="2"/>
    <x v="2"/>
    <n v="17296"/>
    <x v="1"/>
    <x v="1"/>
    <x v="3"/>
    <s v="Female"/>
    <x v="1"/>
  </r>
  <r>
    <s v="ORD20643"/>
    <d v="2023-01-01T00:00:00"/>
    <s v="Rekha Sinha"/>
    <n v="48"/>
    <s v="Female"/>
    <s v="clothing"/>
    <s v="Raymond Suit"/>
    <n v="1"/>
    <n v="5800"/>
    <x v="0"/>
    <s v="COD"/>
    <x v="0"/>
    <x v="0"/>
    <n v="17400"/>
    <x v="2"/>
    <x v="2"/>
    <x v="1"/>
    <s v="Female"/>
    <x v="9"/>
  </r>
  <r>
    <s v="ORD20121"/>
    <d v="2023-11-30T00:00:00"/>
    <s v="Shweta Ghosh"/>
    <n v="48"/>
    <s v="Male"/>
    <s v="Clthing"/>
    <s v="Raymond Suit"/>
    <n v="3"/>
    <n v="6450"/>
    <x v="2"/>
    <s v="UPI"/>
    <x v="1"/>
    <x v="1"/>
    <n v="17415"/>
    <x v="0"/>
    <x v="0"/>
    <x v="1"/>
    <s v="Male"/>
    <x v="1"/>
  </r>
  <r>
    <s v="ORD20811"/>
    <s v="Null"/>
    <s v="Deepika Rao"/>
    <n v="44"/>
    <s v="Female"/>
    <s v="clothing"/>
    <s v="W Ethnic Wear"/>
    <n v="3"/>
    <n v="2150"/>
    <x v="2"/>
    <s v="Cash"/>
    <x v="2"/>
    <x v="2"/>
    <n v="17415"/>
    <x v="3"/>
    <x v="3"/>
    <x v="1"/>
    <s v="Female"/>
    <x v="2"/>
  </r>
  <r>
    <s v="ORD20006"/>
    <d v="2023-06-07T00:00:00"/>
    <s v="Shreya Pandey"/>
    <n v="60"/>
    <s v="Female"/>
    <s v="clothing"/>
    <s v="Adidas Sneakers"/>
    <n v="3"/>
    <n v="5900"/>
    <x v="0"/>
    <s v="Cash"/>
    <x v="0"/>
    <x v="0"/>
    <n v="17700"/>
    <x v="3"/>
    <x v="3"/>
    <x v="1"/>
    <s v="Female"/>
    <x v="3"/>
  </r>
  <r>
    <s v="ORD20544"/>
    <d v="2023-05-11T00:00:00"/>
    <s v="Manish Agarwal"/>
    <n v="51"/>
    <s v="Mle"/>
    <s v="Home &amp; Kitchen"/>
    <s v="Pigeon Induction Cooktop"/>
    <n v="9"/>
    <n v="2193"/>
    <x v="2"/>
    <s v="UPI"/>
    <x v="0"/>
    <x v="0"/>
    <n v="17763.3"/>
    <x v="2"/>
    <x v="2"/>
    <x v="3"/>
    <s v="Other"/>
    <x v="8"/>
  </r>
  <r>
    <s v="ORD20801"/>
    <s v="Null"/>
    <s v="Lakshmi Krishnan"/>
    <n v="40"/>
    <s v="Femal"/>
    <s v="Home and Kitchen"/>
    <s v="Bajaj Mixer Grinder"/>
    <n v="8"/>
    <n v="2472"/>
    <x v="2"/>
    <s v="Card"/>
    <x v="0"/>
    <x v="0"/>
    <n v="17798.400000000001"/>
    <x v="3"/>
    <x v="3"/>
    <x v="3"/>
    <s v="Other"/>
    <x v="2"/>
  </r>
  <r>
    <s v="ORD20124"/>
    <s v="Null"/>
    <s v="Neha Mishra"/>
    <n v="52"/>
    <s v="Male"/>
    <s v="Electronics"/>
    <s v="LG Washing Machine"/>
    <n v="1"/>
    <n v="29700"/>
    <x v="1"/>
    <s v="Card"/>
    <x v="0"/>
    <x v="0"/>
    <n v="17820"/>
    <x v="0"/>
    <x v="0"/>
    <x v="0"/>
    <s v="Male"/>
    <x v="2"/>
  </r>
  <r>
    <s v="ORD20711"/>
    <d v="2023-09-06T00:00:00"/>
    <s v="Manish Agarwal"/>
    <n v="56"/>
    <s v="Male"/>
    <s v="Home &amp; Kitchen"/>
    <s v="Tupperware Set"/>
    <n v="8"/>
    <n v="2627"/>
    <x v="5"/>
    <s v="Cash"/>
    <x v="0"/>
    <x v="0"/>
    <n v="17863.599999999999"/>
    <x v="2"/>
    <x v="2"/>
    <x v="3"/>
    <s v="Male"/>
    <x v="0"/>
  </r>
  <r>
    <s v="ORD20803"/>
    <d v="2023-04-02T00:00:00"/>
    <s v="Divya Hegde"/>
    <n v="58"/>
    <s v="Female"/>
    <s v="Home &amp; Kitchen"/>
    <s v="Philips Air Fryer"/>
    <n v="3"/>
    <n v="5414"/>
    <x v="3"/>
    <s v="Card"/>
    <x v="0"/>
    <x v="0"/>
    <n v="17866.2"/>
    <x v="12"/>
    <x v="1"/>
    <x v="3"/>
    <s v="Female"/>
    <x v="11"/>
  </r>
  <r>
    <s v="ORD20073"/>
    <d v="2023-12-11T00:00:00"/>
    <s v="Deepika Rao"/>
    <n v="18"/>
    <s v="Male"/>
    <s v="Home &amp; Kitchen"/>
    <s v="Pigeon Induction Cooktop"/>
    <n v="9"/>
    <n v="2206"/>
    <x v="2"/>
    <s v="COD"/>
    <x v="0"/>
    <x v="0"/>
    <n v="17868.599999999999"/>
    <x v="2"/>
    <x v="2"/>
    <x v="3"/>
    <s v="Male"/>
    <x v="4"/>
  </r>
  <r>
    <s v="ORD20025"/>
    <d v="2023-03-22T00:00:00"/>
    <s v="Null"/>
    <n v="62"/>
    <s v="Female"/>
    <s v="Beauty"/>
    <s v="Forest Essentials Cream"/>
    <n v="5"/>
    <n v="3762"/>
    <x v="4"/>
    <s v="UPI"/>
    <x v="2"/>
    <x v="2"/>
    <n v="17869.5"/>
    <x v="3"/>
    <x v="3"/>
    <x v="2"/>
    <s v="Female"/>
    <x v="7"/>
  </r>
  <r>
    <s v="ORD20113"/>
    <d v="2023-12-05T00:00:00"/>
    <s v="Null"/>
    <n v="27"/>
    <s v="Male"/>
    <s v="Home &amp; Kitchen"/>
    <s v="Prestige Pressure Cooker"/>
    <n v="8"/>
    <n v="2670"/>
    <x v="5"/>
    <s v="UPI"/>
    <x v="2"/>
    <x v="2"/>
    <n v="18156"/>
    <x v="3"/>
    <x v="3"/>
    <x v="3"/>
    <s v="Male"/>
    <x v="4"/>
  </r>
  <r>
    <s v="ORD20518"/>
    <d v="2023-07-09T00:00:00"/>
    <s v="Lakshmi Krishnan"/>
    <n v="50"/>
    <s v="Male"/>
    <s v="Electronics"/>
    <s v="Lenovo Tab M10"/>
    <n v="1"/>
    <n v="18300"/>
    <x v="0"/>
    <s v="COD"/>
    <x v="0"/>
    <x v="0"/>
    <n v="18300"/>
    <x v="12"/>
    <x v="1"/>
    <x v="0"/>
    <s v="Male"/>
    <x v="10"/>
  </r>
  <r>
    <s v="ORD20092"/>
    <d v="2023-01-13T00:00:00"/>
    <s v="Rekha Sinha"/>
    <n v="38"/>
    <s v="Mle"/>
    <s v="Home &amp; Kitchen"/>
    <s v="Usha Iron"/>
    <n v="9"/>
    <n v="2040"/>
    <x v="0"/>
    <s v="UPI"/>
    <x v="0"/>
    <x v="0"/>
    <n v="18360"/>
    <x v="2"/>
    <x v="2"/>
    <x v="3"/>
    <s v="Other"/>
    <x v="9"/>
  </r>
  <r>
    <s v="ORD20618"/>
    <d v="2023-12-03T00:00:00"/>
    <s v="Null"/>
    <n v="47"/>
    <s v="Female"/>
    <s v="Home &amp; Kitchen"/>
    <s v="Usha Iron"/>
    <n v="8"/>
    <n v="2311"/>
    <x v="1"/>
    <s v="Card"/>
    <x v="2"/>
    <x v="2"/>
    <n v="18488"/>
    <x v="1"/>
    <x v="1"/>
    <x v="3"/>
    <s v="Female"/>
    <x v="4"/>
  </r>
  <r>
    <s v="ORD20167"/>
    <d v="2023-07-24T00:00:00"/>
    <s v="Null"/>
    <n v="56"/>
    <s v="Other"/>
    <s v="Home &amp; Kitchen"/>
    <s v="Bajaj Mixer Grinder"/>
    <n v="5"/>
    <n v="3913"/>
    <x v="4"/>
    <s v="UPI"/>
    <x v="0"/>
    <x v="0"/>
    <n v="18586.75"/>
    <x v="13"/>
    <x v="0"/>
    <x v="3"/>
    <s v="Other"/>
    <x v="10"/>
  </r>
  <r>
    <s v="ORD20670"/>
    <d v="2023-11-18T00:00:00"/>
    <s v="Null"/>
    <n v="28"/>
    <s v="Female"/>
    <s v="Home &amp; Kitchen"/>
    <s v="Hawkins Cookware Set"/>
    <n v="5"/>
    <n v="4994"/>
    <x v="6"/>
    <s v="Cash"/>
    <x v="0"/>
    <x v="0"/>
    <n v="18727.5"/>
    <x v="3"/>
    <x v="3"/>
    <x v="3"/>
    <s v="Female"/>
    <x v="1"/>
  </r>
  <r>
    <s v="ORD20460"/>
    <d v="2023-11-11T00:00:00"/>
    <s v="Deepika Rao"/>
    <n v="28"/>
    <s v="Male"/>
    <s v="Home &amp; Kitchen"/>
    <s v="Prestige Pressure Cooker"/>
    <n v="99"/>
    <n v="3814"/>
    <x v="8"/>
    <s v="UPI"/>
    <x v="0"/>
    <x v="0"/>
    <n v="18793"/>
    <x v="3"/>
    <x v="3"/>
    <x v="3"/>
    <s v="Male"/>
    <x v="1"/>
  </r>
  <r>
    <s v="ORD20579"/>
    <d v="2023-06-02T00:00:00"/>
    <s v="Neha Mishra"/>
    <n v="51"/>
    <s v="Male"/>
    <s v="Electronics"/>
    <s v="Lenovo Tab M10"/>
    <n v="1"/>
    <n v="18900"/>
    <x v="0"/>
    <s v="UPI"/>
    <x v="5"/>
    <x v="0"/>
    <n v="18900"/>
    <x v="15"/>
    <x v="0"/>
    <x v="0"/>
    <s v="Male"/>
    <x v="3"/>
  </r>
  <r>
    <s v="ORD20107"/>
    <d v="2023-01-23T00:00:00"/>
    <s v="Neha Mishra"/>
    <n v="51"/>
    <s v="Male"/>
    <s v="Electronics"/>
    <s v="HP Printer"/>
    <n v="2"/>
    <n v="12700"/>
    <x v="6"/>
    <s v="Card"/>
    <x v="0"/>
    <x v="0"/>
    <n v="19050"/>
    <x v="0"/>
    <x v="0"/>
    <x v="0"/>
    <s v="Male"/>
    <x v="9"/>
  </r>
  <r>
    <s v="ORD20815"/>
    <d v="2023-03-08T00:00:00"/>
    <s v="Arjun Pillai"/>
    <n v="23"/>
    <s v="Male"/>
    <s v="Home &amp; Kitchen"/>
    <s v="Orient Ceiling Fan"/>
    <n v="5"/>
    <n v="4281"/>
    <x v="2"/>
    <s v="Card"/>
    <x v="0"/>
    <x v="0"/>
    <n v="19264.5"/>
    <x v="2"/>
    <x v="2"/>
    <x v="3"/>
    <s v="Male"/>
    <x v="7"/>
  </r>
  <r>
    <s v="ORD20054"/>
    <d v="2023-11-01T00:00:00"/>
    <s v="Null"/>
    <n v="63"/>
    <s v="Male"/>
    <s v="Home &amp; Kitchen"/>
    <s v="Tupperware Set"/>
    <n v="10"/>
    <n v="1938"/>
    <x v="0"/>
    <s v="Cash"/>
    <x v="1"/>
    <x v="1"/>
    <n v="19380"/>
    <x v="1"/>
    <x v="1"/>
    <x v="3"/>
    <s v="Male"/>
    <x v="1"/>
  </r>
  <r>
    <s v="ORD20510"/>
    <s v="Null"/>
    <s v="Tanvi Kulkarni"/>
    <n v="42"/>
    <s v="Female"/>
    <s v="Electronics"/>
    <s v="HP Printer"/>
    <n v="2"/>
    <n v="9800"/>
    <x v="0"/>
    <s v="UPI"/>
    <x v="1"/>
    <x v="1"/>
    <n v="19600"/>
    <x v="3"/>
    <x v="3"/>
    <x v="0"/>
    <s v="Female"/>
    <x v="2"/>
  </r>
  <r>
    <s v="ORD20849"/>
    <s v="Null"/>
    <s v="Pooja Nair"/>
    <m/>
    <s v="Male"/>
    <s v="Home &amp; Kitchen"/>
    <s v="Usha Iron"/>
    <n v="7"/>
    <n v="2805"/>
    <x v="10"/>
    <s v="Cash"/>
    <x v="0"/>
    <x v="0"/>
    <n v="19635"/>
    <x v="0"/>
    <x v="0"/>
    <x v="3"/>
    <s v="Male"/>
    <x v="2"/>
  </r>
  <r>
    <s v="ORD20482"/>
    <s v="Null"/>
    <s v="Pooja Nair"/>
    <n v="53"/>
    <s v="Female"/>
    <s v="Home &amp; Kitchen"/>
    <s v="Orient Ceiling Fan"/>
    <n v="4"/>
    <n v="4941"/>
    <x v="0"/>
    <s v="UPI"/>
    <x v="0"/>
    <x v="0"/>
    <n v="19764"/>
    <x v="0"/>
    <x v="0"/>
    <x v="3"/>
    <s v="Female"/>
    <x v="2"/>
  </r>
  <r>
    <s v="ORD20467"/>
    <d v="2023-08-26T00:00:00"/>
    <s v="Geeta Thakur"/>
    <n v="59"/>
    <s v="Female"/>
    <s v="Home &amp; Kitchen"/>
    <s v="Orient Ceiling Fan"/>
    <n v="6"/>
    <n v="3472"/>
    <x v="4"/>
    <s v="Cash"/>
    <x v="0"/>
    <x v="0"/>
    <n v="19790.400000000001"/>
    <x v="0"/>
    <x v="0"/>
    <x v="3"/>
    <s v="Female"/>
    <x v="5"/>
  </r>
  <r>
    <s v="ORD20457"/>
    <d v="2023-11-17T00:00:00"/>
    <s v="Vikram Mehta"/>
    <n v="60"/>
    <s v="Female"/>
    <s v="Clthing"/>
    <s v="Raymond Suit"/>
    <n v="1"/>
    <n v="5250"/>
    <x v="4"/>
    <s v="Card"/>
    <x v="1"/>
    <x v="1"/>
    <n v="19950"/>
    <x v="12"/>
    <x v="1"/>
    <x v="1"/>
    <s v="Female"/>
    <x v="1"/>
  </r>
  <r>
    <s v="ORD20046"/>
    <s v="Null"/>
    <s v="Pooja Nair"/>
    <m/>
    <s v="Female"/>
    <s v="Electronics"/>
    <s v="iPhone 14"/>
    <n v="2"/>
    <n v="90700"/>
    <x v="3"/>
    <s v="Cash"/>
    <x v="0"/>
    <x v="0"/>
    <n v="19954"/>
    <x v="0"/>
    <x v="0"/>
    <x v="0"/>
    <s v="Female"/>
    <x v="2"/>
  </r>
  <r>
    <s v="ORD20782"/>
    <d v="2023-03-03T00:00:00"/>
    <s v="Karthik Rajan"/>
    <n v="28"/>
    <s v="Male"/>
    <s v="Home &amp; Kitchen"/>
    <s v="Asian Paints 4L"/>
    <n v="9"/>
    <n v="2221"/>
    <x v="13"/>
    <s v="UPI"/>
    <x v="2"/>
    <x v="2"/>
    <n v="19989"/>
    <x v="15"/>
    <x v="0"/>
    <x v="3"/>
    <s v="Male"/>
    <x v="7"/>
  </r>
  <r>
    <s v="ORD20366"/>
    <d v="2023-09-28T00:00:00"/>
    <s v="Neha Mishra"/>
    <n v="29"/>
    <s v="Male"/>
    <s v="Home &amp; Kitchen"/>
    <s v="Hawkins Cookware Set"/>
    <n v="4"/>
    <n v="6663"/>
    <x v="6"/>
    <s v="Cash"/>
    <x v="1"/>
    <x v="1"/>
    <n v="19989"/>
    <x v="3"/>
    <x v="3"/>
    <x v="3"/>
    <s v="Male"/>
    <x v="0"/>
  </r>
  <r>
    <s v="ORD20568"/>
    <d v="2023-05-07T00:00:00"/>
    <s v="Sanjay Dubey"/>
    <n v="18"/>
    <s v="Female"/>
    <s v="Hme &amp; Kitchen"/>
    <s v="Usha Iron"/>
    <n v="9"/>
    <n v="2477"/>
    <x v="2"/>
    <s v="Card"/>
    <x v="0"/>
    <x v="0"/>
    <n v="20063.7"/>
    <x v="0"/>
    <x v="0"/>
    <x v="3"/>
    <s v="Female"/>
    <x v="8"/>
  </r>
  <r>
    <s v="ORD20496"/>
    <s v="Null"/>
    <s v="Manish Agarwal"/>
    <n v="50"/>
    <s v="Male"/>
    <s v="clothing"/>
    <s v="Raymond Suit"/>
    <n v="3"/>
    <n v="6750"/>
    <x v="0"/>
    <s v="Card"/>
    <x v="2"/>
    <x v="2"/>
    <n v="20250"/>
    <x v="1"/>
    <x v="1"/>
    <x v="1"/>
    <s v="Male"/>
    <x v="2"/>
  </r>
  <r>
    <s v="ORD20609"/>
    <s v="Null"/>
    <s v="Shweta Ghosh"/>
    <n v="50"/>
    <s v="Male"/>
    <s v="Electronics"/>
    <s v="Xiaomi Smart TV 32&quot;"/>
    <n v="1"/>
    <n v="24100"/>
    <x v="5"/>
    <s v="COD"/>
    <x v="0"/>
    <x v="0"/>
    <n v="20485"/>
    <x v="1"/>
    <x v="1"/>
    <x v="0"/>
    <s v="Male"/>
    <x v="2"/>
  </r>
  <r>
    <s v="ORD20700"/>
    <d v="2023-11-20T00:00:00"/>
    <s v="Aarav Sharma"/>
    <n v="25"/>
    <s v="Female"/>
    <s v="Electronics"/>
    <s v="HP Printer"/>
    <n v="2"/>
    <n v="11400"/>
    <x v="2"/>
    <s v="Cash"/>
    <x v="0"/>
    <x v="0"/>
    <n v="20520"/>
    <x v="3"/>
    <x v="3"/>
    <x v="0"/>
    <s v="Female"/>
    <x v="1"/>
  </r>
  <r>
    <s v="ORD20919"/>
    <s v="Null"/>
    <s v="Ashok Yadav"/>
    <n v="54"/>
    <s v="Male"/>
    <s v="Home &amp; Kitchen"/>
    <s v="Bajaj Mixer Grinder"/>
    <n v="6"/>
    <n v="4358"/>
    <x v="7"/>
    <s v="Card"/>
    <x v="0"/>
    <x v="0"/>
    <n v="20918.400000000001"/>
    <x v="3"/>
    <x v="3"/>
    <x v="3"/>
    <s v="Male"/>
    <x v="2"/>
  </r>
  <r>
    <s v="ORD20393"/>
    <s v="Null"/>
    <s v="Tanvi Kulkarni"/>
    <n v="42"/>
    <s v="Femal"/>
    <s v="Home &amp; Kitchen"/>
    <s v="Orient Ceiling Fan"/>
    <n v="6"/>
    <n v="3496"/>
    <x v="0"/>
    <s v="Card"/>
    <x v="5"/>
    <x v="0"/>
    <n v="20976"/>
    <x v="0"/>
    <x v="0"/>
    <x v="3"/>
    <s v="Other"/>
    <x v="2"/>
  </r>
  <r>
    <s v="ORD20014"/>
    <d v="2023-01-13T00:00:00"/>
    <s v="Null"/>
    <n v="55"/>
    <s v="Male"/>
    <s v="clothing"/>
    <s v="Manyavar Sherwani"/>
    <n v="3"/>
    <n v="7000"/>
    <x v="0"/>
    <s v="UPI"/>
    <x v="2"/>
    <x v="2"/>
    <n v="21000"/>
    <x v="7"/>
    <x v="3"/>
    <x v="1"/>
    <s v="Male"/>
    <x v="9"/>
  </r>
  <r>
    <s v="ORD20634"/>
    <d v="2023-10-09T00:00:00"/>
    <s v="Ramesh Naik"/>
    <n v="30"/>
    <s v="Male"/>
    <s v="Electronics"/>
    <s v="Realme Smartphone"/>
    <n v="2"/>
    <n v="17600"/>
    <x v="1"/>
    <s v="Cash"/>
    <x v="0"/>
    <x v="0"/>
    <n v="21120"/>
    <x v="2"/>
    <x v="2"/>
    <x v="0"/>
    <s v="Male"/>
    <x v="6"/>
  </r>
  <r>
    <s v="ORD20168"/>
    <d v="2023-10-05T00:00:00"/>
    <s v="Null"/>
    <n v="19"/>
    <s v="Male"/>
    <s v="Home &amp; Kitchen"/>
    <s v="Bajaj Mixer Grinder"/>
    <n v="8"/>
    <n v="2650"/>
    <x v="0"/>
    <s v="UPI"/>
    <x v="0"/>
    <x v="0"/>
    <n v="21200"/>
    <x v="2"/>
    <x v="2"/>
    <x v="3"/>
    <s v="Male"/>
    <x v="6"/>
  </r>
  <r>
    <s v="ORD20390"/>
    <d v="2023-11-03T00:00:00"/>
    <s v="Null"/>
    <n v="44"/>
    <s v="Female"/>
    <s v="Electronics"/>
    <s v="HP Printer"/>
    <n v="2"/>
    <n v="13300"/>
    <x v="7"/>
    <s v="UPI"/>
    <x v="3"/>
    <x v="0"/>
    <n v="21280"/>
    <x v="14"/>
    <x v="1"/>
    <x v="0"/>
    <s v="Female"/>
    <x v="1"/>
  </r>
  <r>
    <s v="ORD20674"/>
    <d v="2023-12-04T00:00:00"/>
    <s v="Shreya Pandey"/>
    <n v="59"/>
    <s v="Female"/>
    <s v="Beauty"/>
    <s v="Forest Essentials Cream"/>
    <n v="8"/>
    <n v="3352"/>
    <x v="7"/>
    <s v="Card"/>
    <x v="8"/>
    <x v="2"/>
    <n v="21452.799999999999"/>
    <x v="2"/>
    <x v="2"/>
    <x v="2"/>
    <s v="Female"/>
    <x v="4"/>
  </r>
  <r>
    <s v="ORD20878"/>
    <d v="2023-09-06T00:00:00"/>
    <s v="Kavya Reddy"/>
    <n v="20"/>
    <s v="Male"/>
    <s v="Home &amp; Kitchen"/>
    <s v="Asian Paints 4L"/>
    <n v="8"/>
    <n v="2831"/>
    <x v="4"/>
    <s v="Card"/>
    <x v="0"/>
    <x v="0"/>
    <n v="21515.599999999999"/>
    <x v="11"/>
    <x v="2"/>
    <x v="3"/>
    <s v="Male"/>
    <x v="0"/>
  </r>
  <r>
    <s v="ORD20915"/>
    <d v="2023-02-03T00:00:00"/>
    <s v="Shweta Ghosh"/>
    <n v="22"/>
    <s v="Male"/>
    <s v="Electronics"/>
    <s v="Whirlpool Refrigerator"/>
    <n v="1"/>
    <n v="43200"/>
    <x v="8"/>
    <s v="Card"/>
    <x v="0"/>
    <x v="0"/>
    <n v="21600"/>
    <x v="1"/>
    <x v="1"/>
    <x v="0"/>
    <s v="Male"/>
    <x v="12"/>
  </r>
  <r>
    <s v="ORD20611"/>
    <d v="2023-03-20T00:00:00"/>
    <s v="Manish Agarwal"/>
    <n v="5"/>
    <s v="M"/>
    <s v="clothing"/>
    <s v="Nike Running Shoes"/>
    <n v="3"/>
    <n v="6550"/>
    <x v="3"/>
    <s v="Cash"/>
    <x v="0"/>
    <x v="0"/>
    <n v="21615"/>
    <x v="0"/>
    <x v="0"/>
    <x v="1"/>
    <s v="Male"/>
    <x v="7"/>
  </r>
  <r>
    <s v="ORD20040"/>
    <s v="Null"/>
    <s v="Anjali Srivastava"/>
    <n v="35"/>
    <s v="Female"/>
    <s v="clothing"/>
    <s v="Adidas Sneakers"/>
    <n v="3"/>
    <n v="7600"/>
    <x v="4"/>
    <s v="Card"/>
    <x v="0"/>
    <x v="0"/>
    <n v="21660"/>
    <x v="1"/>
    <x v="1"/>
    <x v="1"/>
    <s v="Female"/>
    <x v="2"/>
  </r>
  <r>
    <s v="ORD20767"/>
    <d v="2023-10-30T00:00:00"/>
    <s v="Rahul Gupta"/>
    <n v="50"/>
    <s v="Male"/>
    <s v="Electronics"/>
    <s v="Realme Smartphone"/>
    <n v="2"/>
    <n v="18100"/>
    <x v="1"/>
    <s v="UPI"/>
    <x v="0"/>
    <x v="0"/>
    <n v="21720"/>
    <x v="0"/>
    <x v="0"/>
    <x v="0"/>
    <s v="Male"/>
    <x v="6"/>
  </r>
  <r>
    <s v="ORD20682"/>
    <d v="2023-04-18T00:00:00"/>
    <s v="Manish Agarwal"/>
    <n v="21"/>
    <s v="Female"/>
    <s v="clothing"/>
    <s v="Manyavar Sherwani"/>
    <n v="3"/>
    <n v="7250"/>
    <x v="4"/>
    <s v="Cash"/>
    <x v="0"/>
    <x v="0"/>
    <n v="21750"/>
    <x v="0"/>
    <x v="0"/>
    <x v="1"/>
    <s v="Female"/>
    <x v="11"/>
  </r>
  <r>
    <s v="ORD20778"/>
    <d v="2023-08-01T00:00:00"/>
    <s v="Harish Menon"/>
    <n v="60"/>
    <s v="Other"/>
    <s v="Home &amp; Kitchen"/>
    <s v="Pigeon Induction Cooktop"/>
    <n v="9"/>
    <n v="3028"/>
    <x v="7"/>
    <s v="COD"/>
    <x v="4"/>
    <x v="1"/>
    <n v="21801.599999999999"/>
    <x v="3"/>
    <x v="3"/>
    <x v="3"/>
    <s v="Other"/>
    <x v="5"/>
  </r>
  <r>
    <s v="ORD20424"/>
    <d v="2023-01-03T00:00:00"/>
    <s v="Null"/>
    <n v="59"/>
    <s v="Male"/>
    <s v="Home &amp; Kitchen"/>
    <s v="Orient Ceiling Fan"/>
    <n v="8"/>
    <n v="4606"/>
    <x v="1"/>
    <s v="Cash"/>
    <x v="0"/>
    <x v="0"/>
    <n v="22108.799999999999"/>
    <x v="0"/>
    <x v="0"/>
    <x v="3"/>
    <s v="Male"/>
    <x v="9"/>
  </r>
  <r>
    <s v="ORD20118"/>
    <d v="2023-08-30T00:00:00"/>
    <s v="Geeta Thakur"/>
    <n v="38"/>
    <s v="Femle"/>
    <s v="Electronics"/>
    <s v="Realme Smartphone"/>
    <n v="2"/>
    <n v="13100"/>
    <x v="5"/>
    <s v="Card"/>
    <x v="0"/>
    <x v="0"/>
    <n v="22270"/>
    <x v="3"/>
    <x v="3"/>
    <x v="0"/>
    <s v="Other"/>
    <x v="5"/>
  </r>
  <r>
    <s v="ORD20318"/>
    <d v="2023-12-24T00:00:00"/>
    <s v="Manish Agarwal"/>
    <n v="21"/>
    <s v="Male"/>
    <s v="Electronics"/>
    <s v="Xiaomi Smart TV 32&quot;"/>
    <n v="1"/>
    <n v="26200"/>
    <x v="5"/>
    <s v="UPI"/>
    <x v="2"/>
    <x v="2"/>
    <n v="22270"/>
    <x v="1"/>
    <x v="1"/>
    <x v="0"/>
    <s v="Male"/>
    <x v="4"/>
  </r>
  <r>
    <s v="ORD20075"/>
    <d v="2023-11-05T00:00:00"/>
    <s v="Manoj Chauhan"/>
    <n v="42"/>
    <s v="Female"/>
    <s v="Home &amp; Kitchen"/>
    <s v="Philips Air Fryer"/>
    <n v="3"/>
    <n v="9941"/>
    <x v="6"/>
    <s v="COD"/>
    <x v="0"/>
    <x v="0"/>
    <n v="22367.25"/>
    <x v="13"/>
    <x v="0"/>
    <x v="3"/>
    <s v="Female"/>
    <x v="1"/>
  </r>
  <r>
    <s v="ORD20287"/>
    <d v="2023-07-25T00:00:00"/>
    <s v="Deepika Rao"/>
    <n v="25"/>
    <s v="Female"/>
    <s v="clothing"/>
    <s v="Manyavar Sherwani"/>
    <n v="3"/>
    <n v="7850"/>
    <x v="4"/>
    <s v="Cash"/>
    <x v="0"/>
    <x v="0"/>
    <n v="22372.5"/>
    <x v="0"/>
    <x v="0"/>
    <x v="1"/>
    <s v="Female"/>
    <x v="10"/>
  </r>
  <r>
    <s v="ORD20264"/>
    <d v="2023-06-07T00:00:00"/>
    <s v="Rekha Sinha"/>
    <n v="65"/>
    <s v="Male"/>
    <s v="Home &amp; Kitchen"/>
    <s v="Prestige Pressure Cooker"/>
    <n v="5"/>
    <n v="4487"/>
    <x v="0"/>
    <s v="COD"/>
    <x v="1"/>
    <x v="1"/>
    <n v="22435"/>
    <x v="2"/>
    <x v="2"/>
    <x v="3"/>
    <s v="Male"/>
    <x v="3"/>
  </r>
  <r>
    <s v="ORD20820"/>
    <d v="2023-10-03T00:00:00"/>
    <s v="Null"/>
    <n v="27"/>
    <s v="Female"/>
    <s v="Electronics"/>
    <s v="Lenovo Tab M10"/>
    <n v="1"/>
    <n v="25000"/>
    <x v="2"/>
    <s v="Card"/>
    <x v="0"/>
    <x v="0"/>
    <n v="22500"/>
    <x v="1"/>
    <x v="1"/>
    <x v="0"/>
    <s v="Female"/>
    <x v="6"/>
  </r>
  <r>
    <s v="ORD20979"/>
    <d v="2023-11-11T00:00:00"/>
    <s v="Vikram Mehta"/>
    <n v="41"/>
    <s v="Female"/>
    <s v="clothing"/>
    <s v="Raymond Suit"/>
    <n v="3"/>
    <n v="7950"/>
    <x v="4"/>
    <s v="UPI"/>
    <x v="0"/>
    <x v="0"/>
    <n v="22657.5"/>
    <x v="0"/>
    <x v="0"/>
    <x v="1"/>
    <s v="Female"/>
    <x v="1"/>
  </r>
  <r>
    <s v="ORD20561"/>
    <s v="Null"/>
    <s v="Null"/>
    <n v="48"/>
    <s v="Female"/>
    <s v="Electronics"/>
    <s v="Lenovo Tab M10"/>
    <n v="1"/>
    <n v="24000"/>
    <x v="4"/>
    <s v="Card"/>
    <x v="0"/>
    <x v="0"/>
    <n v="22800"/>
    <x v="0"/>
    <x v="0"/>
    <x v="0"/>
    <s v="Female"/>
    <x v="2"/>
  </r>
  <r>
    <s v="ORD20705"/>
    <d v="2023-08-11T00:00:00"/>
    <s v="Harish Menon"/>
    <n v="27"/>
    <s v="Male"/>
    <s v="Electronics"/>
    <s v="Xiaomi Smart TV 32&quot;"/>
    <n v="2"/>
    <n v="23000"/>
    <x v="8"/>
    <s v="UPI"/>
    <x v="0"/>
    <x v="0"/>
    <n v="23000"/>
    <x v="2"/>
    <x v="2"/>
    <x v="0"/>
    <s v="Male"/>
    <x v="5"/>
  </r>
  <r>
    <s v="ORD20644"/>
    <d v="2023-03-07T00:00:00"/>
    <s v="Lakshmi Krishnan"/>
    <n v="34"/>
    <s v="Male"/>
    <s v="Home &amp; Kitchen"/>
    <s v="Usha Iron"/>
    <n v="10"/>
    <n v="2320"/>
    <x v="0"/>
    <s v="Card"/>
    <x v="0"/>
    <x v="0"/>
    <n v="23200"/>
    <x v="13"/>
    <x v="0"/>
    <x v="3"/>
    <s v="Male"/>
    <x v="7"/>
  </r>
  <r>
    <s v="ORD20506"/>
    <d v="2023-05-17T00:00:00"/>
    <s v="Arjun Pillai"/>
    <n v="43"/>
    <s v="Female"/>
    <s v="Home &amp; Kitchen"/>
    <s v="Prestige Pressure Cooker"/>
    <n v="10"/>
    <n v="3331"/>
    <x v="10"/>
    <s v="Cash"/>
    <x v="0"/>
    <x v="0"/>
    <n v="23317"/>
    <x v="2"/>
    <x v="2"/>
    <x v="3"/>
    <s v="Female"/>
    <x v="8"/>
  </r>
  <r>
    <s v="ORD20543"/>
    <d v="2023-01-18T00:00:00"/>
    <s v="Null"/>
    <n v="31"/>
    <s v="Male"/>
    <s v="Hme &amp; Kitchen"/>
    <s v="Asian Paints 4L"/>
    <n v="9"/>
    <n v="2606"/>
    <x v="0"/>
    <s v="UPI"/>
    <x v="2"/>
    <x v="2"/>
    <n v="23454"/>
    <x v="2"/>
    <x v="2"/>
    <x v="3"/>
    <s v="Male"/>
    <x v="9"/>
  </r>
  <r>
    <s v="ORD20493"/>
    <d v="2023-10-06T00:00:00"/>
    <s v="Null"/>
    <n v="54"/>
    <s v="Female"/>
    <s v="Home &amp; Kitchen"/>
    <s v="Orient Ceiling Fan"/>
    <n v="7"/>
    <n v="4470"/>
    <x v="6"/>
    <s v="Card"/>
    <x v="2"/>
    <x v="2"/>
    <n v="23467.5"/>
    <x v="8"/>
    <x v="0"/>
    <x v="3"/>
    <s v="Female"/>
    <x v="6"/>
  </r>
  <r>
    <s v="ORD20326"/>
    <d v="2023-10-18T00:00:00"/>
    <s v="Sneha Iyer"/>
    <n v="31"/>
    <s v="Male"/>
    <s v="Home &amp; Kitchen"/>
    <s v="Pigeon Induction Cooktop"/>
    <n v="10"/>
    <n v="2498"/>
    <x v="4"/>
    <s v="Card"/>
    <x v="2"/>
    <x v="2"/>
    <n v="23731"/>
    <x v="1"/>
    <x v="1"/>
    <x v="3"/>
    <s v="Male"/>
    <x v="6"/>
  </r>
  <r>
    <s v="ORD20827"/>
    <s v="Null"/>
    <s v="Pooja Nair"/>
    <n v="23"/>
    <s v="Male"/>
    <s v="Hme &amp; Kitchen"/>
    <s v="Tupperware Set"/>
    <n v="10"/>
    <n v="2665"/>
    <x v="2"/>
    <s v="Cash"/>
    <x v="0"/>
    <x v="0"/>
    <n v="23985"/>
    <x v="0"/>
    <x v="0"/>
    <x v="3"/>
    <s v="Male"/>
    <x v="2"/>
  </r>
  <r>
    <s v="ORD20988"/>
    <d v="2023-07-18T00:00:00"/>
    <s v="Shweta Ghosh"/>
    <n v="58"/>
    <s v="Male"/>
    <s v="Electronics"/>
    <s v="Sony Headphones"/>
    <n v="2"/>
    <n v="15000"/>
    <x v="7"/>
    <s v="COD"/>
    <x v="0"/>
    <x v="0"/>
    <n v="24000"/>
    <x v="0"/>
    <x v="0"/>
    <x v="0"/>
    <s v="Male"/>
    <x v="10"/>
  </r>
  <r>
    <s v="ORD20444"/>
    <d v="2023-02-25T00:00:00"/>
    <s v="Pranav Kulkarni"/>
    <n v="58"/>
    <s v="Male"/>
    <s v="clothing"/>
    <s v="Raymond Suit"/>
    <n v="3"/>
    <n v="8000"/>
    <x v="0"/>
    <s v="Cash"/>
    <x v="0"/>
    <x v="0"/>
    <n v="24000"/>
    <x v="1"/>
    <x v="1"/>
    <x v="1"/>
    <s v="Male"/>
    <x v="12"/>
  </r>
  <r>
    <s v="ORD20363"/>
    <s v="Null"/>
    <s v="Arjun Pillai"/>
    <n v="64"/>
    <s v="Other"/>
    <s v="Home &amp; Kitchen"/>
    <s v="Philips Air Fryer"/>
    <n v="4"/>
    <n v="8636"/>
    <x v="10"/>
    <s v="Card"/>
    <x v="0"/>
    <x v="0"/>
    <n v="24180.799999999999"/>
    <x v="2"/>
    <x v="2"/>
    <x v="3"/>
    <s v="Other"/>
    <x v="2"/>
  </r>
  <r>
    <s v="ORD20833"/>
    <d v="2023-12-01T00:00:00"/>
    <s v="Rekha Sinha"/>
    <n v="42"/>
    <s v="Male"/>
    <s v="Home &amp; Kitchen"/>
    <s v="Pigeon Induction Cooktop"/>
    <n v="10"/>
    <n v="2547"/>
    <x v="4"/>
    <s v="Cash"/>
    <x v="0"/>
    <x v="0"/>
    <n v="24196.5"/>
    <x v="0"/>
    <x v="0"/>
    <x v="3"/>
    <s v="Male"/>
    <x v="4"/>
  </r>
  <r>
    <s v="ORD20860"/>
    <d v="2023-09-22T00:00:00"/>
    <s v="Null"/>
    <n v="64"/>
    <s v="Female"/>
    <s v="Home &amp; Kitchen"/>
    <s v="Asian Paints 4L"/>
    <n v="10"/>
    <n v="2432"/>
    <x v="0"/>
    <s v="Debit Card"/>
    <x v="0"/>
    <x v="0"/>
    <n v="24320"/>
    <x v="2"/>
    <x v="2"/>
    <x v="3"/>
    <s v="Female"/>
    <x v="0"/>
  </r>
  <r>
    <s v="ORD20860"/>
    <d v="2023-09-22T00:00:00"/>
    <s v="Null"/>
    <n v="64"/>
    <s v="Female"/>
    <s v="Home &amp; Kitchen"/>
    <s v="Asian Paints 4L"/>
    <n v="10"/>
    <n v="2432"/>
    <x v="0"/>
    <s v="Debit Card"/>
    <x v="0"/>
    <x v="0"/>
    <n v="24320"/>
    <x v="2"/>
    <x v="2"/>
    <x v="3"/>
    <s v="Female"/>
    <x v="0"/>
  </r>
  <r>
    <s v="ORD20184"/>
    <d v="2023-04-22T00:00:00"/>
    <s v="Pooja Nair"/>
    <n v="26"/>
    <s v="Male"/>
    <s v="Electronics"/>
    <s v="Realme Smartphone"/>
    <n v="2"/>
    <n v="14500"/>
    <x v="5"/>
    <s v="Card"/>
    <x v="2"/>
    <x v="2"/>
    <n v="24650"/>
    <x v="0"/>
    <x v="0"/>
    <x v="0"/>
    <s v="Male"/>
    <x v="11"/>
  </r>
  <r>
    <s v="ORD20143"/>
    <d v="2023-11-30T00:00:00"/>
    <s v="Suresh Joshi"/>
    <n v="56"/>
    <s v="Female"/>
    <s v="Home &amp; Kitchen"/>
    <s v="Bajaj Mixer Grinder"/>
    <n v="7"/>
    <n v="3708"/>
    <x v="4"/>
    <s v="Card"/>
    <x v="0"/>
    <x v="0"/>
    <n v="24658.2"/>
    <x v="2"/>
    <x v="2"/>
    <x v="3"/>
    <s v="Female"/>
    <x v="1"/>
  </r>
  <r>
    <s v="ORD20130"/>
    <d v="2023-06-15T00:00:00"/>
    <s v="Null"/>
    <n v="45"/>
    <s v="Male"/>
    <s v="Home &amp; Kitchen"/>
    <s v="Orient Ceiling Fan"/>
    <n v="6"/>
    <n v="4336"/>
    <x v="4"/>
    <s v="Cash"/>
    <x v="0"/>
    <x v="0"/>
    <n v="24715.200000000001"/>
    <x v="0"/>
    <x v="0"/>
    <x v="3"/>
    <s v="Male"/>
    <x v="3"/>
  </r>
  <r>
    <s v="ORD20114"/>
    <d v="2023-12-20T00:00:00"/>
    <s v="Aarav Sharma"/>
    <n v="34"/>
    <s v="Female"/>
    <s v="Home &amp; Kitchen"/>
    <s v="Prestige Pressure Cooker"/>
    <n v="7"/>
    <n v="3537"/>
    <x v="0"/>
    <s v="Card"/>
    <x v="2"/>
    <x v="2"/>
    <n v="24759"/>
    <x v="1"/>
    <x v="1"/>
    <x v="3"/>
    <s v="Female"/>
    <x v="4"/>
  </r>
  <r>
    <s v="ORD20421"/>
    <d v="2023-01-17T00:00:00"/>
    <s v="Tanvi Kulkarni"/>
    <n v="30"/>
    <s v="Male"/>
    <s v="Home &amp; Kitchen"/>
    <s v="Orient Ceiling Fan"/>
    <n v="8"/>
    <n v="3115"/>
    <x v="0"/>
    <s v="Cash"/>
    <x v="0"/>
    <x v="0"/>
    <n v="24920"/>
    <x v="1"/>
    <x v="1"/>
    <x v="3"/>
    <s v="Male"/>
    <x v="9"/>
  </r>
  <r>
    <s v="ORD20607"/>
    <d v="2023-05-04T00:00:00"/>
    <s v="Null"/>
    <n v="48"/>
    <s v="Male"/>
    <s v="Electronics"/>
    <s v="Canon DSLR Camera"/>
    <n v="1"/>
    <n v="49900"/>
    <x v="8"/>
    <s v="UPI"/>
    <x v="0"/>
    <x v="0"/>
    <n v="24950"/>
    <x v="1"/>
    <x v="1"/>
    <x v="0"/>
    <s v="Male"/>
    <x v="8"/>
  </r>
  <r>
    <s v="ORD20058"/>
    <d v="2023-07-29T00:00:00"/>
    <s v="Meera Nambiar"/>
    <n v="52"/>
    <s v="Male"/>
    <s v="Electronics"/>
    <s v="Xiaomi Smart TV 32&quot;"/>
    <n v="1"/>
    <n v="25100"/>
    <x v="0"/>
    <s v="UPI"/>
    <x v="0"/>
    <x v="0"/>
    <n v="25100"/>
    <x v="0"/>
    <x v="0"/>
    <x v="0"/>
    <s v="Male"/>
    <x v="10"/>
  </r>
  <r>
    <s v="ORD20238"/>
    <s v="Null"/>
    <s v="Nikhil Bose"/>
    <n v="56"/>
    <s v="Female"/>
    <s v="Home &amp; Kitchen"/>
    <s v="Orient Ceiling Fan"/>
    <n v="9"/>
    <n v="2789"/>
    <x v="0"/>
    <s v="UPI"/>
    <x v="2"/>
    <x v="2"/>
    <n v="25101"/>
    <x v="0"/>
    <x v="0"/>
    <x v="3"/>
    <s v="Female"/>
    <x v="2"/>
  </r>
  <r>
    <s v="ORD20289"/>
    <s v="Null"/>
    <s v="Manoj Chauhan"/>
    <n v="32"/>
    <s v="Male"/>
    <s v="Electronics"/>
    <s v="Realme Smartphone"/>
    <n v="2"/>
    <n v="14800"/>
    <x v="5"/>
    <s v="UPI"/>
    <x v="2"/>
    <x v="2"/>
    <n v="25160"/>
    <x v="3"/>
    <x v="3"/>
    <x v="0"/>
    <s v="Male"/>
    <x v="2"/>
  </r>
  <r>
    <s v="ORD20718"/>
    <d v="2023-11-06T00:00:00"/>
    <s v="Null"/>
    <n v="47"/>
    <s v="Female"/>
    <s v="Beauty"/>
    <s v="Plum Night Cream"/>
    <n v="6"/>
    <n v="706198"/>
    <x v="1"/>
    <s v="COD"/>
    <x v="5"/>
    <x v="0"/>
    <n v="25423.8"/>
    <x v="1"/>
    <x v="1"/>
    <x v="2"/>
    <s v="Female"/>
    <x v="1"/>
  </r>
  <r>
    <s v="ORD20394"/>
    <d v="2023-12-01T00:00:00"/>
    <s v="Null"/>
    <m/>
    <s v="Female"/>
    <s v="Home and Kitchen"/>
    <s v="Bajaj Mixer Grinder"/>
    <n v="7"/>
    <n v="3636"/>
    <x v="0"/>
    <s v="Crdit Card"/>
    <x v="0"/>
    <x v="0"/>
    <n v="25452"/>
    <x v="2"/>
    <x v="2"/>
    <x v="3"/>
    <s v="Female"/>
    <x v="4"/>
  </r>
  <r>
    <s v="ORD20313"/>
    <d v="2023-11-10T00:00:00"/>
    <s v="Kiran Malhotra"/>
    <n v="150"/>
    <s v="Other"/>
    <s v="Electronics"/>
    <s v="Whirlpool Refrigerator"/>
    <n v="1"/>
    <n v="42500"/>
    <x v="1"/>
    <s v="Card"/>
    <x v="1"/>
    <x v="1"/>
    <n v="25500"/>
    <x v="0"/>
    <x v="0"/>
    <x v="0"/>
    <s v="Other"/>
    <x v="1"/>
  </r>
  <r>
    <s v="ORD20233"/>
    <d v="2023-10-12T00:00:00"/>
    <s v="Neha Mishra"/>
    <n v="57"/>
    <s v="Male"/>
    <s v="Beauty"/>
    <s v="Forest Essentials Cream"/>
    <n v="99"/>
    <n v="4294"/>
    <x v="1"/>
    <s v="Card"/>
    <x v="0"/>
    <x v="0"/>
    <n v="25506.6"/>
    <x v="3"/>
    <x v="3"/>
    <x v="2"/>
    <s v="Male"/>
    <x v="6"/>
  </r>
  <r>
    <s v="ORD20949"/>
    <d v="2023-11-02T00:00:00"/>
    <s v="Pranav Kulkarni"/>
    <n v="53"/>
    <s v="Male"/>
    <s v="Home &amp; Kitchen"/>
    <s v="Prestige Pressure Cooker"/>
    <n v="10"/>
    <n v="3645"/>
    <x v="10"/>
    <s v="Debit Card"/>
    <x v="2"/>
    <x v="2"/>
    <n v="25515"/>
    <x v="3"/>
    <x v="3"/>
    <x v="3"/>
    <s v="Male"/>
    <x v="1"/>
  </r>
  <r>
    <s v="ORD20765"/>
    <d v="2023-05-18T00:00:00"/>
    <s v="Ritu Bhatia"/>
    <n v="25"/>
    <s v="Female"/>
    <s v="Home &amp; Kitchen"/>
    <s v="Orient Ceiling Fan"/>
    <n v="10"/>
    <n v="2695"/>
    <x v="4"/>
    <s v="COD"/>
    <x v="2"/>
    <x v="2"/>
    <n v="25602.5"/>
    <x v="2"/>
    <x v="2"/>
    <x v="3"/>
    <s v="Female"/>
    <x v="8"/>
  </r>
  <r>
    <s v="ORD20785"/>
    <d v="2023-04-12T00:00:00"/>
    <s v="Null"/>
    <n v="20"/>
    <s v="Female"/>
    <s v="Electronics"/>
    <s v="Realme Smartphone"/>
    <n v="2"/>
    <n v="13100"/>
    <x v="0"/>
    <s v="UPI"/>
    <x v="1"/>
    <x v="1"/>
    <n v="26200"/>
    <x v="3"/>
    <x v="3"/>
    <x v="0"/>
    <s v="Female"/>
    <x v="11"/>
  </r>
  <r>
    <s v="ORD20103"/>
    <s v="Null"/>
    <s v="Null"/>
    <n v="64"/>
    <s v="Female"/>
    <s v="Home &amp; Kitchen"/>
    <s v="Godrej Almirah"/>
    <n v="3"/>
    <n v="8765"/>
    <x v="0"/>
    <s v="Card"/>
    <x v="0"/>
    <x v="0"/>
    <n v="26295"/>
    <x v="12"/>
    <x v="1"/>
    <x v="3"/>
    <s v="Female"/>
    <x v="2"/>
  </r>
  <r>
    <s v="ORD20958"/>
    <d v="2023-12-24T00:00:00"/>
    <s v="Neha Mishra"/>
    <n v="65"/>
    <s v="Male"/>
    <s v="Electronics"/>
    <s v="LG Washing Machine"/>
    <n v="1"/>
    <n v="31200"/>
    <x v="5"/>
    <s v="C.O.D"/>
    <x v="0"/>
    <x v="0"/>
    <n v="26520"/>
    <x v="1"/>
    <x v="1"/>
    <x v="0"/>
    <s v="Male"/>
    <x v="4"/>
  </r>
  <r>
    <s v="ORD20523"/>
    <d v="2023-08-29T00:00:00"/>
    <s v="Neha Mishra"/>
    <n v="51"/>
    <s v="Mle"/>
    <s v="Electronics"/>
    <s v="Lenovo Tab M10"/>
    <n v="2"/>
    <n v="15600"/>
    <x v="5"/>
    <s v="Cash"/>
    <x v="0"/>
    <x v="0"/>
    <n v="26520"/>
    <x v="3"/>
    <x v="3"/>
    <x v="0"/>
    <s v="Other"/>
    <x v="5"/>
  </r>
  <r>
    <s v="ORD20689"/>
    <s v="Null"/>
    <s v="Lakshmi Krishnan"/>
    <n v="41"/>
    <s v="Other"/>
    <s v="Home &amp; Kitchen"/>
    <s v="Orient Ceiling Fan"/>
    <n v="9"/>
    <n v="3936"/>
    <x v="6"/>
    <s v="UPI"/>
    <x v="0"/>
    <x v="0"/>
    <n v="26568"/>
    <x v="0"/>
    <x v="0"/>
    <x v="3"/>
    <s v="Other"/>
    <x v="2"/>
  </r>
  <r>
    <s v="ORD20441"/>
    <d v="2023-11-01T00:00:00"/>
    <s v="Null"/>
    <n v="26"/>
    <s v="Female"/>
    <s v="Home &amp; Kitchen"/>
    <s v="Hawkins Cookware Set"/>
    <n v="6"/>
    <n v="4685"/>
    <x v="4"/>
    <s v="UPI"/>
    <x v="0"/>
    <x v="0"/>
    <n v="26704.5"/>
    <x v="1"/>
    <x v="1"/>
    <x v="3"/>
    <s v="Female"/>
    <x v="1"/>
  </r>
  <r>
    <s v="ORD20377"/>
    <d v="2023-04-09T00:00:00"/>
    <s v="Pooja Nair"/>
    <n v="23"/>
    <s v="Male"/>
    <s v="Home &amp; Kitchen"/>
    <s v="Bajaj Mixer Grinder"/>
    <n v="6"/>
    <n v="4694"/>
    <x v="4"/>
    <s v="Card"/>
    <x v="2"/>
    <x v="2"/>
    <n v="26755.8"/>
    <x v="3"/>
    <x v="3"/>
    <x v="3"/>
    <s v="Male"/>
    <x v="11"/>
  </r>
  <r>
    <s v="ORD20244"/>
    <d v="2023-12-08T00:00:00"/>
    <s v="Null"/>
    <n v="44"/>
    <s v="Male"/>
    <s v="Electronics"/>
    <s v="LG Washing Machine"/>
    <n v="1"/>
    <n v="44900"/>
    <x v="1"/>
    <s v="Cash"/>
    <x v="1"/>
    <x v="1"/>
    <n v="26940"/>
    <x v="2"/>
    <x v="2"/>
    <x v="0"/>
    <s v="Male"/>
    <x v="4"/>
  </r>
  <r>
    <s v="ORD20669"/>
    <s v="Null"/>
    <s v="Null"/>
    <n v="26"/>
    <s v="Male"/>
    <s v="Electronics"/>
    <s v="Samsung Smart TV 43&quot;"/>
    <n v="1"/>
    <n v="38700"/>
    <x v="10"/>
    <s v="COD"/>
    <x v="0"/>
    <x v="0"/>
    <n v="27090"/>
    <x v="3"/>
    <x v="3"/>
    <x v="0"/>
    <s v="Male"/>
    <x v="2"/>
  </r>
  <r>
    <s v="ORD20400"/>
    <d v="2023-10-02T00:00:00"/>
    <s v="Pooja Nair"/>
    <n v="48"/>
    <s v="Female"/>
    <s v="Electronics"/>
    <s v="Xiaomi Smart TV 32&quot;"/>
    <n v="1"/>
    <n v="27100"/>
    <x v="0"/>
    <s v="Card"/>
    <x v="0"/>
    <x v="0"/>
    <n v="27100"/>
    <x v="3"/>
    <x v="3"/>
    <x v="0"/>
    <s v="Female"/>
    <x v="6"/>
  </r>
  <r>
    <s v="ORD20387"/>
    <s v="Null"/>
    <s v="Null"/>
    <n v="39"/>
    <s v="Male"/>
    <s v="Electronics"/>
    <s v="Whirlpool Refrigerator"/>
    <n v="1"/>
    <n v="55000"/>
    <x v="8"/>
    <s v="Card"/>
    <x v="0"/>
    <x v="0"/>
    <n v="27500"/>
    <x v="2"/>
    <x v="2"/>
    <x v="0"/>
    <s v="Male"/>
    <x v="2"/>
  </r>
  <r>
    <s v="ORD20374"/>
    <d v="2023-03-14T00:00:00"/>
    <s v="Shweta Ghosh"/>
    <n v="43"/>
    <s v="Female"/>
    <s v="Electronics"/>
    <s v="Realme Smartphone"/>
    <n v="2"/>
    <n v="13800"/>
    <x v="0"/>
    <s v="UPI"/>
    <x v="1"/>
    <x v="1"/>
    <n v="27600"/>
    <x v="1"/>
    <x v="1"/>
    <x v="0"/>
    <s v="Female"/>
    <x v="7"/>
  </r>
  <r>
    <s v="ORD20758"/>
    <d v="2023-06-30T00:00:00"/>
    <s v="Smita Desai"/>
    <n v="60"/>
    <s v="Female"/>
    <s v="Home &amp; Kitchen"/>
    <s v="Prestige Pressure Cooker"/>
    <n v="6"/>
    <n v="4901"/>
    <x v="4"/>
    <s v="COD"/>
    <x v="0"/>
    <x v="0"/>
    <n v="27935.7"/>
    <x v="3"/>
    <x v="3"/>
    <x v="3"/>
    <s v="Female"/>
    <x v="3"/>
  </r>
  <r>
    <s v="ORD20116"/>
    <d v="2023-10-11T00:00:00"/>
    <s v="Rahul  Gupta"/>
    <n v="51"/>
    <s v="Other"/>
    <s v="Electronics"/>
    <s v="LG Washing Machine"/>
    <n v="1"/>
    <n v="29600"/>
    <x v="4"/>
    <s v="C.O.D"/>
    <x v="0"/>
    <x v="0"/>
    <n v="28120"/>
    <x v="0"/>
    <x v="0"/>
    <x v="0"/>
    <s v="Other"/>
    <x v="6"/>
  </r>
  <r>
    <s v="ORD20178"/>
    <d v="2023-08-23T00:00:00"/>
    <s v="Gaurav Bansal"/>
    <n v="33"/>
    <s v="Female"/>
    <s v="Electronics"/>
    <s v="LG Washing Machine"/>
    <n v="1"/>
    <n v="28200"/>
    <x v="2"/>
    <s v="Card"/>
    <x v="0"/>
    <x v="0"/>
    <n v="28200"/>
    <x v="0"/>
    <x v="0"/>
    <x v="0"/>
    <s v="Female"/>
    <x v="5"/>
  </r>
  <r>
    <s v="ORD20224"/>
    <d v="2023-04-23T00:00:00"/>
    <s v="Arjun Pillai"/>
    <n v="26"/>
    <s v="Female"/>
    <s v="Electronics"/>
    <s v="LG Washing Machine"/>
    <n v="1"/>
    <n v="29900"/>
    <x v="4"/>
    <s v="Cash"/>
    <x v="0"/>
    <x v="0"/>
    <n v="28405"/>
    <x v="15"/>
    <x v="0"/>
    <x v="0"/>
    <s v="Female"/>
    <x v="11"/>
  </r>
  <r>
    <s v="ORD20936"/>
    <d v="2023-09-01T00:00:00"/>
    <s v="Deepika Rao"/>
    <n v="64"/>
    <s v="Female"/>
    <s v="Home &amp; Kitchen"/>
    <s v="Usha Iron"/>
    <n v="10"/>
    <n v="2911"/>
    <x v="6"/>
    <s v="Crdit Card"/>
    <x v="0"/>
    <x v="0"/>
    <n v="29110"/>
    <x v="0"/>
    <x v="0"/>
    <x v="3"/>
    <s v="Female"/>
    <x v="0"/>
  </r>
  <r>
    <s v="ORD20015"/>
    <s v="Null"/>
    <s v="Geeta Thakur"/>
    <n v="32"/>
    <s v="Female"/>
    <s v="Home and Kitchen"/>
    <s v="Hawkins Cookware Set"/>
    <n v="10"/>
    <n v="3242"/>
    <x v="2"/>
    <s v="Cash"/>
    <x v="0"/>
    <x v="0"/>
    <n v="29178"/>
    <x v="6"/>
    <x v="2"/>
    <x v="3"/>
    <s v="Female"/>
    <x v="2"/>
  </r>
  <r>
    <s v="ORD20851"/>
    <d v="2023-11-12T00:00:00"/>
    <s v="Rekha Sinha"/>
    <n v="29"/>
    <s v="Female"/>
    <s v="Home &amp; Kitchen"/>
    <s v="Tupperware Set"/>
    <n v="8"/>
    <n v="3664"/>
    <x v="4"/>
    <s v="Card"/>
    <x v="2"/>
    <x v="2"/>
    <n v="29312"/>
    <x v="3"/>
    <x v="3"/>
    <x v="3"/>
    <s v="Female"/>
    <x v="1"/>
  </r>
  <r>
    <s v="ORD20242"/>
    <d v="2023-10-11T00:00:00"/>
    <s v="Sneha Iyer"/>
    <n v="54"/>
    <s v="Female"/>
    <s v="Home &amp; Kitchen"/>
    <s v="Hawkins Cookware Set"/>
    <n v="9"/>
    <n v="4106"/>
    <x v="7"/>
    <s v="Card"/>
    <x v="0"/>
    <x v="0"/>
    <n v="29563.200000000001"/>
    <x v="1"/>
    <x v="1"/>
    <x v="3"/>
    <s v="Female"/>
    <x v="6"/>
  </r>
  <r>
    <s v="ORD20066"/>
    <d v="2023-04-12T00:00:00"/>
    <s v="Manoj Chauhan"/>
    <n v="65"/>
    <s v="Male"/>
    <s v="Home &amp; Kitchen"/>
    <s v="Pigeon Induction Cooktop"/>
    <n v="8"/>
    <n v="3724"/>
    <x v="0"/>
    <s v="Cash"/>
    <x v="0"/>
    <x v="0"/>
    <n v="29792"/>
    <x v="2"/>
    <x v="2"/>
    <x v="3"/>
    <s v="Male"/>
    <x v="11"/>
  </r>
  <r>
    <s v="ORD20086"/>
    <s v="Null"/>
    <s v="Shweta Ghosh"/>
    <n v="41"/>
    <s v="Female"/>
    <s v="Electronics"/>
    <s v="Xiaomi Smart TV 32&quot;"/>
    <n v="2"/>
    <n v="21300"/>
    <x v="10"/>
    <s v="Cash on Delivery"/>
    <x v="1"/>
    <x v="1"/>
    <n v="29820"/>
    <x v="1"/>
    <x v="1"/>
    <x v="0"/>
    <s v="Female"/>
    <x v="2"/>
  </r>
  <r>
    <s v="ORD20802"/>
    <d v="2023-08-21T00:00:00"/>
    <s v="Swati Jain"/>
    <n v="30"/>
    <s v="Mle"/>
    <s v="Electronics"/>
    <s v="OnePlus 11 5G"/>
    <n v="1"/>
    <n v="60100"/>
    <x v="8"/>
    <s v="Card"/>
    <x v="0"/>
    <x v="0"/>
    <n v="30050"/>
    <x v="1"/>
    <x v="1"/>
    <x v="0"/>
    <s v="Other"/>
    <x v="5"/>
  </r>
  <r>
    <s v="ORD20149"/>
    <d v="2023-11-07T00:00:00"/>
    <s v="Gaurav Bansal"/>
    <n v="26"/>
    <s v="Female"/>
    <s v="Beauty"/>
    <s v="VLCC Gold Facial Kit"/>
    <n v="9"/>
    <n v="988"/>
    <x v="5"/>
    <s v="UPI"/>
    <x v="0"/>
    <x v="0"/>
    <n v="30232.799999999999"/>
    <x v="1"/>
    <x v="1"/>
    <x v="2"/>
    <s v="Female"/>
    <x v="1"/>
  </r>
  <r>
    <s v="ORD20490"/>
    <d v="2023-08-23T00:00:00"/>
    <s v="Pranav Kulkarni"/>
    <n v="29"/>
    <s v="Female"/>
    <s v="Home &amp; Kitchen"/>
    <s v="Godrej Almirah"/>
    <n v="3"/>
    <n v="10078"/>
    <x v="0"/>
    <s v="UPI"/>
    <x v="3"/>
    <x v="0"/>
    <n v="30234"/>
    <x v="2"/>
    <x v="2"/>
    <x v="3"/>
    <s v="Female"/>
    <x v="5"/>
  </r>
  <r>
    <s v="ORD20539"/>
    <d v="2023-12-22T00:00:00"/>
    <s v="Vikram Mehta"/>
    <n v="45"/>
    <s v="Female"/>
    <s v="Home &amp; Kitchen"/>
    <s v="Usha Iron"/>
    <n v="4"/>
    <n v="2539"/>
    <x v="6"/>
    <s v="U.P.I"/>
    <x v="0"/>
    <x v="0"/>
    <n v="30468"/>
    <x v="2"/>
    <x v="2"/>
    <x v="3"/>
    <s v="Female"/>
    <x v="4"/>
  </r>
  <r>
    <s v="ORD20947"/>
    <d v="2023-09-28T00:00:00"/>
    <s v="Lakshmi Krishnan"/>
    <n v="19"/>
    <s v="Female"/>
    <s v="Electronics"/>
    <s v="Lenovo Tab M10"/>
    <n v="2"/>
    <n v="17000"/>
    <x v="2"/>
    <s v="Card"/>
    <x v="2"/>
    <x v="2"/>
    <n v="30600"/>
    <x v="0"/>
    <x v="0"/>
    <x v="0"/>
    <s v="Female"/>
    <x v="0"/>
  </r>
  <r>
    <s v="ORD20517"/>
    <d v="2023-09-03T00:00:00"/>
    <s v="Lakshmi Krishnan"/>
    <n v="61"/>
    <s v="Female"/>
    <s v="Electronics"/>
    <s v="Realme Smartphone"/>
    <n v="2"/>
    <n v="15300"/>
    <x v="0"/>
    <s v="COD"/>
    <x v="2"/>
    <x v="2"/>
    <n v="30600"/>
    <x v="3"/>
    <x v="3"/>
    <x v="0"/>
    <s v="Female"/>
    <x v="0"/>
  </r>
  <r>
    <s v="ORD20438"/>
    <s v="Null"/>
    <s v="Priya Patel"/>
    <n v="28"/>
    <s v="Female"/>
    <s v="Home &amp; Kitchen"/>
    <s v="Prestige Pressure Cooker"/>
    <n v="7"/>
    <n v="4923"/>
    <x v="2"/>
    <s v="UPI"/>
    <x v="0"/>
    <x v="0"/>
    <n v="31014.9"/>
    <x v="1"/>
    <x v="1"/>
    <x v="3"/>
    <s v="Female"/>
    <x v="2"/>
  </r>
  <r>
    <s v="ORD20093"/>
    <d v="2023-10-16T00:00:00"/>
    <s v="Pooja Nair"/>
    <n v="30"/>
    <s v="Mle"/>
    <s v="Electronics"/>
    <s v="Whirlpool Refrigerator"/>
    <n v="1"/>
    <n v="31400"/>
    <x v="0"/>
    <s v="COD"/>
    <x v="2"/>
    <x v="2"/>
    <n v="31400"/>
    <x v="3"/>
    <x v="3"/>
    <x v="0"/>
    <s v="Other"/>
    <x v="6"/>
  </r>
  <r>
    <s v="ORD20632"/>
    <d v="2023-10-07T00:00:00"/>
    <s v="Sanjay Dubey"/>
    <n v="46"/>
    <s v="Female"/>
    <s v="Home &amp; Kitchen"/>
    <s v="Orient Ceiling Fan"/>
    <n v="10"/>
    <n v="3317"/>
    <x v="4"/>
    <s v="UPI"/>
    <x v="1"/>
    <x v="1"/>
    <n v="31511.5"/>
    <x v="2"/>
    <x v="2"/>
    <x v="3"/>
    <s v="Female"/>
    <x v="6"/>
  </r>
  <r>
    <s v="ORD20492"/>
    <s v="Null"/>
    <s v="Rajan Bhatt"/>
    <n v="32"/>
    <s v="Female"/>
    <s v="Home &amp; Kitchen"/>
    <s v="Philips Air Fryer"/>
    <n v="8"/>
    <n v="5339"/>
    <x v="6"/>
    <s v="Cash"/>
    <x v="1"/>
    <x v="1"/>
    <n v="32034"/>
    <x v="3"/>
    <x v="3"/>
    <x v="3"/>
    <s v="Female"/>
    <x v="2"/>
  </r>
  <r>
    <s v="ORD20795"/>
    <s v="Null"/>
    <s v="Manoj Chauhan"/>
    <n v="43"/>
    <s v="Female"/>
    <s v="Home &amp; Kitchen"/>
    <s v="Tupperware Set"/>
    <n v="10"/>
    <n v="3817"/>
    <x v="5"/>
    <s v="COD"/>
    <x v="0"/>
    <x v="0"/>
    <n v="32444.5"/>
    <x v="1"/>
    <x v="1"/>
    <x v="3"/>
    <s v="Female"/>
    <x v="2"/>
  </r>
  <r>
    <s v="ORD20583"/>
    <d v="2023-01-30T00:00:00"/>
    <s v="Nitin Kapoor"/>
    <n v="37"/>
    <s v="Male"/>
    <s v="Electronics"/>
    <s v="Lenovo Tab M10"/>
    <n v="2"/>
    <n v="17200"/>
    <x v="4"/>
    <s v="UPI"/>
    <x v="0"/>
    <x v="0"/>
    <n v="32680"/>
    <x v="0"/>
    <x v="0"/>
    <x v="0"/>
    <s v="Male"/>
    <x v="9"/>
  </r>
  <r>
    <s v="ORD20635"/>
    <s v="Null"/>
    <s v="Deepika Rao"/>
    <n v="33"/>
    <s v="Male"/>
    <s v="Home &amp; Kitchen"/>
    <s v="Godrej Almirah"/>
    <n v="5"/>
    <n v="9478"/>
    <x v="10"/>
    <s v="Cash"/>
    <x v="0"/>
    <x v="0"/>
    <n v="33173"/>
    <x v="2"/>
    <x v="2"/>
    <x v="3"/>
    <s v="Male"/>
    <x v="2"/>
  </r>
  <r>
    <s v="ORD20477"/>
    <d v="2023-10-14T00:00:00"/>
    <s v="Nikhil Bose"/>
    <n v="58"/>
    <s v="Female"/>
    <s v="Home &amp; Kitchen"/>
    <s v="Philips Air Fryer"/>
    <n v="4"/>
    <n v="9222"/>
    <x v="2"/>
    <s v="Card"/>
    <x v="0"/>
    <x v="0"/>
    <n v="33199.199999999997"/>
    <x v="0"/>
    <x v="0"/>
    <x v="3"/>
    <s v="Female"/>
    <x v="6"/>
  </r>
  <r>
    <s v="ORD20907"/>
    <d v="2023-06-15T00:00:00"/>
    <s v="Arjun Pillai"/>
    <n v="58"/>
    <s v="Female"/>
    <s v="Electronics"/>
    <s v="LG Washing Machine"/>
    <n v="1"/>
    <n v="33400"/>
    <x v="0"/>
    <s v="Card"/>
    <x v="0"/>
    <x v="0"/>
    <n v="33400"/>
    <x v="3"/>
    <x v="3"/>
    <x v="0"/>
    <s v="Female"/>
    <x v="3"/>
  </r>
  <r>
    <s v="ORD20514"/>
    <d v="2023-04-06T00:00:00"/>
    <s v="Null"/>
    <n v="26"/>
    <s v="Female"/>
    <s v="Elctronics"/>
    <s v="Realme Smartphone"/>
    <n v="2"/>
    <n v="16700"/>
    <x v="13"/>
    <s v="Card"/>
    <x v="0"/>
    <x v="0"/>
    <n v="33400"/>
    <x v="3"/>
    <x v="3"/>
    <x v="0"/>
    <s v="Female"/>
    <x v="11"/>
  </r>
  <r>
    <s v="ORD20862"/>
    <d v="2023-02-11T00:00:00"/>
    <s v="Null"/>
    <n v="64"/>
    <s v="Female"/>
    <s v="Electronics"/>
    <s v="Xiaomi Smart TV 32&quot;"/>
    <n v="2"/>
    <n v="18600"/>
    <x v="2"/>
    <s v="COD"/>
    <x v="0"/>
    <x v="0"/>
    <n v="33480"/>
    <x v="3"/>
    <x v="3"/>
    <x v="0"/>
    <s v="Female"/>
    <x v="12"/>
  </r>
  <r>
    <s v="ORD20225"/>
    <d v="2023-09-03T00:00:00"/>
    <s v="Pooja Nair"/>
    <n v="43"/>
    <s v="Female"/>
    <s v="Beauty"/>
    <s v="Mamaearth Face Wash"/>
    <n v="99"/>
    <n v="426"/>
    <x v="7"/>
    <s v="UPI"/>
    <x v="1"/>
    <x v="1"/>
    <n v="33739.199999999997"/>
    <x v="9"/>
    <x v="3"/>
    <x v="2"/>
    <s v="Female"/>
    <x v="0"/>
  </r>
  <r>
    <s v="ORD20461"/>
    <d v="2023-04-05T00:00:00"/>
    <s v="Sneha  Iyer"/>
    <n v="28"/>
    <s v="Female"/>
    <s v="Home &amp; Kitchen"/>
    <s v="Godrej Almirah"/>
    <n v="6"/>
    <n v="9379"/>
    <x v="1"/>
    <s v="UPI"/>
    <x v="0"/>
    <x v="0"/>
    <n v="33764.400000000001"/>
    <x v="3"/>
    <x v="3"/>
    <x v="3"/>
    <s v="Female"/>
    <x v="11"/>
  </r>
  <r>
    <s v="ORD20653"/>
    <d v="2023-07-19T00:00:00"/>
    <s v="Null"/>
    <n v="35"/>
    <s v="Female"/>
    <s v="Home &amp; Kitchen"/>
    <s v="Godrej Almirah"/>
    <n v="4"/>
    <n v="8496"/>
    <x v="0"/>
    <s v="Card"/>
    <x v="0"/>
    <x v="0"/>
    <n v="33984"/>
    <x v="1"/>
    <x v="1"/>
    <x v="3"/>
    <s v="Female"/>
    <x v="10"/>
  </r>
  <r>
    <s v="ORD20498"/>
    <d v="2023-10-18T00:00:00"/>
    <s v="Null"/>
    <n v="19"/>
    <s v="Female"/>
    <s v="Beauty"/>
    <s v="Forest Essentials Cream"/>
    <n v="10"/>
    <n v="3787"/>
    <x v="2"/>
    <s v="Cash"/>
    <x v="0"/>
    <x v="0"/>
    <n v="34083"/>
    <x v="2"/>
    <x v="2"/>
    <x v="2"/>
    <s v="Female"/>
    <x v="6"/>
  </r>
  <r>
    <s v="ORD20841"/>
    <d v="2023-11-12T00:00:00"/>
    <s v="Null"/>
    <n v="33"/>
    <s v="Male"/>
    <s v="Electronics"/>
    <s v="Realme Smartphone"/>
    <n v="2"/>
    <n v="18000"/>
    <x v="4"/>
    <s v="COD"/>
    <x v="1"/>
    <x v="1"/>
    <n v="34200"/>
    <x v="0"/>
    <x v="0"/>
    <x v="0"/>
    <s v="Male"/>
    <x v="1"/>
  </r>
  <r>
    <s v="ORD20684"/>
    <d v="2023-10-26T00:00:00"/>
    <s v="Karthik Rajan"/>
    <n v="22"/>
    <s v="Mle"/>
    <s v="Electronics"/>
    <s v="LG Washing Machine"/>
    <n v="1"/>
    <n v="36100"/>
    <x v="4"/>
    <s v="Card"/>
    <x v="0"/>
    <x v="0"/>
    <n v="34295"/>
    <x v="1"/>
    <x v="1"/>
    <x v="0"/>
    <s v="Other"/>
    <x v="6"/>
  </r>
  <r>
    <s v="ORD20563"/>
    <d v="2023-12-19T00:00:00"/>
    <s v="Smita Desai"/>
    <n v="37"/>
    <s v="M"/>
    <s v="Electronics"/>
    <s v="Lenovo Tab M10"/>
    <n v="2"/>
    <n v="17200"/>
    <x v="13"/>
    <s v="UPI"/>
    <x v="0"/>
    <x v="0"/>
    <n v="34400"/>
    <x v="3"/>
    <x v="3"/>
    <x v="0"/>
    <s v="Male"/>
    <x v="4"/>
  </r>
  <r>
    <s v="ORD20877"/>
    <d v="2023-08-12T00:00:00"/>
    <s v="Manish Agarwal"/>
    <n v="36"/>
    <s v="Male"/>
    <s v="Electronics"/>
    <s v="Xiaomi Smart TV 32&quot;"/>
    <n v="2"/>
    <n v="20300"/>
    <x v="5"/>
    <s v="COD"/>
    <x v="2"/>
    <x v="2"/>
    <n v="34510"/>
    <x v="2"/>
    <x v="2"/>
    <x v="0"/>
    <s v="Male"/>
    <x v="5"/>
  </r>
  <r>
    <s v="ORD20084"/>
    <s v="Null"/>
    <s v="Shreya Pandey"/>
    <n v="40"/>
    <s v="Male"/>
    <s v="Electronics"/>
    <s v="LG Washing Machine"/>
    <n v="2"/>
    <n v="34700"/>
    <x v="8"/>
    <s v="CashOnDelivery"/>
    <x v="2"/>
    <x v="2"/>
    <n v="34700"/>
    <x v="1"/>
    <x v="1"/>
    <x v="0"/>
    <s v="Male"/>
    <x v="2"/>
  </r>
  <r>
    <s v="ORD20465"/>
    <d v="2023-11-29T00:00:00"/>
    <s v="Rajan Bhatt"/>
    <n v="35"/>
    <s v="Male"/>
    <s v="Electronics"/>
    <s v="Xiaomi Smart TV 32&quot;"/>
    <n v="2"/>
    <n v="19300"/>
    <x v="2"/>
    <s v="UPI"/>
    <x v="0"/>
    <x v="0"/>
    <n v="34740"/>
    <x v="2"/>
    <x v="2"/>
    <x v="0"/>
    <s v="Male"/>
    <x v="1"/>
  </r>
  <r>
    <s v="ORD20788"/>
    <d v="2023-11-19T00:00:00"/>
    <s v="Kiran Malhotra"/>
    <n v="60"/>
    <s v="Female"/>
    <s v="electrnics"/>
    <s v="Samsung Smart TV 43&quot;"/>
    <n v="1"/>
    <n v="49700"/>
    <x v="10"/>
    <s v="Cash"/>
    <x v="0"/>
    <x v="0"/>
    <n v="34790"/>
    <x v="3"/>
    <x v="3"/>
    <x v="0"/>
    <s v="Female"/>
    <x v="1"/>
  </r>
  <r>
    <s v="ORD20129"/>
    <d v="2023-12-31T00:00:00"/>
    <s v="Neha Mishra"/>
    <n v="44"/>
    <s v="Male"/>
    <s v="Hme &amp; Kitchen"/>
    <s v="Hawkins Cookware Set"/>
    <n v="7"/>
    <n v="4984"/>
    <x v="10"/>
    <s v="UPI"/>
    <x v="0"/>
    <x v="0"/>
    <n v="34888"/>
    <x v="3"/>
    <x v="3"/>
    <x v="3"/>
    <s v="Male"/>
    <x v="4"/>
  </r>
  <r>
    <s v="ORD20248"/>
    <d v="2023-01-09T00:00:00"/>
    <s v="Sneha Iyer"/>
    <n v="46"/>
    <s v="Male"/>
    <s v="Electronics"/>
    <s v="Samsung Smart TV 43&quot;"/>
    <n v="1"/>
    <n v="38900"/>
    <x v="2"/>
    <s v="Cash"/>
    <x v="0"/>
    <x v="0"/>
    <n v="35010"/>
    <x v="1"/>
    <x v="1"/>
    <x v="0"/>
    <s v="Male"/>
    <x v="9"/>
  </r>
  <r>
    <s v="ORD20245"/>
    <s v="Null"/>
    <s v="Pooja Nair"/>
    <n v="29"/>
    <s v="Male"/>
    <s v="Electronics"/>
    <s v="Lenovo Tab M10"/>
    <n v="2"/>
    <n v="22000"/>
    <x v="7"/>
    <s v="UPI"/>
    <x v="0"/>
    <x v="0"/>
    <n v="35200"/>
    <x v="1"/>
    <x v="1"/>
    <x v="0"/>
    <s v="Male"/>
    <x v="2"/>
  </r>
  <r>
    <s v="ORD20182"/>
    <d v="2023-05-16T00:00:00"/>
    <s v="Gaurav Bansal"/>
    <n v="200"/>
    <s v="Male"/>
    <s v="Home &amp; Kitchen"/>
    <s v="Bajaj Mixer Grinder"/>
    <n v="9"/>
    <n v="4606"/>
    <x v="5"/>
    <s v="Cash"/>
    <x v="1"/>
    <x v="1"/>
    <n v="35235.9"/>
    <x v="0"/>
    <x v="0"/>
    <x v="3"/>
    <s v="Male"/>
    <x v="8"/>
  </r>
  <r>
    <s v="ORD20018"/>
    <d v="2023-09-09T00:00:00"/>
    <s v="Pranav Kulkarni"/>
    <n v="63"/>
    <s v="Male"/>
    <s v="Home &amp; Kitchen"/>
    <s v="Pigeon Induction Cooktop"/>
    <n v="10"/>
    <n v="3775"/>
    <x v="4"/>
    <s v="UPI"/>
    <x v="0"/>
    <x v="0"/>
    <n v="35862.5"/>
    <x v="2"/>
    <x v="2"/>
    <x v="3"/>
    <s v="Male"/>
    <x v="0"/>
  </r>
  <r>
    <s v="ORD20177"/>
    <d v="2023-05-17T00:00:00"/>
    <s v="Shweta Ghosh"/>
    <n v="38"/>
    <s v="Female"/>
    <s v="Home &amp; Kitchen"/>
    <s v="Hawkins Cookware Set"/>
    <n v="6"/>
    <n v="6051"/>
    <x v="0"/>
    <s v="Card"/>
    <x v="1"/>
    <x v="1"/>
    <n v="36306"/>
    <x v="12"/>
    <x v="1"/>
    <x v="3"/>
    <s v="Female"/>
    <x v="8"/>
  </r>
  <r>
    <s v="ORD20085"/>
    <d v="2023-11-21T00:00:00"/>
    <s v="RAHUL GUPTA"/>
    <n v="34"/>
    <s v="Female"/>
    <s v="Home &amp; Kitchen"/>
    <s v="Philips Air Fryer"/>
    <n v="7"/>
    <n v="6507"/>
    <x v="7"/>
    <s v="Cash"/>
    <x v="0"/>
    <x v="0"/>
    <n v="36439.199999999997"/>
    <x v="1"/>
    <x v="1"/>
    <x v="3"/>
    <s v="Female"/>
    <x v="1"/>
  </r>
  <r>
    <s v="ORD20845"/>
    <s v="Null"/>
    <s v="Rekha Sinha"/>
    <n v="53"/>
    <s v="Male"/>
    <s v="Electronics"/>
    <s v="LG Washing Machine"/>
    <n v="2"/>
    <n v="26100"/>
    <x v="10"/>
    <s v="Card"/>
    <x v="1"/>
    <x v="1"/>
    <n v="36540"/>
    <x v="2"/>
    <x v="2"/>
    <x v="0"/>
    <s v="Male"/>
    <x v="2"/>
  </r>
  <r>
    <s v="ORD20315"/>
    <d v="2023-12-28T00:00:00"/>
    <s v="Sunita Pandey"/>
    <n v="20"/>
    <s v="Male"/>
    <s v="Electronics"/>
    <s v="Samsung Smart TV 43&quot;"/>
    <n v="1"/>
    <n v="40800"/>
    <x v="2"/>
    <s v="UPI"/>
    <x v="0"/>
    <x v="0"/>
    <n v="36720"/>
    <x v="0"/>
    <x v="0"/>
    <x v="0"/>
    <s v="Male"/>
    <x v="4"/>
  </r>
  <r>
    <s v="ORD20663"/>
    <s v="Null"/>
    <s v="Pooja Nair"/>
    <n v="44"/>
    <s v="Female"/>
    <s v="Electronics"/>
    <s v="Whirlpool Refrigerator"/>
    <n v="1"/>
    <n v="49100"/>
    <x v="6"/>
    <s v="UPI"/>
    <x v="3"/>
    <x v="0"/>
    <n v="36825"/>
    <x v="0"/>
    <x v="0"/>
    <x v="0"/>
    <s v="Female"/>
    <x v="2"/>
  </r>
  <r>
    <s v="ORD20096"/>
    <s v="Null"/>
    <s v="Geeta Thakur"/>
    <n v="60"/>
    <s v="Male"/>
    <s v="Electronics"/>
    <s v="LG Washing Machine"/>
    <n v="2"/>
    <n v="31600"/>
    <x v="1"/>
    <s v="UPI"/>
    <x v="0"/>
    <x v="0"/>
    <n v="37920"/>
    <x v="1"/>
    <x v="1"/>
    <x v="0"/>
    <s v="Male"/>
    <x v="2"/>
  </r>
  <r>
    <s v="ORD20552"/>
    <d v="2023-03-10T00:00:00"/>
    <s v="Null"/>
    <n v="23"/>
    <s v="Other"/>
    <s v="Electronics"/>
    <s v="LG Washing Machine"/>
    <n v="1"/>
    <n v="40200"/>
    <x v="4"/>
    <s v="UPI"/>
    <x v="0"/>
    <x v="0"/>
    <n v="38190"/>
    <x v="1"/>
    <x v="1"/>
    <x v="0"/>
    <s v="Other"/>
    <x v="7"/>
  </r>
  <r>
    <s v="ORD20773"/>
    <s v="Null"/>
    <s v="Gaurav Bansal"/>
    <n v="37"/>
    <s v="Female"/>
    <s v="Electronics"/>
    <s v="Samsung Smart TV 43&quot;"/>
    <n v="1"/>
    <n v="43200"/>
    <x v="2"/>
    <s v="COD"/>
    <x v="0"/>
    <x v="0"/>
    <n v="38880"/>
    <x v="1"/>
    <x v="1"/>
    <x v="0"/>
    <s v="Female"/>
    <x v="2"/>
  </r>
  <r>
    <s v="ORD20298"/>
    <d v="2023-02-20T00:00:00"/>
    <s v="Kavya Reddy"/>
    <n v="27"/>
    <s v="Female"/>
    <s v="Beauty"/>
    <s v="Forest Essentials Cream"/>
    <n v="10"/>
    <n v="4869"/>
    <x v="7"/>
    <s v="COD"/>
    <x v="0"/>
    <x v="0"/>
    <n v="38952"/>
    <x v="3"/>
    <x v="3"/>
    <x v="2"/>
    <s v="Female"/>
    <x v="12"/>
  </r>
  <r>
    <s v="ORD20686"/>
    <d v="2023-03-05T00:00:00"/>
    <s v="Null"/>
    <n v="45"/>
    <s v="Male"/>
    <s v="Electronics"/>
    <s v="Samsung Smart TV 43&quot;"/>
    <n v="1"/>
    <n v="49500"/>
    <x v="7"/>
    <s v="COD"/>
    <x v="0"/>
    <x v="0"/>
    <n v="39600"/>
    <x v="1"/>
    <x v="1"/>
    <x v="0"/>
    <s v="Male"/>
    <x v="7"/>
  </r>
  <r>
    <s v="ORD20228"/>
    <s v="Null"/>
    <s v="Vikas Saxena"/>
    <n v="30"/>
    <s v="Male"/>
    <s v="Electronics"/>
    <s v="Samsung Smart TV 43&quot;"/>
    <n v="1"/>
    <n v="44200"/>
    <x v="2"/>
    <s v="UPI"/>
    <x v="2"/>
    <x v="2"/>
    <n v="39780"/>
    <x v="2"/>
    <x v="2"/>
    <x v="0"/>
    <s v="Male"/>
    <x v="2"/>
  </r>
  <r>
    <s v="ORD20296"/>
    <s v="Null"/>
    <s v="Vikram Mehta"/>
    <n v="150"/>
    <s v="Male"/>
    <s v="Electonics"/>
    <s v="Samsung Smart TV 43&quot;"/>
    <n v="1"/>
    <n v="40100"/>
    <x v="0"/>
    <s v="Cash"/>
    <x v="0"/>
    <x v="0"/>
    <n v="40100"/>
    <x v="0"/>
    <x v="0"/>
    <x v="0"/>
    <s v="Male"/>
    <x v="2"/>
  </r>
  <r>
    <s v="ORD20864"/>
    <d v="2023-03-20T00:00:00"/>
    <s v="Vikram Mehta"/>
    <n v="44"/>
    <s v="Female"/>
    <s v="Electronics"/>
    <s v="Whirlpool Refrigerator"/>
    <n v="1"/>
    <n v="40500"/>
    <x v="0"/>
    <s v="Cash"/>
    <x v="0"/>
    <x v="0"/>
    <n v="40500"/>
    <x v="3"/>
    <x v="3"/>
    <x v="0"/>
    <s v="Female"/>
    <x v="7"/>
  </r>
  <r>
    <s v="ORD20819"/>
    <s v="Null"/>
    <s v="Pooja Nair"/>
    <n v="48"/>
    <s v="Female"/>
    <s v="Electronics"/>
    <s v="Canon DSLR Camera"/>
    <n v="1"/>
    <n v="42700"/>
    <x v="4"/>
    <s v="Crdit Card"/>
    <x v="2"/>
    <x v="2"/>
    <n v="40565"/>
    <x v="1"/>
    <x v="1"/>
    <x v="0"/>
    <s v="Female"/>
    <x v="2"/>
  </r>
  <r>
    <s v="ORD20576"/>
    <s v="Null"/>
    <s v="Karthik Rajan"/>
    <n v="26"/>
    <s v="Female"/>
    <s v="Home &amp; Kitchen"/>
    <s v="Milton Steel Bottles"/>
    <n v="9"/>
    <n v="502590"/>
    <x v="2"/>
    <s v="COD"/>
    <x v="0"/>
    <x v="0"/>
    <n v="40709"/>
    <x v="4"/>
    <x v="1"/>
    <x v="3"/>
    <s v="Female"/>
    <x v="2"/>
  </r>
  <r>
    <s v="ORD20850"/>
    <d v="2023-12-19T00:00:00"/>
    <s v="Null"/>
    <n v="63"/>
    <s v="Male"/>
    <s v="Electronics"/>
    <s v="Realme Smartphone"/>
    <n v="2"/>
    <n v="21100"/>
    <x v="0"/>
    <s v="Cash"/>
    <x v="7"/>
    <x v="2"/>
    <n v="42200"/>
    <x v="2"/>
    <x v="2"/>
    <x v="0"/>
    <s v="Male"/>
    <x v="4"/>
  </r>
  <r>
    <s v="ORD20600"/>
    <d v="2023-03-06T00:00:00"/>
    <s v="Rajan Bhatt"/>
    <n v="27"/>
    <s v="Female"/>
    <s v="Electronics"/>
    <s v="Xiaomi Smart TV 32&quot;"/>
    <n v="2"/>
    <n v="21300"/>
    <x v="0"/>
    <s v="Card"/>
    <x v="0"/>
    <x v="0"/>
    <n v="42600"/>
    <x v="0"/>
    <x v="0"/>
    <x v="0"/>
    <s v="Female"/>
    <x v="7"/>
  </r>
  <r>
    <s v="ORD20295"/>
    <s v="Null"/>
    <s v="Null"/>
    <n v="48"/>
    <s v="Female"/>
    <s v="Home &amp; Kitchen"/>
    <s v="Philips Air Fryer"/>
    <n v="8"/>
    <n v="5326"/>
    <x v="2"/>
    <s v="COD"/>
    <x v="0"/>
    <x v="0"/>
    <n v="42608"/>
    <x v="3"/>
    <x v="3"/>
    <x v="3"/>
    <s v="Female"/>
    <x v="2"/>
  </r>
  <r>
    <s v="ORD20852"/>
    <d v="2023-02-02T00:00:00"/>
    <s v="Shweta Ghosh"/>
    <n v="47"/>
    <s v="Other"/>
    <s v="Home &amp; Kitchen"/>
    <s v="Prestige Pressure Cooker"/>
    <n v="99"/>
    <n v="4788"/>
    <x v="2"/>
    <s v="UPI"/>
    <x v="2"/>
    <x v="2"/>
    <n v="42660.800000000003"/>
    <x v="3"/>
    <x v="3"/>
    <x v="3"/>
    <s v="Other"/>
    <x v="12"/>
  </r>
  <r>
    <s v="ORD20411"/>
    <d v="2023-11-27T00:00:00"/>
    <s v="Arjun Pillai"/>
    <n v="43"/>
    <s v="Male"/>
    <s v="Home &amp; Kitchen"/>
    <s v="Orient Ceiling Fan"/>
    <n v="9"/>
    <n v="4831"/>
    <x v="0"/>
    <s v="Card"/>
    <x v="2"/>
    <x v="2"/>
    <n v="43479"/>
    <x v="3"/>
    <x v="3"/>
    <x v="3"/>
    <s v="Male"/>
    <x v="1"/>
  </r>
  <r>
    <s v="ORD20473"/>
    <d v="2023-11-09T00:00:00"/>
    <s v="Rekha Sinha"/>
    <n v="32"/>
    <s v="Female"/>
    <s v="Home &amp; Kitchen"/>
    <s v="Hawkins Cookware Set"/>
    <n v="9"/>
    <n v="6940"/>
    <x v="10"/>
    <s v="Cash"/>
    <x v="2"/>
    <x v="2"/>
    <n v="43722"/>
    <x v="3"/>
    <x v="3"/>
    <x v="3"/>
    <s v="Female"/>
    <x v="1"/>
  </r>
  <r>
    <s v="ORD20780"/>
    <s v="Null"/>
    <s v="Rekha Sinha"/>
    <n v="37"/>
    <s v="Male"/>
    <s v="Home &amp; Kitchen"/>
    <s v="Orient Ceiling Fan"/>
    <n v="6"/>
    <n v="734488"/>
    <x v="0"/>
    <s v="Cash"/>
    <x v="0"/>
    <x v="0"/>
    <n v="44069"/>
    <x v="3"/>
    <x v="3"/>
    <x v="3"/>
    <s v="Male"/>
    <x v="2"/>
  </r>
  <r>
    <s v="ORD20708"/>
    <d v="2023-10-07T00:00:00"/>
    <s v="Rekha Sinha"/>
    <n v="29"/>
    <s v="Female"/>
    <s v="Electronics"/>
    <s v="Whirlpool Refrigerator"/>
    <n v="1"/>
    <n v="52000"/>
    <x v="5"/>
    <s v="UPI"/>
    <x v="0"/>
    <x v="0"/>
    <n v="44200"/>
    <x v="0"/>
    <x v="0"/>
    <x v="0"/>
    <s v="Female"/>
    <x v="6"/>
  </r>
  <r>
    <s v="ORD20376"/>
    <d v="2023-06-29T00:00:00"/>
    <s v="Deepika Rao"/>
    <n v="64"/>
    <s v="Female"/>
    <s v="Electronics"/>
    <s v="Lenovo Tab M10"/>
    <n v="2"/>
    <n v="22400"/>
    <x v="0"/>
    <s v="COD"/>
    <x v="2"/>
    <x v="2"/>
    <n v="44800"/>
    <x v="2"/>
    <x v="2"/>
    <x v="0"/>
    <s v="Female"/>
    <x v="3"/>
  </r>
  <r>
    <s v="ORD20937"/>
    <s v="Null"/>
    <s v="Shweta Ghosh"/>
    <n v="40"/>
    <s v="Male"/>
    <s v="Home &amp; Kitchen"/>
    <s v="Godrej Almirah"/>
    <n v="7"/>
    <n v="8092"/>
    <x v="7"/>
    <s v="UPI"/>
    <x v="1"/>
    <x v="1"/>
    <n v="45315.199999999997"/>
    <x v="0"/>
    <x v="0"/>
    <x v="3"/>
    <s v="Male"/>
    <x v="2"/>
  </r>
  <r>
    <s v="ORD20449"/>
    <d v="2023-02-04T00:00:00"/>
    <s v="Tanvi Kulkarni"/>
    <n v="36"/>
    <s v="Male"/>
    <s v="Elctronics"/>
    <s v="Lenovo Tab M10"/>
    <n v="2"/>
    <n v="23900"/>
    <x v="4"/>
    <s v="Card"/>
    <x v="0"/>
    <x v="0"/>
    <n v="45410"/>
    <x v="0"/>
    <x v="0"/>
    <x v="0"/>
    <s v="Male"/>
    <x v="12"/>
  </r>
  <r>
    <s v="ORD20942"/>
    <d v="2023-07-21T00:00:00"/>
    <s v="Null"/>
    <n v="19"/>
    <s v="Male"/>
    <s v="Home&amp;Kitchen"/>
    <s v="Godrej Almirah"/>
    <n v="7"/>
    <n v="685509"/>
    <x v="4"/>
    <s v="Card"/>
    <x v="0"/>
    <x v="0"/>
    <n v="45586.85"/>
    <x v="3"/>
    <x v="3"/>
    <x v="3"/>
    <s v="Male"/>
    <x v="10"/>
  </r>
  <r>
    <s v="ORD20068"/>
    <d v="2023-07-13T00:00:00"/>
    <s v="Null"/>
    <n v="63"/>
    <s v="Male"/>
    <s v="Electronics"/>
    <s v="Samsung Smart TV 43&quot;"/>
    <n v="1"/>
    <n v="48100"/>
    <x v="4"/>
    <s v="UPI"/>
    <x v="0"/>
    <x v="0"/>
    <n v="45695"/>
    <x v="0"/>
    <x v="0"/>
    <x v="0"/>
    <s v="Male"/>
    <x v="10"/>
  </r>
  <r>
    <s v="ORD20317"/>
    <s v="Null"/>
    <s v="Neha Mishra"/>
    <n v="24"/>
    <s v="Male"/>
    <s v="Beauty"/>
    <s v="Forest Essentials Cream"/>
    <n v="10"/>
    <n v="4604"/>
    <x v="0"/>
    <s v="Card"/>
    <x v="0"/>
    <x v="0"/>
    <n v="46040"/>
    <x v="1"/>
    <x v="1"/>
    <x v="2"/>
    <s v="Male"/>
    <x v="2"/>
  </r>
  <r>
    <s v="ORD20830"/>
    <d v="2023-12-21T00:00:00"/>
    <s v="Shweta Ghosh"/>
    <n v="19"/>
    <s v="Female"/>
    <s v="clothing"/>
    <s v="Raymond Suit"/>
    <n v="2"/>
    <n v="584495"/>
    <x v="13"/>
    <s v="UPI"/>
    <x v="0"/>
    <x v="0"/>
    <n v="46759"/>
    <x v="0"/>
    <x v="0"/>
    <x v="1"/>
    <s v="Female"/>
    <x v="4"/>
  </r>
  <r>
    <s v="ORD20610"/>
    <s v="Null"/>
    <s v="Meera Nambiar"/>
    <n v="32"/>
    <s v="Female"/>
    <s v="Home &amp; Kitchen"/>
    <s v="Hawkins Cookware Set"/>
    <n v="6"/>
    <n v="7803"/>
    <x v="4"/>
    <s v="Card"/>
    <x v="0"/>
    <x v="0"/>
    <n v="46818"/>
    <x v="10"/>
    <x v="2"/>
    <x v="3"/>
    <s v="Female"/>
    <x v="2"/>
  </r>
  <r>
    <s v="ORD20519"/>
    <d v="2023-11-15T00:00:00"/>
    <s v="Rahull Gupta"/>
    <n v="61"/>
    <s v="Female"/>
    <s v="Home &amp; Kitchen"/>
    <s v="Godrej Almirah"/>
    <n v="6"/>
    <n v="8251"/>
    <x v="4"/>
    <s v="UPI"/>
    <x v="0"/>
    <x v="0"/>
    <n v="47030.7"/>
    <x v="2"/>
    <x v="2"/>
    <x v="3"/>
    <s v="Female"/>
    <x v="1"/>
  </r>
  <r>
    <s v="ORD20695"/>
    <d v="2023-05-08T00:00:00"/>
    <s v="Suresh Joshi"/>
    <n v="34"/>
    <s v="Female"/>
    <s v="Home &amp; Kitchen"/>
    <s v="Prestige Pressure Cooker"/>
    <n v="99"/>
    <n v="4762"/>
    <x v="0"/>
    <s v="Card"/>
    <x v="0"/>
    <x v="0"/>
    <n v="47143"/>
    <x v="1"/>
    <x v="1"/>
    <x v="3"/>
    <s v="Female"/>
    <x v="8"/>
  </r>
  <r>
    <s v="ORD20608"/>
    <d v="2023-05-02T00:00:00"/>
    <s v="Neha Mishra"/>
    <n v="47"/>
    <s v="Male"/>
    <s v="Electronics"/>
    <s v="boAt Earbuds"/>
    <n v="2"/>
    <n v="473197"/>
    <x v="5"/>
    <s v="COD"/>
    <x v="4"/>
    <x v="1"/>
    <n v="47319"/>
    <x v="0"/>
    <x v="0"/>
    <x v="0"/>
    <s v="Male"/>
    <x v="8"/>
  </r>
  <r>
    <s v="ORD20272"/>
    <s v="Null"/>
    <s v="Nikhil Bose"/>
    <m/>
    <s v="Male"/>
    <s v="Electronics"/>
    <s v="Samsung Smart TV 43&quot;"/>
    <n v="1"/>
    <n v="47500"/>
    <x v="0"/>
    <s v="UPI"/>
    <x v="0"/>
    <x v="0"/>
    <n v="47500"/>
    <x v="1"/>
    <x v="1"/>
    <x v="0"/>
    <s v="Male"/>
    <x v="2"/>
  </r>
  <r>
    <s v="ORD20526"/>
    <d v="2023-11-24T00:00:00"/>
    <s v="Deepika Rao"/>
    <n v="49"/>
    <s v="Female"/>
    <s v="Electronics"/>
    <s v="Xiaomi Smart TV 32&quot;"/>
    <n v="2"/>
    <n v="25100"/>
    <x v="4"/>
    <s v="COD"/>
    <x v="0"/>
    <x v="0"/>
    <n v="47690"/>
    <x v="3"/>
    <x v="3"/>
    <x v="0"/>
    <s v="Female"/>
    <x v="1"/>
  </r>
  <r>
    <s v="ORD20881"/>
    <s v="Null"/>
    <s v="Nitin Kapoor"/>
    <n v="60"/>
    <s v="Male"/>
    <s v="Electronics"/>
    <s v="Whirlpool Refrigerator"/>
    <n v="1"/>
    <n v="53000"/>
    <x v="2"/>
    <s v="UPI"/>
    <x v="0"/>
    <x v="0"/>
    <n v="47700"/>
    <x v="3"/>
    <x v="3"/>
    <x v="0"/>
    <s v="Male"/>
    <x v="2"/>
  </r>
  <r>
    <s v="ORD20645"/>
    <d v="2023-11-10T00:00:00"/>
    <s v="Null"/>
    <n v="36"/>
    <s v="Male"/>
    <s v="Electronics"/>
    <s v="Whirlpool Refrigerator"/>
    <n v="1"/>
    <n v="47900"/>
    <x v="5"/>
    <s v="Card"/>
    <x v="0"/>
    <x v="0"/>
    <n v="47900"/>
    <x v="1"/>
    <x v="1"/>
    <x v="0"/>
    <s v="Male"/>
    <x v="1"/>
  </r>
  <r>
    <s v="ORD20138"/>
    <d v="2023-11-06T00:00:00"/>
    <s v="Nikhil Bose"/>
    <n v="24"/>
    <s v="Male"/>
    <s v="Electronics"/>
    <s v="Samsung Smart TV 43&quot;"/>
    <n v="1"/>
    <n v="48200"/>
    <x v="0"/>
    <s v="U.P.I"/>
    <x v="0"/>
    <x v="0"/>
    <n v="48200"/>
    <x v="3"/>
    <x v="3"/>
    <x v="0"/>
    <s v="Male"/>
    <x v="1"/>
  </r>
  <r>
    <s v="ORD20333"/>
    <s v="Null"/>
    <s v="Null"/>
    <n v="41"/>
    <s v="Male"/>
    <s v="Home &amp; Kitchen"/>
    <s v="Godrej Almirah"/>
    <n v="10"/>
    <n v="9793"/>
    <x v="8"/>
    <s v="Cash"/>
    <x v="3"/>
    <x v="0"/>
    <n v="48965"/>
    <x v="2"/>
    <x v="2"/>
    <x v="3"/>
    <s v="Male"/>
    <x v="2"/>
  </r>
  <r>
    <s v="ORD20772"/>
    <d v="2023-07-20T00:00:00"/>
    <s v="Geeta Thakur"/>
    <n v="34"/>
    <s v="Male"/>
    <s v="Electronics"/>
    <s v="LG Washing Machine"/>
    <n v="2"/>
    <n v="29000"/>
    <x v="5"/>
    <s v="Cash"/>
    <x v="1"/>
    <x v="1"/>
    <n v="49300"/>
    <x v="8"/>
    <x v="0"/>
    <x v="0"/>
    <s v="Male"/>
    <x v="10"/>
  </r>
  <r>
    <s v="ORD20445"/>
    <d v="2023-03-03T00:00:00"/>
    <s v="Manoj Chauhan"/>
    <n v="60"/>
    <s v="Female"/>
    <s v="Electronics"/>
    <s v="Whirlpool Refrigerator"/>
    <n v="2"/>
    <n v="49600"/>
    <x v="4"/>
    <s v="Cash"/>
    <x v="0"/>
    <x v="0"/>
    <n v="49600"/>
    <x v="0"/>
    <x v="0"/>
    <x v="0"/>
    <s v="Female"/>
    <x v="7"/>
  </r>
  <r>
    <s v="ORD20816"/>
    <s v="Null"/>
    <s v="Manoj Chauhan"/>
    <m/>
    <s v="Male"/>
    <s v="Elctronics"/>
    <s v="Lenovo Tab M10"/>
    <n v="2"/>
    <n v="24900"/>
    <x v="0"/>
    <s v="COD"/>
    <x v="0"/>
    <x v="0"/>
    <n v="49800"/>
    <x v="3"/>
    <x v="3"/>
    <x v="0"/>
    <s v="Male"/>
    <x v="2"/>
  </r>
  <r>
    <s v="ORD20599"/>
    <s v="Null"/>
    <s v="Sanjay Dubey"/>
    <n v="200"/>
    <s v="Female"/>
    <s v="Electronics"/>
    <s v="LG Washing Machine"/>
    <n v="2"/>
    <n v="28000"/>
    <x v="2"/>
    <s v="Cash"/>
    <x v="2"/>
    <x v="2"/>
    <n v="50400"/>
    <x v="3"/>
    <x v="3"/>
    <x v="0"/>
    <s v="Female"/>
    <x v="2"/>
  </r>
  <r>
    <s v="ORD20426"/>
    <d v="2023-10-31T00:00:00"/>
    <s v="Tanvi Kulkarni"/>
    <n v="60"/>
    <s v="Male"/>
    <s v="Hme &amp; Kitchen"/>
    <s v="Milton Steel Bottles"/>
    <n v="9"/>
    <n v="590057"/>
    <x v="4"/>
    <s v="COD"/>
    <x v="0"/>
    <x v="0"/>
    <n v="50449.35"/>
    <x v="0"/>
    <x v="0"/>
    <x v="3"/>
    <s v="Male"/>
    <x v="6"/>
  </r>
  <r>
    <s v="ORD20923"/>
    <d v="2023-07-27T00:00:00"/>
    <s v="Gaurav Bansal"/>
    <n v="26"/>
    <s v="Femal"/>
    <s v="Electroni cs"/>
    <s v="Samsung Smart TV 43&quot;"/>
    <n v="2"/>
    <n v="50800"/>
    <x v="3"/>
    <s v="Card"/>
    <x v="0"/>
    <x v="0"/>
    <n v="50800"/>
    <x v="1"/>
    <x v="1"/>
    <x v="0"/>
    <s v="Other"/>
    <x v="10"/>
  </r>
  <r>
    <s v="ORD20180"/>
    <d v="2023-06-06T00:00:00"/>
    <s v="Null"/>
    <n v="43"/>
    <s v="Female"/>
    <s v="Beauty"/>
    <s v="Dove Body Lotion"/>
    <n v="99"/>
    <n v="645"/>
    <x v="7"/>
    <s v="Card"/>
    <x v="0"/>
    <x v="0"/>
    <n v="51084"/>
    <x v="2"/>
    <x v="2"/>
    <x v="2"/>
    <s v="Female"/>
    <x v="3"/>
  </r>
  <r>
    <s v="ORD20709"/>
    <d v="2023-03-17T00:00:00"/>
    <s v="Deepika Rao"/>
    <n v="47"/>
    <s v="Male"/>
    <s v="Home &amp; Kitchen"/>
    <s v="Hawkins Cookware Set"/>
    <n v="10"/>
    <n v="6409"/>
    <x v="7"/>
    <s v="COD"/>
    <x v="0"/>
    <x v="0"/>
    <n v="51272"/>
    <x v="2"/>
    <x v="2"/>
    <x v="3"/>
    <s v="Male"/>
    <x v="7"/>
  </r>
  <r>
    <s v="ORD20323"/>
    <s v="Null"/>
    <s v="Null"/>
    <n v="36"/>
    <s v="Female"/>
    <s v="Electronics"/>
    <s v="Dell Laptop i5"/>
    <n v="1"/>
    <n v="57000"/>
    <x v="2"/>
    <s v="Cash"/>
    <x v="0"/>
    <x v="0"/>
    <n v="51300"/>
    <x v="3"/>
    <x v="3"/>
    <x v="0"/>
    <s v="Female"/>
    <x v="2"/>
  </r>
  <r>
    <s v="ORD20717"/>
    <d v="2023-10-26T00:00:00"/>
    <s v="Null"/>
    <n v="21"/>
    <s v="Female"/>
    <s v="Electronics"/>
    <s v="OnePlus 11 5G"/>
    <n v="1"/>
    <n v="57600"/>
    <x v="2"/>
    <s v="Card"/>
    <x v="0"/>
    <x v="0"/>
    <n v="51840"/>
    <x v="0"/>
    <x v="0"/>
    <x v="0"/>
    <s v="Female"/>
    <x v="6"/>
  </r>
  <r>
    <s v="ORD20699"/>
    <d v="2023-03-03T00:00:00"/>
    <s v="Deepika Rao"/>
    <n v="48"/>
    <s v="Female"/>
    <s v="Home &amp; Kitchen"/>
    <s v="Philips Air Fryer"/>
    <n v="6"/>
    <n v="8703"/>
    <x v="0"/>
    <s v="COD"/>
    <x v="2"/>
    <x v="2"/>
    <n v="52218"/>
    <x v="3"/>
    <x v="3"/>
    <x v="3"/>
    <s v="Female"/>
    <x v="7"/>
  </r>
  <r>
    <s v="ORD20385"/>
    <d v="2023-05-08T00:00:00"/>
    <s v="Manish Agarwal"/>
    <n v="65"/>
    <s v="Female"/>
    <s v="Home &amp; Kitchen"/>
    <s v="Bajaj Mixer Grinder"/>
    <n v="4"/>
    <n v="3446"/>
    <x v="4"/>
    <s v="Cash"/>
    <x v="0"/>
    <x v="0"/>
    <n v="52379.199999999997"/>
    <x v="1"/>
    <x v="1"/>
    <x v="3"/>
    <s v="Female"/>
    <x v="8"/>
  </r>
  <r>
    <s v="ORD20447"/>
    <d v="2023-03-20T00:00:00"/>
    <s v="Manish Agarwal"/>
    <n v="21"/>
    <s v="Male"/>
    <s v="Electronics"/>
    <s v="Canon DSLR Camera"/>
    <n v="1"/>
    <n v="53200"/>
    <x v="0"/>
    <s v="UPI"/>
    <x v="0"/>
    <x v="0"/>
    <n v="53200"/>
    <x v="1"/>
    <x v="1"/>
    <x v="0"/>
    <s v="Male"/>
    <x v="7"/>
  </r>
  <r>
    <s v="ORD20373"/>
    <d v="2023-05-23T00:00:00"/>
    <s v="Amit Kumar"/>
    <n v="50"/>
    <s v="Male"/>
    <s v="Electronics"/>
    <s v="OnePlus 11 5G"/>
    <n v="2"/>
    <n v="62400"/>
    <x v="6"/>
    <s v="Card"/>
    <x v="1"/>
    <x v="1"/>
    <n v="53600"/>
    <x v="1"/>
    <x v="1"/>
    <x v="0"/>
    <s v="Male"/>
    <x v="8"/>
  </r>
  <r>
    <s v="ORD20914"/>
    <s v="Null"/>
    <s v="Priya Patel"/>
    <n v="49"/>
    <s v="Mle"/>
    <s v="Electronics"/>
    <s v="Dell Laptop i5"/>
    <n v="1"/>
    <n v="59600"/>
    <x v="2"/>
    <s v="UPI"/>
    <x v="0"/>
    <x v="0"/>
    <n v="53640"/>
    <x v="1"/>
    <x v="1"/>
    <x v="0"/>
    <s v="Other"/>
    <x v="2"/>
  </r>
  <r>
    <s v="ORD20358"/>
    <d v="2023-05-09T00:00:00"/>
    <s v="Sanjay Dubey"/>
    <n v="58"/>
    <s v="Male"/>
    <s v="Home &amp; Kitchen"/>
    <s v="Philips Air Fryer"/>
    <n v="8"/>
    <n v="7651"/>
    <x v="2"/>
    <s v="UPI"/>
    <x v="0"/>
    <x v="0"/>
    <n v="55087.199999999997"/>
    <x v="3"/>
    <x v="3"/>
    <x v="3"/>
    <s v="Male"/>
    <x v="8"/>
  </r>
  <r>
    <s v="ORD20479"/>
    <d v="2023-04-13T00:00:00"/>
    <s v="Null"/>
    <n v="61"/>
    <s v="Male"/>
    <s v="Electronics"/>
    <s v="OnePlus 11 5G"/>
    <n v="1"/>
    <n v="61500"/>
    <x v="2"/>
    <s v="Card"/>
    <x v="5"/>
    <x v="0"/>
    <n v="55350"/>
    <x v="2"/>
    <x v="2"/>
    <x v="0"/>
    <s v="Male"/>
    <x v="11"/>
  </r>
  <r>
    <s v="ORD20732"/>
    <d v="2023-06-12T00:00:00"/>
    <s v="Rekha Sinha"/>
    <n v="48"/>
    <s v="Female"/>
    <s v="Home &amp; Kitchen"/>
    <s v="Hawkins Cookware Set"/>
    <n v="9"/>
    <n v="7311"/>
    <x v="5"/>
    <s v="Cash"/>
    <x v="0"/>
    <x v="0"/>
    <n v="55929.15"/>
    <x v="1"/>
    <x v="1"/>
    <x v="3"/>
    <s v="Female"/>
    <x v="3"/>
  </r>
  <r>
    <s v="ORD20807"/>
    <d v="2023-11-02T00:00:00"/>
    <s v="Null"/>
    <n v="27"/>
    <s v="Female"/>
    <s v="Electonics"/>
    <s v="Dell Laptop i5"/>
    <n v="1"/>
    <n v="62200"/>
    <x v="2"/>
    <s v="Card"/>
    <x v="0"/>
    <x v="0"/>
    <n v="55980"/>
    <x v="2"/>
    <x v="2"/>
    <x v="0"/>
    <s v="Female"/>
    <x v="1"/>
  </r>
  <r>
    <s v="ORD20944"/>
    <d v="2023-12-05T00:00:00"/>
    <s v="Ritu Bhatia"/>
    <n v="52"/>
    <s v="M"/>
    <s v="Electronics"/>
    <s v="OnePlus 11 5G"/>
    <n v="1"/>
    <n v="59300"/>
    <x v="4"/>
    <s v="UPI"/>
    <x v="2"/>
    <x v="2"/>
    <n v="56335"/>
    <x v="3"/>
    <x v="3"/>
    <x v="0"/>
    <s v="Male"/>
    <x v="4"/>
  </r>
  <r>
    <s v="ORD20729"/>
    <s v="Null"/>
    <s v="Deepika Rao"/>
    <n v="40"/>
    <s v="Female"/>
    <s v="Electronics"/>
    <s v="Canon DSLR Camera"/>
    <n v="1"/>
    <n v="70500"/>
    <x v="7"/>
    <s v="UPI"/>
    <x v="2"/>
    <x v="2"/>
    <n v="56400"/>
    <x v="2"/>
    <x v="2"/>
    <x v="0"/>
    <s v="Female"/>
    <x v="2"/>
  </r>
  <r>
    <s v="ORD20666"/>
    <d v="2023-04-13T00:00:00"/>
    <s v="Null"/>
    <n v="26"/>
    <s v="Female"/>
    <s v="Home &amp; Kitchen"/>
    <s v="Godrej Almirah"/>
    <n v="5"/>
    <n v="11386"/>
    <x v="0"/>
    <s v="COD"/>
    <x v="0"/>
    <x v="0"/>
    <n v="56930"/>
    <x v="1"/>
    <x v="1"/>
    <x v="3"/>
    <s v="Female"/>
    <x v="11"/>
  </r>
  <r>
    <s v="ORD20332"/>
    <d v="2023-06-18T00:00:00"/>
    <s v="Null"/>
    <n v="55"/>
    <s v="Male"/>
    <s v="clothing"/>
    <s v="Allen Solly Formal Shirt"/>
    <n v="20"/>
    <n v="3000"/>
    <x v="4"/>
    <s v="COD"/>
    <x v="0"/>
    <x v="0"/>
    <n v="57000"/>
    <x v="0"/>
    <x v="0"/>
    <x v="1"/>
    <s v="Male"/>
    <x v="3"/>
  </r>
  <r>
    <s v="ORD20902"/>
    <d v="2023-12-02T00:00:00"/>
    <s v="Manish Agarwal"/>
    <n v="40"/>
    <s v="Female"/>
    <s v="Electronics"/>
    <s v="OnePlus 11 5G"/>
    <n v="2"/>
    <n v="58300"/>
    <x v="8"/>
    <s v="Card"/>
    <x v="3"/>
    <x v="0"/>
    <n v="58300"/>
    <x v="0"/>
    <x v="0"/>
    <x v="0"/>
    <s v="Female"/>
    <x v="4"/>
  </r>
  <r>
    <s v="ORD20650"/>
    <d v="2023-09-13T00:00:00"/>
    <s v="Shreya Pandey"/>
    <n v="21"/>
    <s v="M"/>
    <s v="Electronics"/>
    <s v="OnePlus 11 5G"/>
    <n v="1"/>
    <n v="59400"/>
    <x v="0"/>
    <s v="Cash"/>
    <x v="2"/>
    <x v="2"/>
    <n v="59400"/>
    <x v="15"/>
    <x v="0"/>
    <x v="0"/>
    <s v="Male"/>
    <x v="0"/>
  </r>
  <r>
    <s v="ORD20012"/>
    <d v="2023-11-07T00:00:00"/>
    <s v="Priya Patel"/>
    <n v="36"/>
    <s v="Female"/>
    <s v="Electronics"/>
    <s v="iPhone 14"/>
    <n v="1"/>
    <n v="85400"/>
    <x v="10"/>
    <s v="UPI"/>
    <x v="0"/>
    <x v="0"/>
    <n v="59780"/>
    <x v="3"/>
    <x v="3"/>
    <x v="0"/>
    <s v="Female"/>
    <x v="1"/>
  </r>
  <r>
    <s v="ORD20680"/>
    <s v="Null"/>
    <s v="Null"/>
    <n v="21"/>
    <s v="Male"/>
    <s v="Electronics"/>
    <s v="Dell Laptop i5"/>
    <n v="1"/>
    <n v="67000"/>
    <x v="2"/>
    <s v="COD"/>
    <x v="0"/>
    <x v="0"/>
    <n v="60300"/>
    <x v="2"/>
    <x v="2"/>
    <x v="0"/>
    <s v="Male"/>
    <x v="2"/>
  </r>
  <r>
    <s v="ORD20933"/>
    <d v="2023-10-27T00:00:00"/>
    <s v="Null"/>
    <n v="64"/>
    <s v="Female"/>
    <s v="Home &amp; Kitchen"/>
    <s v="Philips Air Fryer"/>
    <n v="9"/>
    <n v="6762"/>
    <x v="13"/>
    <s v="Cash"/>
    <x v="0"/>
    <x v="0"/>
    <n v="60858"/>
    <x v="1"/>
    <x v="1"/>
    <x v="3"/>
    <s v="Female"/>
    <x v="6"/>
  </r>
  <r>
    <s v="ORD20631"/>
    <d v="2023-04-06T00:00:00"/>
    <s v="Gaurav Bansal"/>
    <n v="47"/>
    <s v="Male"/>
    <s v="Electronics"/>
    <s v="LG Washing Machine"/>
    <n v="2"/>
    <n v="30500"/>
    <x v="0"/>
    <s v="Card"/>
    <x v="0"/>
    <x v="0"/>
    <n v="61000"/>
    <x v="4"/>
    <x v="1"/>
    <x v="0"/>
    <s v="Male"/>
    <x v="11"/>
  </r>
  <r>
    <s v="ORD20954"/>
    <d v="2023-03-20T00:00:00"/>
    <s v="Deepika Rao"/>
    <n v="30"/>
    <s v="Male"/>
    <s v="Electronics"/>
    <s v="iPhone 14"/>
    <n v="1"/>
    <n v="88400"/>
    <x v="10"/>
    <s v="Card"/>
    <x v="0"/>
    <x v="0"/>
    <n v="61880"/>
    <x v="1"/>
    <x v="1"/>
    <x v="0"/>
    <s v="Male"/>
    <x v="7"/>
  </r>
  <r>
    <s v="ORD20169"/>
    <d v="2023-10-03T00:00:00"/>
    <s v="Null"/>
    <n v="23"/>
    <s v="Female"/>
    <s v="Electronics"/>
    <s v="Dell Laptop i5"/>
    <n v="2"/>
    <n v="62200"/>
    <x v="8"/>
    <s v="COD"/>
    <x v="2"/>
    <x v="2"/>
    <n v="62200"/>
    <x v="1"/>
    <x v="1"/>
    <x v="0"/>
    <s v="Female"/>
    <x v="6"/>
  </r>
  <r>
    <s v="ORD20707"/>
    <d v="2023-12-14T00:00:00"/>
    <s v="Deepika Rao"/>
    <n v="62"/>
    <s v="Male"/>
    <s v="Electronics"/>
    <s v="LG Washing Machine"/>
    <n v="2"/>
    <n v="34600"/>
    <x v="2"/>
    <s v="Card"/>
    <x v="1"/>
    <x v="1"/>
    <n v="62280"/>
    <x v="1"/>
    <x v="1"/>
    <x v="0"/>
    <s v="Male"/>
    <x v="4"/>
  </r>
  <r>
    <s v="ORD20964"/>
    <d v="2023-11-01T00:00:00"/>
    <s v="Manoj Chauhan"/>
    <n v="21"/>
    <s v="Female"/>
    <s v="electrnics"/>
    <s v="Samsung Smart TV 43&quot;"/>
    <n v="2"/>
    <n v="54500"/>
    <x v="5"/>
    <s v="UPI"/>
    <x v="2"/>
    <x v="2"/>
    <n v="62650"/>
    <x v="2"/>
    <x v="2"/>
    <x v="0"/>
    <s v="Female"/>
    <x v="1"/>
  </r>
  <r>
    <s v="ORD20566"/>
    <d v="2023-08-02T00:00:00"/>
    <s v="Sanjay Dubey"/>
    <n v="55"/>
    <s v="Male"/>
    <s v="Electronics"/>
    <s v="Canon DSLR Camera"/>
    <n v="1"/>
    <n v="70400"/>
    <x v="2"/>
    <s v="COD"/>
    <x v="3"/>
    <x v="0"/>
    <n v="63360"/>
    <x v="0"/>
    <x v="0"/>
    <x v="0"/>
    <s v="Male"/>
    <x v="5"/>
  </r>
  <r>
    <s v="ORD20560"/>
    <s v="Null"/>
    <s v="Pranav Kulkarni"/>
    <n v="34"/>
    <s v="Female"/>
    <s v="Electronics"/>
    <s v="Samsung Smart TV 43&quot;"/>
    <n v="2"/>
    <n v="53400"/>
    <x v="1"/>
    <s v="COD"/>
    <x v="2"/>
    <x v="2"/>
    <n v="64080"/>
    <x v="0"/>
    <x v="0"/>
    <x v="0"/>
    <s v="Female"/>
    <x v="2"/>
  </r>
  <r>
    <s v="ORD20171"/>
    <d v="2023-07-03T00:00:00"/>
    <s v="Kiran Malhotra"/>
    <n v="55"/>
    <s v="Female"/>
    <s v="Home &amp; Kitchen"/>
    <s v="Hawkins Cookware Set"/>
    <n v="9"/>
    <n v="7153"/>
    <x v="0"/>
    <s v="UPI"/>
    <x v="2"/>
    <x v="2"/>
    <n v="64377"/>
    <x v="0"/>
    <x v="0"/>
    <x v="3"/>
    <s v="Female"/>
    <x v="10"/>
  </r>
  <r>
    <s v="ORD20538"/>
    <d v="2023-04-21T00:00:00"/>
    <s v="Deepika Rao"/>
    <n v="29"/>
    <s v="Male"/>
    <s v="Home &amp; Kitchen"/>
    <s v="Godrej Almirah"/>
    <n v="5"/>
    <n v="14392"/>
    <x v="2"/>
    <s v="UPI"/>
    <x v="0"/>
    <x v="0"/>
    <n v="64764"/>
    <x v="2"/>
    <x v="2"/>
    <x v="3"/>
    <s v="Male"/>
    <x v="11"/>
  </r>
  <r>
    <s v="ORD20500"/>
    <d v="2023-04-16T00:00:00"/>
    <s v="Ritu Bhatia"/>
    <n v="46"/>
    <s v="Female"/>
    <s v="Electronics"/>
    <s v="Canon DSLR Camera"/>
    <n v="20"/>
    <n v="43700"/>
    <x v="6"/>
    <s v="Csh"/>
    <x v="0"/>
    <x v="0"/>
    <n v="65550"/>
    <x v="3"/>
    <x v="3"/>
    <x v="0"/>
    <s v="Female"/>
    <x v="11"/>
  </r>
  <r>
    <s v="ORD20325"/>
    <d v="2023-11-01T00:00:00"/>
    <s v="Ramesh Naik"/>
    <n v="44"/>
    <s v="Female"/>
    <s v="Electronics"/>
    <s v="Whirlpool Refrigerator"/>
    <n v="2"/>
    <n v="47300"/>
    <x v="10"/>
    <s v="UPI"/>
    <x v="1"/>
    <x v="1"/>
    <n v="66220"/>
    <x v="0"/>
    <x v="0"/>
    <x v="0"/>
    <s v="Female"/>
    <x v="1"/>
  </r>
  <r>
    <s v="ORD20023"/>
    <d v="2023-12-20T00:00:00"/>
    <s v="Pooja Nair"/>
    <n v="19"/>
    <s v="Male"/>
    <s v="Electronics"/>
    <s v="iPhone 14"/>
    <n v="2"/>
    <n v="86900"/>
    <x v="2"/>
    <s v="Card"/>
    <x v="0"/>
    <x v="0"/>
    <n v="66900"/>
    <x v="2"/>
    <x v="2"/>
    <x v="0"/>
    <s v="Male"/>
    <x v="4"/>
  </r>
  <r>
    <s v="ORD20131"/>
    <s v="Null"/>
    <s v="Vikram Mehta"/>
    <n v="47"/>
    <s v="Mle"/>
    <s v="Home &amp; Kitchen"/>
    <s v="Borosil Glass Set"/>
    <n v="99"/>
    <n v="1359"/>
    <x v="8"/>
    <s v="Card"/>
    <x v="1"/>
    <x v="1"/>
    <n v="67270.5"/>
    <x v="1"/>
    <x v="1"/>
    <x v="3"/>
    <s v="Other"/>
    <x v="2"/>
  </r>
  <r>
    <s v="ORD20391"/>
    <d v="2023-09-15T00:00:00"/>
    <s v="Null"/>
    <n v="21"/>
    <s v="Male"/>
    <s v="Electronics"/>
    <s v="Samsung Smart TV 43&quot;"/>
    <n v="2"/>
    <n v="51500"/>
    <x v="4"/>
    <s v="UPI"/>
    <x v="2"/>
    <x v="2"/>
    <n v="67850"/>
    <x v="2"/>
    <x v="2"/>
    <x v="0"/>
    <s v="Male"/>
    <x v="0"/>
  </r>
  <r>
    <s v="ORD20612"/>
    <d v="2023-03-03T00:00:00"/>
    <s v="Neha Mishra"/>
    <n v="21"/>
    <s v="Male"/>
    <s v="Electronics"/>
    <s v="iPhone 14"/>
    <n v="1"/>
    <n v="75800"/>
    <x v="2"/>
    <s v="Cash"/>
    <x v="0"/>
    <x v="0"/>
    <n v="68220"/>
    <x v="3"/>
    <x v="3"/>
    <x v="0"/>
    <s v="Male"/>
    <x v="7"/>
  </r>
  <r>
    <s v="ORD20254"/>
    <d v="2023-05-22T00:00:00"/>
    <s v="Ananya Singh"/>
    <n v="33"/>
    <s v="Male"/>
    <s v="Home &amp; Kitchen"/>
    <s v="Bajaj Mixer Grinder"/>
    <n v="10"/>
    <n v="3667"/>
    <x v="4"/>
    <s v="UPI"/>
    <x v="0"/>
    <x v="0"/>
    <n v="69673"/>
    <x v="2"/>
    <x v="2"/>
    <x v="3"/>
    <s v="Male"/>
    <x v="8"/>
  </r>
  <r>
    <s v="ORD20042"/>
    <s v="Null"/>
    <s v="Rekha Sinha"/>
    <n v="48"/>
    <s v="Male"/>
    <s v="Beauty"/>
    <s v="Himalaya Neem Face Pack"/>
    <n v="10"/>
    <n v="781586"/>
    <x v="2"/>
    <s v="Cash"/>
    <x v="2"/>
    <x v="2"/>
    <n v="70342"/>
    <x v="14"/>
    <x v="1"/>
    <x v="2"/>
    <s v="Male"/>
    <x v="2"/>
  </r>
  <r>
    <s v="ORD20042"/>
    <s v="Null"/>
    <s v="Rekha Sinha"/>
    <n v="48"/>
    <s v="Male"/>
    <s v="Beauty"/>
    <s v="Himalaya Neem Face Pack"/>
    <n v="10"/>
    <n v="781586"/>
    <x v="2"/>
    <s v="Cash"/>
    <x v="2"/>
    <x v="2"/>
    <n v="70342"/>
    <x v="14"/>
    <x v="1"/>
    <x v="2"/>
    <s v="Male"/>
    <x v="2"/>
  </r>
  <r>
    <s v="ORD20153"/>
    <s v="Null"/>
    <s v="Nikhil Bose"/>
    <n v="35"/>
    <s v="Female"/>
    <s v="Electronics"/>
    <s v="Canon DSLR Camera"/>
    <n v="1"/>
    <n v="70600"/>
    <x v="0"/>
    <s v="COD"/>
    <x v="0"/>
    <x v="0"/>
    <n v="70600"/>
    <x v="2"/>
    <x v="2"/>
    <x v="0"/>
    <s v="Female"/>
    <x v="2"/>
  </r>
  <r>
    <s v="ORD20442"/>
    <d v="2023-11-08T00:00:00"/>
    <s v="Manish Agarwal"/>
    <n v="59"/>
    <s v="Male"/>
    <s v="Home &amp; Kitchen"/>
    <s v="Philips Air Fryer"/>
    <n v="6"/>
    <n v="8358"/>
    <x v="6"/>
    <s v="UPI"/>
    <x v="1"/>
    <x v="1"/>
    <n v="75222"/>
    <x v="1"/>
    <x v="1"/>
    <x v="3"/>
    <s v="Male"/>
    <x v="1"/>
  </r>
  <r>
    <s v="ORD20578"/>
    <d v="2023-05-12T00:00:00"/>
    <s v="Amit Kumar"/>
    <n v="51"/>
    <s v="Female"/>
    <s v="Home &amp; Kitchen"/>
    <s v="Godrej Almirah"/>
    <n v="7"/>
    <n v="10792"/>
    <x v="0"/>
    <s v="Card"/>
    <x v="0"/>
    <x v="0"/>
    <n v="75544"/>
    <x v="0"/>
    <x v="0"/>
    <x v="3"/>
    <s v="Female"/>
    <x v="8"/>
  </r>
  <r>
    <s v="ORD20079"/>
    <d v="2023-03-07T00:00:00"/>
    <s v="Geeta Thakur"/>
    <n v="58"/>
    <s v="Male"/>
    <s v="Electronics"/>
    <s v="iPhone 14"/>
    <n v="1"/>
    <n v="84900"/>
    <x v="2"/>
    <s v="Cash"/>
    <x v="0"/>
    <x v="0"/>
    <n v="76410"/>
    <x v="3"/>
    <x v="3"/>
    <x v="0"/>
    <s v="Male"/>
    <x v="7"/>
  </r>
  <r>
    <s v="ORD20210"/>
    <d v="2023-09-14T00:00:00"/>
    <s v="Null"/>
    <n v="55"/>
    <s v="Male"/>
    <s v="clothing"/>
    <s v="Adidas Sneakers"/>
    <n v="3"/>
    <n v="8000"/>
    <x v="7"/>
    <s v="UPI"/>
    <x v="0"/>
    <x v="0"/>
    <n v="76800"/>
    <x v="2"/>
    <x v="2"/>
    <x v="1"/>
    <s v="Male"/>
    <x v="0"/>
  </r>
  <r>
    <s v="ORD20337"/>
    <d v="2023-09-29T00:00:00"/>
    <s v="Rekha Sinha"/>
    <n v="20"/>
    <s v="Female"/>
    <s v="Electronics"/>
    <s v="iPhone 14"/>
    <n v="1"/>
    <n v="91100"/>
    <x v="5"/>
    <s v="Cash"/>
    <x v="0"/>
    <x v="0"/>
    <n v="77435"/>
    <x v="1"/>
    <x v="1"/>
    <x v="0"/>
    <s v="Female"/>
    <x v="0"/>
  </r>
  <r>
    <s v="ORD20120"/>
    <d v="2023-07-23T00:00:00"/>
    <s v="Null"/>
    <n v="32"/>
    <s v="Female"/>
    <s v="Electronics"/>
    <s v="Whirlpool Refrigerator"/>
    <n v="2"/>
    <n v="43300"/>
    <x v="2"/>
    <s v="UPI"/>
    <x v="0"/>
    <x v="0"/>
    <n v="77940"/>
    <x v="1"/>
    <x v="1"/>
    <x v="0"/>
    <s v="Female"/>
    <x v="10"/>
  </r>
  <r>
    <s v="ORD20661"/>
    <d v="2023-09-06T00:00:00"/>
    <s v="Null"/>
    <n v="27"/>
    <s v="Male"/>
    <s v="Electronics"/>
    <s v="Samsung Smart TV 43&quot;"/>
    <n v="2"/>
    <n v="52100"/>
    <x v="4"/>
    <s v="UPI"/>
    <x v="0"/>
    <x v="0"/>
    <n v="78990"/>
    <x v="2"/>
    <x v="2"/>
    <x v="0"/>
    <s v="Male"/>
    <x v="0"/>
  </r>
  <r>
    <s v="ORD20402"/>
    <s v="Null"/>
    <s v="Sanjay Dubey"/>
    <n v="62"/>
    <s v="Male"/>
    <s v="clothing"/>
    <s v="Levi's Jeans"/>
    <n v="20"/>
    <n v="4950"/>
    <x v="7"/>
    <s v="U.P.I"/>
    <x v="0"/>
    <x v="0"/>
    <n v="79200"/>
    <x v="2"/>
    <x v="2"/>
    <x v="1"/>
    <s v="Male"/>
    <x v="2"/>
  </r>
  <r>
    <s v="ORD20752"/>
    <d v="2023-10-25T00:00:00"/>
    <s v="Nikhil Bose"/>
    <n v="50"/>
    <s v="Male"/>
    <s v="Electronics"/>
    <s v="Canon DSLR Camera"/>
    <n v="2"/>
    <n v="79800"/>
    <x v="8"/>
    <s v="Card"/>
    <x v="5"/>
    <x v="0"/>
    <n v="59800"/>
    <x v="2"/>
    <x v="2"/>
    <x v="0"/>
    <s v="Male"/>
    <x v="6"/>
  </r>
  <r>
    <s v="ORD20750"/>
    <d v="2023-01-09T00:00:00"/>
    <s v="Null"/>
    <n v="39"/>
    <s v="Female"/>
    <s v="Electronics"/>
    <s v="iPhone 14"/>
    <n v="1"/>
    <n v="94500"/>
    <x v="5"/>
    <s v="UPI"/>
    <x v="0"/>
    <x v="0"/>
    <n v="60325"/>
    <x v="1"/>
    <x v="1"/>
    <x v="0"/>
    <s v="Female"/>
    <x v="9"/>
  </r>
  <r>
    <s v="ORD20362"/>
    <d v="2023-11-17T00:00:00"/>
    <s v="Null"/>
    <n v="49"/>
    <s v="Male"/>
    <s v="Electronics"/>
    <s v="Canon DSLR Camera"/>
    <n v="2"/>
    <n v="40900"/>
    <x v="0"/>
    <s v="Card"/>
    <x v="0"/>
    <x v="0"/>
    <n v="81800"/>
    <x v="0"/>
    <x v="0"/>
    <x v="0"/>
    <s v="Male"/>
    <x v="1"/>
  </r>
  <r>
    <s v="ORD20879"/>
    <d v="2023-09-03T00:00:00"/>
    <s v="Rahul Gupta"/>
    <n v="7"/>
    <s v="Female"/>
    <s v="Electronics"/>
    <s v="Canon DSLR Camera"/>
    <n v="2"/>
    <n v="68300"/>
    <x v="1"/>
    <s v="COD"/>
    <x v="0"/>
    <x v="0"/>
    <n v="81960"/>
    <x v="3"/>
    <x v="3"/>
    <x v="0"/>
    <s v="Female"/>
    <x v="0"/>
  </r>
  <r>
    <s v="ORD20464"/>
    <d v="2023-12-08T00:00:00"/>
    <s v="Rahul Gupta"/>
    <n v="42"/>
    <s v="Female"/>
    <s v="Electronics"/>
    <s v="Dell Laptop i5"/>
    <n v="1"/>
    <n v="55400"/>
    <x v="8"/>
    <s v="UPI"/>
    <x v="0"/>
    <x v="0"/>
    <n v="83100"/>
    <x v="3"/>
    <x v="3"/>
    <x v="0"/>
    <s v="Female"/>
    <x v="4"/>
  </r>
  <r>
    <s v="ORD20201"/>
    <d v="2023-09-28T00:00:00"/>
    <s v="Gaurav Bansal"/>
    <n v="53"/>
    <s v="Male"/>
    <s v="Home &amp; Kitchen"/>
    <s v="Asian Paints 4L"/>
    <n v="99"/>
    <n v="1650"/>
    <x v="5"/>
    <s v="Card"/>
    <x v="0"/>
    <x v="0"/>
    <n v="83884.5"/>
    <x v="0"/>
    <x v="0"/>
    <x v="3"/>
    <s v="Male"/>
    <x v="0"/>
  </r>
  <r>
    <s v="ORD20741"/>
    <s v="Null"/>
    <s v="Vikram Mehta"/>
    <m/>
    <s v="Female"/>
    <s v="Electronics"/>
    <s v="iPhone 14"/>
    <n v="1"/>
    <n v="94700"/>
    <x v="2"/>
    <s v="Card"/>
    <x v="0"/>
    <x v="0"/>
    <n v="85230"/>
    <x v="3"/>
    <x v="3"/>
    <x v="0"/>
    <s v="Female"/>
    <x v="2"/>
  </r>
  <r>
    <s v="ORD20623"/>
    <d v="2023-07-14T00:00:00"/>
    <s v="Vikas Saxena"/>
    <n v="38"/>
    <s v="Male"/>
    <s v="Home &amp; Kitchen"/>
    <s v="Milton Steel Bottles"/>
    <n v="99"/>
    <n v="862"/>
    <x v="0"/>
    <s v="Cash"/>
    <x v="0"/>
    <x v="0"/>
    <n v="85338"/>
    <x v="0"/>
    <x v="0"/>
    <x v="3"/>
    <s v="Male"/>
    <x v="10"/>
  </r>
  <r>
    <s v="ORD20110"/>
    <s v="Null"/>
    <s v="Null"/>
    <n v="32"/>
    <s v="Male"/>
    <s v="Electroni cs"/>
    <s v="OnePlus 11 5G"/>
    <n v="2"/>
    <n v="59700"/>
    <x v="6"/>
    <s v="UPI"/>
    <x v="2"/>
    <x v="2"/>
    <n v="89550"/>
    <x v="3"/>
    <x v="3"/>
    <x v="0"/>
    <s v="Male"/>
    <x v="2"/>
  </r>
  <r>
    <s v="ORD20779"/>
    <d v="2023-02-12T00:00:00"/>
    <s v="Sanjay Dubey"/>
    <n v="999"/>
    <s v="Female"/>
    <s v="Home &amp; Kitchen"/>
    <s v="Godrej Almirah"/>
    <n v="10"/>
    <n v="11496"/>
    <x v="2"/>
    <s v="Card"/>
    <x v="0"/>
    <x v="0"/>
    <n v="713464"/>
    <x v="0"/>
    <x v="0"/>
    <x v="3"/>
    <s v="Female"/>
    <x v="12"/>
  </r>
  <r>
    <s v="ORD20019"/>
    <d v="2023-02-01T00:00:00"/>
    <s v="Manish Agarwal"/>
    <n v="60"/>
    <s v="Female"/>
    <s v="Electronics"/>
    <s v="Dell Laptop i5"/>
    <n v="1"/>
    <n v="55400"/>
    <x v="4"/>
    <s v="Cash"/>
    <x v="1"/>
    <x v="1"/>
    <n v="505260"/>
    <x v="0"/>
    <x v="0"/>
    <x v="0"/>
    <s v="Female"/>
    <x v="12"/>
  </r>
  <r>
    <s v="ORD20580"/>
    <d v="2023-07-28T00:00:00"/>
    <s v="Priya Patel"/>
    <n v="40"/>
    <s v="Female"/>
    <s v="Electronics"/>
    <s v="OnePlus 11 5G"/>
    <n v="2"/>
    <n v="63800"/>
    <x v="5"/>
    <s v="Card"/>
    <x v="1"/>
    <x v="1"/>
    <n v="108460"/>
    <x v="2"/>
    <x v="2"/>
    <x v="0"/>
    <s v="Female"/>
    <x v="10"/>
  </r>
  <r>
    <s v="ORD20920"/>
    <d v="2023-01-08T00:00:00"/>
    <s v="Shweta Ghosh"/>
    <n v="54"/>
    <s v="Female"/>
    <s v="Home &amp; Kitchen"/>
    <s v="Godrej Almirah"/>
    <n v="8"/>
    <n v="14370"/>
    <x v="0"/>
    <s v="Card"/>
    <x v="1"/>
    <x v="1"/>
    <n v="114960"/>
    <x v="2"/>
    <x v="2"/>
    <x v="3"/>
    <s v="Female"/>
    <x v="9"/>
  </r>
  <r>
    <s v="ORD20920"/>
    <d v="2023-01-08T00:00:00"/>
    <s v="Shweta Ghosh"/>
    <n v="54"/>
    <s v="Female"/>
    <s v="Home &amp; Kitchen"/>
    <s v="Godrej Almirah"/>
    <n v="8"/>
    <n v="14370"/>
    <x v="0"/>
    <s v="Card"/>
    <x v="1"/>
    <x v="1"/>
    <n v="114960"/>
    <x v="2"/>
    <x v="2"/>
    <x v="3"/>
    <s v="Female"/>
    <x v="9"/>
  </r>
  <r>
    <s v="ORD20837"/>
    <d v="2023-05-05T00:00:00"/>
    <s v="Gaurav Bansal"/>
    <n v="31"/>
    <s v="Male"/>
    <s v="Electronics"/>
    <s v="OnePlus 11 5G"/>
    <n v="2"/>
    <n v="63900"/>
    <x v="14"/>
    <s v="COD"/>
    <x v="0"/>
    <x v="0"/>
    <n v="134190"/>
    <x v="1"/>
    <x v="1"/>
    <x v="0"/>
    <s v="Male"/>
    <x v="8"/>
  </r>
  <r>
    <s v="ORD20136"/>
    <s v="Null"/>
    <s v="Nikhil Bose"/>
    <n v="58"/>
    <s v="Male"/>
    <s v="Electronics"/>
    <s v="Dell Laptop i5"/>
    <n v="2"/>
    <n v="73300"/>
    <x v="4"/>
    <s v="Card"/>
    <x v="0"/>
    <x v="0"/>
    <n v="139270"/>
    <x v="0"/>
    <x v="0"/>
    <x v="0"/>
    <s v="Male"/>
    <x v="2"/>
  </r>
  <r>
    <s v="ORD20706"/>
    <d v="2023-09-10T00:00:00"/>
    <s v="Pranav Kulkarni"/>
    <n v="33"/>
    <s v="Male"/>
    <s v="Electronics"/>
    <s v="iPhone 14"/>
    <n v="2"/>
    <n v="76800"/>
    <x v="4"/>
    <s v="Card"/>
    <x v="0"/>
    <x v="0"/>
    <n v="145920"/>
    <x v="2"/>
    <x v="2"/>
    <x v="0"/>
    <s v="Male"/>
    <x v="0"/>
  </r>
  <r>
    <s v="ORD20219"/>
    <d v="2023-06-07T00:00:00"/>
    <s v="Pallavi Deshmukh"/>
    <n v="34"/>
    <s v="Male"/>
    <s v="Electonics"/>
    <s v="Canon DSLR Camera"/>
    <n v="2"/>
    <n v="77100"/>
    <x v="4"/>
    <s v="UPI"/>
    <x v="2"/>
    <x v="2"/>
    <n v="146490"/>
    <x v="0"/>
    <x v="0"/>
    <x v="0"/>
    <s v="Male"/>
    <x v="3"/>
  </r>
  <r>
    <s v="ORD20658"/>
    <d v="2023-08-02T00:00:00"/>
    <s v="Geeta Thakur"/>
    <n v="62"/>
    <s v="Female"/>
    <s v="Electroni cs"/>
    <s v="Sony Headphones"/>
    <n v="2"/>
    <m/>
    <x v="10"/>
    <s v="Cash"/>
    <x v="2"/>
    <x v="2"/>
    <s v="Null"/>
    <x v="3"/>
    <x v="3"/>
    <x v="0"/>
    <s v="Female"/>
    <x v="5"/>
  </r>
  <r>
    <s v="ORD20269"/>
    <d v="2023-11-21T00:00:00"/>
    <s v="Pooja Nair"/>
    <n v="44"/>
    <s v="Female"/>
    <s v="Home &amp; Kitchen"/>
    <s v="Nilkamal Plastic Chair"/>
    <n v="9"/>
    <m/>
    <x v="0"/>
    <s v="Card"/>
    <x v="0"/>
    <x v="0"/>
    <s v="Null"/>
    <x v="1"/>
    <x v="1"/>
    <x v="3"/>
    <s v="Female"/>
    <x v="1"/>
  </r>
  <r>
    <s v="ORD20033"/>
    <d v="2023-12-07T00:00:00"/>
    <s v="Deepika Rao"/>
    <n v="41"/>
    <s v="Male"/>
    <s v="Clthing"/>
    <s v="Allen Solly Formal Shirt"/>
    <n v="1"/>
    <m/>
    <x v="4"/>
    <s v="Card"/>
    <x v="2"/>
    <x v="2"/>
    <s v="Null"/>
    <x v="2"/>
    <x v="2"/>
    <x v="1"/>
    <s v="Male"/>
    <x v="4"/>
  </r>
  <r>
    <s v="ORD20857"/>
    <d v="2023-10-24T00:00:00"/>
    <s v="Neha Mishra"/>
    <n v="30"/>
    <s v="Male"/>
    <s v="clothing"/>
    <s v="Manyavar Sherwani"/>
    <n v="3"/>
    <m/>
    <x v="2"/>
    <s v="Cash"/>
    <x v="0"/>
    <x v="0"/>
    <s v="Null"/>
    <x v="2"/>
    <x v="2"/>
    <x v="1"/>
    <s v="Male"/>
    <x v="6"/>
  </r>
  <r>
    <s v="ORD20048"/>
    <s v="Null"/>
    <s v="Meera Nambiar"/>
    <n v="20"/>
    <s v="Female"/>
    <s v="clothing"/>
    <s v="Biba Salwar Suit"/>
    <n v="3"/>
    <m/>
    <x v="6"/>
    <s v="UPI"/>
    <x v="8"/>
    <x v="2"/>
    <s v="Null"/>
    <x v="1"/>
    <x v="1"/>
    <x v="1"/>
    <s v="Female"/>
    <x v="2"/>
  </r>
  <r>
    <s v="ORD20565"/>
    <s v="Null"/>
    <s v="Shweta Ghosh"/>
    <n v="31"/>
    <s v="Femal"/>
    <s v="clothing"/>
    <s v="Adidas Sneakers"/>
    <n v="1"/>
    <m/>
    <x v="7"/>
    <s v="UPI"/>
    <x v="0"/>
    <x v="0"/>
    <s v="Null"/>
    <x v="2"/>
    <x v="2"/>
    <x v="1"/>
    <s v="Other"/>
    <x v="2"/>
  </r>
  <r>
    <s v="ORD20793"/>
    <s v="Null"/>
    <s v="Manish Agarwal"/>
    <n v="46"/>
    <s v="Female"/>
    <s v="Home &amp; Kitchen"/>
    <s v="Usha Iron"/>
    <n v="3"/>
    <m/>
    <x v="1"/>
    <s v="Cash"/>
    <x v="2"/>
    <x v="2"/>
    <s v="Null"/>
    <x v="1"/>
    <x v="1"/>
    <x v="3"/>
    <s v="Female"/>
    <x v="2"/>
  </r>
  <r>
    <s v="ORD20910"/>
    <d v="2023-01-30T00:00:00"/>
    <s v="Shreya Pandey"/>
    <n v="60"/>
    <s v="Female"/>
    <s v="Home &amp; Kitchen"/>
    <s v="Pigeon Induction Cooktop"/>
    <n v="4"/>
    <m/>
    <x v="4"/>
    <s v="Cash"/>
    <x v="1"/>
    <x v="1"/>
    <s v="Null"/>
    <x v="10"/>
    <x v="2"/>
    <x v="3"/>
    <s v="Female"/>
    <x v="9"/>
  </r>
  <r>
    <s v="ORD20472"/>
    <d v="2023-12-13T00:00:00"/>
    <s v="Aarav Sharma"/>
    <n v="19"/>
    <s v="Female"/>
    <s v="Beauty"/>
    <s v="Plum Night Cream"/>
    <n v="9"/>
    <m/>
    <x v="8"/>
    <s v="Card"/>
    <x v="0"/>
    <x v="0"/>
    <s v="Null"/>
    <x v="2"/>
    <x v="2"/>
    <x v="2"/>
    <s v="Female"/>
    <x v="4"/>
  </r>
  <r>
    <s v="ORD20329"/>
    <d v="2023-08-10T00:00:00"/>
    <s v="Gaurav Bansal"/>
    <n v="21"/>
    <s v="Othr"/>
    <s v="Electronics"/>
    <s v="Mi Band 7"/>
    <n v="1"/>
    <m/>
    <x v="7"/>
    <s v="COD"/>
    <x v="0"/>
    <x v="0"/>
    <s v="Null"/>
    <x v="2"/>
    <x v="2"/>
    <x v="0"/>
    <s v="Other"/>
    <x v="5"/>
  </r>
  <r>
    <s v="ORD20004"/>
    <d v="2023-03-04T00:00:00"/>
    <s v="Manoj Chauhan"/>
    <n v="43"/>
    <s v="Male"/>
    <s v="clothing"/>
    <s v="Peter England Trousers"/>
    <n v="1"/>
    <m/>
    <x v="2"/>
    <s v="Card"/>
    <x v="2"/>
    <x v="2"/>
    <s v="Null"/>
    <x v="11"/>
    <x v="2"/>
    <x v="1"/>
    <s v="Male"/>
    <x v="7"/>
  </r>
  <r>
    <s v="ORD20870"/>
    <s v="Null"/>
    <s v="Manoj Chauhan"/>
    <n v="59"/>
    <s v="Female"/>
    <s v="Beauty"/>
    <s v="Plum Night Cream"/>
    <n v="2"/>
    <m/>
    <x v="4"/>
    <s v="UPI"/>
    <x v="0"/>
    <x v="0"/>
    <s v="Null"/>
    <x v="2"/>
    <x v="2"/>
    <x v="2"/>
    <s v="Female"/>
    <x v="2"/>
  </r>
  <r>
    <s v="ORD20536"/>
    <d v="2023-08-10T00:00:00"/>
    <s v="Pranav Kulkarni"/>
    <n v="48"/>
    <s v="M"/>
    <s v="Home &amp; Kitchen"/>
    <s v="Hawkins Cookware Set"/>
    <n v="8"/>
    <m/>
    <x v="6"/>
    <s v="UPI"/>
    <x v="2"/>
    <x v="2"/>
    <s v="Null"/>
    <x v="0"/>
    <x v="0"/>
    <x v="3"/>
    <s v="Male"/>
    <x v="5"/>
  </r>
  <r>
    <s v="ORD20397"/>
    <s v="Null"/>
    <s v="Arjun Pillai"/>
    <n v="21"/>
    <s v="Female"/>
    <s v="Home &amp; Kitchen"/>
    <s v="Tupperware Set"/>
    <n v="7"/>
    <m/>
    <x v="0"/>
    <s v="UPI"/>
    <x v="0"/>
    <x v="0"/>
    <s v="Null"/>
    <x v="2"/>
    <x v="2"/>
    <x v="3"/>
    <s v="Female"/>
    <x v="2"/>
  </r>
  <r>
    <s v="ORD20668"/>
    <d v="2023-01-02T00:00:00"/>
    <s v="Manoj Chauhan"/>
    <n v="33"/>
    <s v="Male"/>
    <s v="Home &amp; Kitchen"/>
    <s v="Bajaj Mixer Grinder"/>
    <n v="4"/>
    <m/>
    <x v="2"/>
    <s v="UPI"/>
    <x v="1"/>
    <x v="1"/>
    <s v="Null"/>
    <x v="2"/>
    <x v="2"/>
    <x v="3"/>
    <s v="Male"/>
    <x v="9"/>
  </r>
  <r>
    <s v="ORD20943"/>
    <s v="Null"/>
    <s v="Rahul Gupta"/>
    <n v="18"/>
    <s v="Male"/>
    <s v="Home &amp; Kitchen"/>
    <s v="Philips Air Fryer"/>
    <n v="4"/>
    <m/>
    <x v="10"/>
    <s v="Cash"/>
    <x v="0"/>
    <x v="0"/>
    <s v="Null"/>
    <x v="13"/>
    <x v="0"/>
    <x v="3"/>
    <s v="Male"/>
    <x v="2"/>
  </r>
  <r>
    <s v="ORD20098"/>
    <s v="Null"/>
    <s v="Pooja Nair"/>
    <n v="51"/>
    <s v="Female"/>
    <s v="Home &amp; Kitchen"/>
    <s v="Nilkamal Plastic Chair"/>
    <n v="8"/>
    <m/>
    <x v="1"/>
    <s v="COD"/>
    <x v="0"/>
    <x v="0"/>
    <s v="Null"/>
    <x v="3"/>
    <x v="3"/>
    <x v="3"/>
    <s v="Female"/>
    <x v="2"/>
  </r>
  <r>
    <s v="ORD20690"/>
    <d v="2023-10-12T00:00:00"/>
    <s v="Pranav Kulkarni"/>
    <n v="40"/>
    <s v="Female"/>
    <s v="Home &amp; Kitchen"/>
    <s v="Orient Ceiling Fan"/>
    <n v="8"/>
    <m/>
    <x v="2"/>
    <s v="Card"/>
    <x v="2"/>
    <x v="2"/>
    <s v="Null"/>
    <x v="10"/>
    <x v="2"/>
    <x v="3"/>
    <s v="Female"/>
    <x v="6"/>
  </r>
  <r>
    <s v="ORD20478"/>
    <d v="2023-05-06T00:00:00"/>
    <s v="Gaurav Bansal"/>
    <n v="41"/>
    <s v="Male"/>
    <s v="Home &amp; Kitchen"/>
    <s v="Cello Water Bottle"/>
    <n v="5"/>
    <m/>
    <x v="13"/>
    <s v="Card"/>
    <x v="0"/>
    <x v="0"/>
    <s v="Null"/>
    <x v="10"/>
    <x v="2"/>
    <x v="3"/>
    <s v="Male"/>
    <x v="8"/>
  </r>
  <r>
    <s v="ORD20627"/>
    <s v="Null"/>
    <s v="Deepika Rao"/>
    <n v="20"/>
    <s v="Female"/>
    <s v="Beauty"/>
    <s v="WOW Vitamin C Serum"/>
    <n v="10"/>
    <m/>
    <x v="2"/>
    <s v="UPI"/>
    <x v="0"/>
    <x v="0"/>
    <s v="Null"/>
    <x v="1"/>
    <x v="1"/>
    <x v="2"/>
    <s v="Female"/>
    <x v="2"/>
  </r>
  <r>
    <s v="ORD20283"/>
    <d v="2023-09-09T00:00:00"/>
    <s v="Rohit Verma"/>
    <n v="38"/>
    <s v="Male"/>
    <s v="clothing"/>
    <s v="Biba Salwar Suit"/>
    <n v="1"/>
    <m/>
    <x v="0"/>
    <s v="UPI"/>
    <x v="0"/>
    <x v="0"/>
    <s v="Null"/>
    <x v="2"/>
    <x v="2"/>
    <x v="1"/>
    <s v="Male"/>
    <x v="0"/>
  </r>
  <r>
    <s v="ORD20525"/>
    <d v="2023-10-16T00:00:00"/>
    <s v="Aarav Sharma"/>
    <n v="32"/>
    <s v="M"/>
    <s v="clothing"/>
    <s v="Puma Track Suit"/>
    <n v="2"/>
    <m/>
    <x v="1"/>
    <s v="Cash"/>
    <x v="0"/>
    <x v="0"/>
    <s v="Null"/>
    <x v="1"/>
    <x v="1"/>
    <x v="1"/>
    <s v="Male"/>
    <x v="6"/>
  </r>
  <r>
    <m/>
    <m/>
    <m/>
    <m/>
    <m/>
    <m/>
    <m/>
    <m/>
    <m/>
    <x v="13"/>
    <m/>
    <x v="9"/>
    <x v="3"/>
    <m/>
    <x v="16"/>
    <x v="4"/>
    <x v="4"/>
    <m/>
    <x v="13"/>
  </r>
  <r>
    <m/>
    <m/>
    <m/>
    <m/>
    <m/>
    <m/>
    <m/>
    <m/>
    <m/>
    <x v="13"/>
    <m/>
    <x v="9"/>
    <x v="3"/>
    <m/>
    <x v="16"/>
    <x v="4"/>
    <x v="4"/>
    <m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Vinod Patil"/>
    <n v="64"/>
    <s v="Male"/>
    <s v="Electronics"/>
    <s v="Xiaomi Smart TV 32&quot;"/>
    <n v="1"/>
    <n v="25800"/>
    <n v="0"/>
    <s v="COD"/>
    <s v="Delivered"/>
    <x v="0"/>
    <n v="-25800"/>
    <s v="West"/>
    <x v="0"/>
    <x v="0"/>
    <s v="Male"/>
    <s v="Sep"/>
  </r>
  <r>
    <s v="Pranav Kulkarni"/>
    <n v="25"/>
    <s v="Female"/>
    <s v="Electronics"/>
    <s v="Lenovo Tab M10"/>
    <n v="2"/>
    <n v="18100"/>
    <n v="40"/>
    <s v="Card"/>
    <s v="Delivered"/>
    <x v="0"/>
    <n v="-21720"/>
    <s v="North"/>
    <x v="1"/>
    <x v="0"/>
    <s v="Female"/>
    <s v="Nov"/>
  </r>
  <r>
    <s v="Manoj Chauhan"/>
    <n v="60"/>
    <s v="Other"/>
    <s v="Clothng"/>
    <s v="Nike Running Shoes"/>
    <n v="3"/>
    <n v="5900"/>
    <n v="10"/>
    <s v="Card"/>
    <s v="Delivered"/>
    <x v="0"/>
    <n v="-15930"/>
    <s v="East"/>
    <x v="2"/>
    <x v="1"/>
    <s v="Other"/>
    <s v="Nov"/>
  </r>
  <r>
    <s v="Null"/>
    <n v="30"/>
    <s v="Female"/>
    <s v="clothing"/>
    <s v="Cotton Saree"/>
    <n v="3"/>
    <n v="3750"/>
    <n v="-10"/>
    <s v="U.P.I"/>
    <s v="Delivered"/>
    <x v="0"/>
    <n v="-12375"/>
    <s v="North"/>
    <x v="1"/>
    <x v="1"/>
    <s v="Female"/>
    <s v="Null"/>
  </r>
  <r>
    <s v="Ashok Yadav"/>
    <n v="31"/>
    <s v="Male"/>
    <s v="Beauty"/>
    <s v="VLCC Gold Facial Kit"/>
    <n v="9"/>
    <n v="1447"/>
    <n v="5"/>
    <s v="Card"/>
    <s v="Delivered"/>
    <x v="0"/>
    <n v="-12371.85"/>
    <s v="South"/>
    <x v="3"/>
    <x v="2"/>
    <s v="Male"/>
    <s v="Null"/>
  </r>
  <r>
    <s v="Shweta Ghosh"/>
    <n v="26"/>
    <s v="Female"/>
    <s v="Electronics"/>
    <s v="Sony Headphones"/>
    <n v="1"/>
    <n v="12000"/>
    <n v="0"/>
    <s v="Cash"/>
    <s v="Delivered"/>
    <x v="0"/>
    <n v="-12000"/>
    <s v="North"/>
    <x v="1"/>
    <x v="0"/>
    <s v="Female"/>
    <s v="Jun"/>
  </r>
  <r>
    <s v="Null"/>
    <n v="23"/>
    <s v="Male"/>
    <s v="clothing"/>
    <s v="Nike Running Shoes"/>
    <n v="-1"/>
    <n v="7550"/>
    <n v="0"/>
    <s v="COD"/>
    <s v="Delivered"/>
    <x v="0"/>
    <n v="-7550"/>
    <s v="West"/>
    <x v="0"/>
    <x v="1"/>
    <s v="Male"/>
    <s v="Dec"/>
  </r>
  <r>
    <s v="Harish Menon"/>
    <n v="23"/>
    <s v="Female"/>
    <s v="clothing"/>
    <s v="Raymond Suit"/>
    <n v="-1"/>
    <n v="7450"/>
    <n v="5"/>
    <s v="Cash on Delivery"/>
    <s v="returned"/>
    <x v="1"/>
    <n v="-7077.5"/>
    <s v="South"/>
    <x v="3"/>
    <x v="1"/>
    <s v="Female"/>
    <s v="Null"/>
  </r>
  <r>
    <s v="Sanjay Dubey"/>
    <n v="58"/>
    <s v="Femle"/>
    <s v="Beauty"/>
    <s v="Maybelline Lipstick"/>
    <n v="10"/>
    <n v="432"/>
    <n v="0"/>
    <s v="UPI"/>
    <s v="Delivered"/>
    <x v="0"/>
    <n v="-4320"/>
    <s v="North"/>
    <x v="1"/>
    <x v="2"/>
    <s v="Other"/>
    <s v="Null"/>
  </r>
  <r>
    <s v="Rekha Sinha"/>
    <n v="25"/>
    <s v="Male"/>
    <s v="Home &amp; Kitchen"/>
    <s v="Orient Ceiling Fan"/>
    <n v="-1"/>
    <n v="4453"/>
    <n v="15"/>
    <s v="Debit Card"/>
    <s v="Cancelled"/>
    <x v="2"/>
    <n v="-3785.05"/>
    <s v="East"/>
    <x v="2"/>
    <x v="3"/>
    <s v="Male"/>
    <s v="Sep"/>
  </r>
  <r>
    <s v="Null"/>
    <n v="63"/>
    <s v="Female"/>
    <s v="Home &amp; Kitchen"/>
    <s v="Orient Ceiling Fan"/>
    <n v="-1"/>
    <n v="3572"/>
    <n v="25"/>
    <s v="Cash"/>
    <s v="Delivered"/>
    <x v="0"/>
    <n v="-2679"/>
    <s v="South"/>
    <x v="3"/>
    <x v="3"/>
    <s v="Female"/>
    <s v="Null"/>
  </r>
  <r>
    <s v="Suresh Joshi"/>
    <n v="45"/>
    <s v="Male"/>
    <s v="clothing"/>
    <s v="Biba Salwar Suit"/>
    <n v="-1"/>
    <n v="2750"/>
    <n v="20"/>
    <s v="UPI"/>
    <s v="Cancelled"/>
    <x v="2"/>
    <n v="-2200"/>
    <s v="Nort"/>
    <x v="1"/>
    <x v="1"/>
    <s v="Male"/>
    <s v="Aug"/>
  </r>
  <r>
    <s v="Deepika Rao"/>
    <n v="60"/>
    <s v="Male"/>
    <s v="clothing"/>
    <s v="Fabindia Kurta"/>
    <n v="1"/>
    <n v="2400"/>
    <n v="10"/>
    <s v="C.O.D"/>
    <s v="Delvered"/>
    <x v="0"/>
    <n v="-2160"/>
    <s v="S"/>
    <x v="3"/>
    <x v="1"/>
    <s v="Male"/>
    <s v="Jun"/>
  </r>
  <r>
    <s v="Null"/>
    <n v="61"/>
    <s v="Female"/>
    <s v="Home &amp; Kitchen"/>
    <s v="Cello Water Bottle"/>
    <n v="5"/>
    <n v="675"/>
    <n v="40"/>
    <s v="UPI"/>
    <s v="Delivered"/>
    <x v="0"/>
    <n v="-2025"/>
    <s v="East"/>
    <x v="2"/>
    <x v="3"/>
    <s v="Female"/>
    <s v="Oct"/>
  </r>
  <r>
    <s v="Vikram Mehta"/>
    <n v="62"/>
    <s v="Male"/>
    <s v="clothing"/>
    <s v="W Ethnic Wear"/>
    <n v="1"/>
    <n v="2200"/>
    <n v="15"/>
    <s v="UPI"/>
    <s v="Delivered"/>
    <x v="0"/>
    <n v="-1870"/>
    <s v="South"/>
    <x v="3"/>
    <x v="1"/>
    <s v="Male"/>
    <s v="Null"/>
  </r>
  <r>
    <s v="Null"/>
    <n v="59"/>
    <s v="Male"/>
    <s v="Home &amp; Kitchen"/>
    <s v="Tupperware Set"/>
    <n v="-1"/>
    <n v="1814"/>
    <n v="0"/>
    <s v="Card"/>
    <s v="Delivered"/>
    <x v="0"/>
    <n v="-1814"/>
    <s v="West"/>
    <x v="0"/>
    <x v="3"/>
    <s v="Male"/>
    <s v="Dec"/>
  </r>
  <r>
    <s v="Sanjay Dubey"/>
    <n v="20"/>
    <s v="Male"/>
    <s v="Beauty"/>
    <s v="Garnier Micellar Water"/>
    <n v="6"/>
    <n v="319"/>
    <n v="40"/>
    <s v="UPI"/>
    <s v="Delivered"/>
    <x v="0"/>
    <n v="-1148.4000000000001"/>
    <s v="East"/>
    <x v="2"/>
    <x v="2"/>
    <s v="Male"/>
    <s v="Mar"/>
  </r>
  <r>
    <s v="Lakshmi Krishnan"/>
    <n v="51"/>
    <s v="Female"/>
    <s v="Beauty"/>
    <s v="Nykaa Kajal"/>
    <n v="2"/>
    <n v="473"/>
    <n v="15"/>
    <s v="Card"/>
    <s v="Delivered"/>
    <x v="0"/>
    <n v="-804.1"/>
    <s v="East"/>
    <x v="2"/>
    <x v="2"/>
    <s v="Female"/>
    <s v="Jun"/>
  </r>
  <r>
    <s v="Rekha Sinha"/>
    <n v="47"/>
    <s v="Male"/>
    <s v="Beauty"/>
    <s v="Dove Body Lotion"/>
    <n v="2"/>
    <n v="400"/>
    <n v="5"/>
    <s v="Card"/>
    <s v="Cancelled"/>
    <x v="2"/>
    <n v="-760"/>
    <s v="West"/>
    <x v="0"/>
    <x v="2"/>
    <s v="Male"/>
    <s v="Null"/>
  </r>
  <r>
    <s v="Vikram Mehta"/>
    <n v="19"/>
    <s v="Other"/>
    <s v="Beauty"/>
    <s v="Nykaa Kajal"/>
    <n v="3"/>
    <n v="493"/>
    <n v="50"/>
    <s v="COD"/>
    <s v="returned"/>
    <x v="1"/>
    <n v="-739.5"/>
    <s v="West"/>
    <x v="0"/>
    <x v="2"/>
    <s v="Other"/>
    <s v="Null"/>
  </r>
  <r>
    <s v="Nikhil Bose"/>
    <m/>
    <s v="Female"/>
    <s v="Electronics"/>
    <s v="Mi Band 7"/>
    <n v="1"/>
    <n v="3900"/>
    <n v="110"/>
    <s v="UPI"/>
    <s v="Delivered"/>
    <x v="0"/>
    <n v="-390"/>
    <s v="West"/>
    <x v="0"/>
    <x v="0"/>
    <s v="Female"/>
    <s v="Null"/>
  </r>
  <r>
    <s v="Pooja Nair"/>
    <n v="38"/>
    <s v="Female"/>
    <s v="Beauty"/>
    <s v="Himalaya Neem Face Pack"/>
    <n v="-1"/>
    <n v="289"/>
    <n v="30"/>
    <s v="COD"/>
    <s v="Delivered"/>
    <x v="0"/>
    <n v="-202.3"/>
    <s v="South"/>
    <x v="3"/>
    <x v="2"/>
    <s v="Female"/>
    <s v="Sep"/>
  </r>
  <r>
    <s v="Meera Nambiar"/>
    <n v="22"/>
    <s v="Female"/>
    <s v="clothing"/>
    <s v="Allen Solly Formal Shirt"/>
    <n v="2"/>
    <n v="6"/>
    <n v="10"/>
    <s v="UPI"/>
    <s v="Delivered"/>
    <x v="0"/>
    <n v="-10.8"/>
    <s v="East"/>
    <x v="2"/>
    <x v="1"/>
    <s v="Female"/>
    <s v="Dec"/>
  </r>
  <r>
    <s v="Arjun Pillai"/>
    <n v="29"/>
    <s v="Male"/>
    <s v="clothing"/>
    <s v="Fabindia Kurta"/>
    <n v="0"/>
    <n v="1250"/>
    <n v="40"/>
    <s v="UPI"/>
    <s v="Cancelled"/>
    <x v="2"/>
    <n v="0"/>
    <s v="North"/>
    <x v="1"/>
    <x v="1"/>
    <s v="Male"/>
    <s v="Oct"/>
  </r>
  <r>
    <s v="Vikram Mehta"/>
    <n v="42"/>
    <s v="Male"/>
    <s v="clothing"/>
    <s v="Biba Salwar Suit"/>
    <n v="0"/>
    <n v="3600"/>
    <n v="25"/>
    <s v="Cash"/>
    <s v="Cancelled"/>
    <x v="2"/>
    <n v="0"/>
    <s v="East"/>
    <x v="2"/>
    <x v="1"/>
    <s v="Male"/>
    <s v="Oct"/>
  </r>
  <r>
    <s v="Ashok Yadav"/>
    <n v="52"/>
    <s v="Female"/>
    <s v="Electronics"/>
    <s v="Sony Headphones"/>
    <n v="0"/>
    <n v="13500"/>
    <n v="50"/>
    <s v="Card"/>
    <s v="Delivered"/>
    <x v="0"/>
    <n v="0"/>
    <s v="E"/>
    <x v="2"/>
    <x v="0"/>
    <s v="Female"/>
    <s v="Jun"/>
  </r>
  <r>
    <s v="Pooja Nair"/>
    <n v="29"/>
    <s v="Female"/>
    <s v="clothing"/>
    <s v="Nike Running Shoes"/>
    <n v="0"/>
    <n v="7850"/>
    <n v="20"/>
    <s v="COD"/>
    <s v="Delivered"/>
    <x v="0"/>
    <n v="0"/>
    <s v="West"/>
    <x v="0"/>
    <x v="1"/>
    <s v="Female"/>
    <s v="Nov"/>
  </r>
  <r>
    <s v="Pranav Kulkarni"/>
    <n v="18"/>
    <s v="Male"/>
    <s v="Beauty"/>
    <s v="Kama Ayurveda Hair Oil"/>
    <n v="0"/>
    <n v="847"/>
    <n v="30"/>
    <s v="Card"/>
    <s v="Delivered"/>
    <x v="0"/>
    <n v="0"/>
    <s v="South"/>
    <x v="3"/>
    <x v="2"/>
    <s v="Male"/>
    <s v="Nov"/>
  </r>
  <r>
    <s v="Vikram Mehta"/>
    <n v="64"/>
    <s v="Male"/>
    <s v="Beauty"/>
    <s v="Mamaearth Face Wash"/>
    <n v="0"/>
    <n v="358"/>
    <n v="30"/>
    <s v="COD"/>
    <s v="Cancelled"/>
    <x v="2"/>
    <n v="0"/>
    <s v="North"/>
    <x v="1"/>
    <x v="2"/>
    <s v="Male"/>
    <s v="May"/>
  </r>
  <r>
    <s v="Rahul Gupta"/>
    <n v="42"/>
    <s v="Male"/>
    <s v="Home &amp; Kitchen"/>
    <s v="Godrej Almirah"/>
    <n v="0"/>
    <n v="13365"/>
    <n v="30"/>
    <s v="Cash"/>
    <s v="Delivered"/>
    <x v="0"/>
    <n v="0"/>
    <s v="South"/>
    <x v="3"/>
    <x v="3"/>
    <s v="Male"/>
    <s v="Nov"/>
  </r>
  <r>
    <s v="Vikram Mehta"/>
    <n v="64"/>
    <s v="Male"/>
    <s v="Beauty"/>
    <s v="Mamaearth Face Wash"/>
    <n v="0"/>
    <n v="358"/>
    <n v="30"/>
    <s v="COD"/>
    <s v="Cancelled"/>
    <x v="2"/>
    <n v="0"/>
    <s v="North"/>
    <x v="1"/>
    <x v="2"/>
    <s v="Male"/>
    <s v="May"/>
  </r>
  <r>
    <s v="Null"/>
    <n v="56"/>
    <s v="Female"/>
    <s v="Beauty"/>
    <s v="Dove Body Lotion"/>
    <n v="0"/>
    <n v="432"/>
    <n v="15"/>
    <s v="COD"/>
    <s v="Delivered"/>
    <x v="0"/>
    <n v="0"/>
    <s v="West"/>
    <x v="0"/>
    <x v="2"/>
    <s v="Female"/>
    <s v="May"/>
  </r>
  <r>
    <s v="Null"/>
    <n v="30"/>
    <s v="Female"/>
    <s v="clothing"/>
    <s v="Adidas Sneakers"/>
    <n v="0"/>
    <n v="5650"/>
    <n v="40"/>
    <s v="Card"/>
    <s v="Delivered"/>
    <x v="0"/>
    <n v="0"/>
    <s v="East"/>
    <x v="2"/>
    <x v="1"/>
    <s v="Female"/>
    <s v="Jan"/>
  </r>
  <r>
    <s v="Null"/>
    <n v="65"/>
    <s v="Female"/>
    <s v="Beauty"/>
    <s v="Garnier Micellar Water"/>
    <n v="0"/>
    <n v="514"/>
    <n v="10"/>
    <s v="Credit Card"/>
    <s v="Delivered"/>
    <x v="0"/>
    <n v="0"/>
    <s v="South"/>
    <x v="3"/>
    <x v="2"/>
    <s v="Female"/>
    <s v="Dec"/>
  </r>
  <r>
    <s v="Pranav Kulkarni"/>
    <n v="29"/>
    <s v="Female"/>
    <s v="Electronics"/>
    <s v="Xiaomi Smart TV 32&quot;"/>
    <n v="0"/>
    <n v="24600"/>
    <n v="25"/>
    <s v="UPI"/>
    <s v="Delivered"/>
    <x v="0"/>
    <n v="0"/>
    <s v="South"/>
    <x v="3"/>
    <x v="0"/>
    <s v="Female"/>
    <s v="Nov"/>
  </r>
  <r>
    <s v="Null"/>
    <n v="22"/>
    <s v="Female"/>
    <s v="Electronics"/>
    <s v="LG Washing Machine"/>
    <n v="0"/>
    <n v="40900"/>
    <n v="10"/>
    <s v="COD"/>
    <s v="Delivered"/>
    <x v="0"/>
    <n v="0"/>
    <s v="North"/>
    <x v="1"/>
    <x v="0"/>
    <s v="Female"/>
    <s v="Null"/>
  </r>
  <r>
    <s v="Vikram Mehta"/>
    <n v="57"/>
    <s v="Female"/>
    <s v="Electonics"/>
    <s v="Whirlpool Refrigerator"/>
    <n v="0"/>
    <n v="44300"/>
    <n v="0"/>
    <s v="Card"/>
    <s v="returned"/>
    <x v="1"/>
    <n v="0"/>
    <s v="West"/>
    <x v="0"/>
    <x v="0"/>
    <s v="Female"/>
    <s v="Jan"/>
  </r>
  <r>
    <s v="Gaurav Bansal"/>
    <n v="26"/>
    <s v="Female"/>
    <s v="Home &amp; Kitchen"/>
    <s v="Prestige Pressure Cooker"/>
    <n v="0"/>
    <n v="4331"/>
    <n v="30"/>
    <s v="UPI"/>
    <s v="Delivered"/>
    <x v="0"/>
    <n v="0"/>
    <s v="North"/>
    <x v="1"/>
    <x v="3"/>
    <s v="Female"/>
    <s v="Nov"/>
  </r>
  <r>
    <s v="Smita Desai"/>
    <n v="37"/>
    <s v="Female"/>
    <s v="clothing"/>
    <s v="Raymond Suit"/>
    <n v="1"/>
    <n v="4"/>
    <n v="50"/>
    <s v="Card"/>
    <s v="Delivered"/>
    <x v="0"/>
    <n v="2"/>
    <s v="East"/>
    <x v="2"/>
    <x v="1"/>
    <s v="Female"/>
    <s v="Jul"/>
  </r>
  <r>
    <s v="Nikhil Bose"/>
    <n v="26"/>
    <s v="Female"/>
    <s v="Electronics"/>
    <s v="iPhone 14"/>
    <n v="2"/>
    <n v="2"/>
    <n v="30"/>
    <s v="UPI"/>
    <s v="Delivered"/>
    <x v="0"/>
    <n v="2.8"/>
    <s v="North"/>
    <x v="1"/>
    <x v="0"/>
    <s v="Female"/>
    <s v="Sep"/>
  </r>
  <r>
    <s v="Shweta Ghosh"/>
    <n v="45"/>
    <s v="Female"/>
    <s v="clothing"/>
    <s v="H&amp;M T-Shirt"/>
    <n v="3"/>
    <n v="2"/>
    <n v="0"/>
    <s v="Cash"/>
    <s v="Cancelled"/>
    <x v="2"/>
    <n v="6"/>
    <s v="East"/>
    <x v="2"/>
    <x v="1"/>
    <s v="Female"/>
    <s v="Null"/>
  </r>
  <r>
    <s v="Arjun Pillai"/>
    <n v="39"/>
    <s v="Male"/>
    <s v="Beauty"/>
    <s v="Biotique Sunscreen"/>
    <n v="2"/>
    <n v="4"/>
    <n v="0"/>
    <s v="UPI"/>
    <s v="Delivered"/>
    <x v="0"/>
    <n v="8"/>
    <s v="North"/>
    <x v="1"/>
    <x v="2"/>
    <s v="Male"/>
    <s v="Mar"/>
  </r>
  <r>
    <s v="Shreya Pandey"/>
    <n v="54"/>
    <s v="Female"/>
    <s v="Electronics"/>
    <s v="Whirlpool Refrigerator"/>
    <n v="2"/>
    <n v="5"/>
    <n v="15"/>
    <s v="Card"/>
    <s v="Delivered"/>
    <x v="0"/>
    <n v="8.5"/>
    <s v="North"/>
    <x v="1"/>
    <x v="0"/>
    <s v="Female"/>
    <s v="Null"/>
  </r>
  <r>
    <s v="Deepika Rao"/>
    <n v="30"/>
    <s v="Male"/>
    <s v="clothing"/>
    <s v="Adidas Sneakers"/>
    <n v="3"/>
    <n v="4"/>
    <n v="15"/>
    <s v="UPI"/>
    <s v="Delivered"/>
    <x v="0"/>
    <n v="10.199999999999999"/>
    <s v="East"/>
    <x v="2"/>
    <x v="1"/>
    <s v="Male"/>
    <s v="Sep"/>
  </r>
  <r>
    <s v="Pooja Nair"/>
    <n v="41"/>
    <s v="Female"/>
    <s v="clothing"/>
    <s v="Adidas Sneakers"/>
    <n v="3"/>
    <n v="4"/>
    <n v="10"/>
    <s v="COD"/>
    <s v="Delvered"/>
    <x v="0"/>
    <n v="10.8"/>
    <s v="West"/>
    <x v="0"/>
    <x v="1"/>
    <s v="Female"/>
    <s v="Jul"/>
  </r>
  <r>
    <s v="Pranav Kulkarni"/>
    <n v="21"/>
    <s v="Female"/>
    <s v="Home&amp;Kitchen"/>
    <s v="Tupperware Set"/>
    <n v="3"/>
    <n v="9"/>
    <n v="50"/>
    <s v="U.P.I"/>
    <s v="Delivered"/>
    <x v="0"/>
    <n v="13.5"/>
    <s v="West"/>
    <x v="0"/>
    <x v="3"/>
    <s v="Female"/>
    <s v="Nov"/>
  </r>
  <r>
    <s v="Null"/>
    <n v="21"/>
    <s v="Female"/>
    <s v="Beauty"/>
    <s v="Lakme Foundation"/>
    <n v="3"/>
    <n v="9"/>
    <n v="50"/>
    <s v="UPI"/>
    <s v="Delivered"/>
    <x v="0"/>
    <n v="13.5"/>
    <s v="East"/>
    <x v="2"/>
    <x v="2"/>
    <s v="Female"/>
    <s v="Apr"/>
  </r>
  <r>
    <s v="Deepika Rao"/>
    <n v="52"/>
    <s v="Female"/>
    <s v="Home &amp; Kitchen"/>
    <s v="Cello Water Bottle"/>
    <n v="9"/>
    <n v="2"/>
    <n v="15"/>
    <s v="UPI"/>
    <s v="Cancelled"/>
    <x v="2"/>
    <n v="15.3"/>
    <s v="South"/>
    <x v="3"/>
    <x v="3"/>
    <s v="Female"/>
    <s v="Nov"/>
  </r>
  <r>
    <s v="Rajesh Tiwari"/>
    <n v="26"/>
    <s v="Other"/>
    <s v="Electronics"/>
    <s v="Dell Laptop i5"/>
    <n v="2"/>
    <n v="9"/>
    <n v="0"/>
    <s v="UPI"/>
    <s v="Delivered"/>
    <x v="0"/>
    <n v="18"/>
    <s v="South"/>
    <x v="3"/>
    <x v="0"/>
    <s v="Other"/>
    <s v="Jan"/>
  </r>
  <r>
    <s v="Nikhil Bose"/>
    <n v="40"/>
    <s v="Female"/>
    <s v="Home &amp; Kitchen"/>
    <s v="Asian Paints 4L"/>
    <n v="4"/>
    <n v="8"/>
    <n v="25"/>
    <s v="Cash"/>
    <s v="Cancelled"/>
    <x v="2"/>
    <n v="24"/>
    <s v="South"/>
    <x v="3"/>
    <x v="3"/>
    <s v="Female"/>
    <s v="Nov"/>
  </r>
  <r>
    <s v="Vikas Saxena"/>
    <n v="26"/>
    <s v="Male"/>
    <s v="Home &amp; Kitchen"/>
    <s v="Bajaj Mixer Grinder"/>
    <n v="6"/>
    <n v="8"/>
    <n v="50"/>
    <s v="UPI"/>
    <s v="Cancelled"/>
    <x v="2"/>
    <n v="24"/>
    <s v="Soouth"/>
    <x v="3"/>
    <x v="3"/>
    <s v="Male"/>
    <s v="Jun"/>
  </r>
  <r>
    <s v="Null"/>
    <n v="21"/>
    <s v="Female"/>
    <s v="Home &amp; Kitchen"/>
    <s v="Pigeon Induction Cooktop"/>
    <n v="7"/>
    <n v="6"/>
    <n v="40"/>
    <s v="Card"/>
    <s v="Delivered"/>
    <x v="0"/>
    <n v="25.2"/>
    <s v="South"/>
    <x v="3"/>
    <x v="3"/>
    <s v="Female"/>
    <s v="Null"/>
  </r>
  <r>
    <s v="Manoj Chauhan"/>
    <n v="34"/>
    <s v="Female"/>
    <s v="clothing"/>
    <s v="Biba Salwar Suit"/>
    <n v="3"/>
    <n v="9"/>
    <n v="0"/>
    <s v="Cash"/>
    <s v="Delivered"/>
    <x v="0"/>
    <n v="27"/>
    <s v="South"/>
    <x v="3"/>
    <x v="1"/>
    <s v="Female"/>
    <s v="Null"/>
  </r>
  <r>
    <s v="Null"/>
    <n v="65"/>
    <s v="Female"/>
    <s v="Hme &amp; Kitchen"/>
    <s v="Pigeon Induction Cooktop"/>
    <n v="6"/>
    <n v="6"/>
    <n v="10"/>
    <s v="Credit Card"/>
    <s v="Delvered"/>
    <x v="0"/>
    <n v="32.4"/>
    <s v="East"/>
    <x v="2"/>
    <x v="3"/>
    <s v="Female"/>
    <s v="Null"/>
  </r>
  <r>
    <s v="Pranav Kulkarni"/>
    <n v="38"/>
    <s v="Male"/>
    <s v="Home &amp; Kitchen"/>
    <s v="Borosil Glass Set"/>
    <n v="9"/>
    <n v="5"/>
    <n v="5"/>
    <s v="Cash"/>
    <s v="Delivered"/>
    <x v="0"/>
    <n v="42.75"/>
    <s v="West"/>
    <x v="0"/>
    <x v="3"/>
    <s v="Male"/>
    <s v="Apr"/>
  </r>
  <r>
    <s v="Lakshmi Krishnan"/>
    <n v="58"/>
    <s v="Male"/>
    <s v="Home &amp; Kitchen"/>
    <s v="Prestige Pressure Cooker"/>
    <n v="7"/>
    <n v="8"/>
    <n v="5"/>
    <s v="Cash"/>
    <s v="Cancelled"/>
    <x v="2"/>
    <n v="53.2"/>
    <s v="Wst"/>
    <x v="0"/>
    <x v="3"/>
    <s v="Male"/>
    <s v="Nov"/>
  </r>
  <r>
    <s v="Swati Jain"/>
    <n v="51"/>
    <s v="Male"/>
    <s v="Home &amp; Kitchen"/>
    <s v="Milton Steel Bottles"/>
    <n v="10"/>
    <n v="7"/>
    <n v="5"/>
    <s v="COD"/>
    <s v="Delivered"/>
    <x v="0"/>
    <n v="66.5"/>
    <s v="East"/>
    <x v="2"/>
    <x v="3"/>
    <s v="Male"/>
    <s v="Nov"/>
  </r>
  <r>
    <s v="Rahul Gupta"/>
    <n v="23"/>
    <s v="Male"/>
    <s v="Beauty"/>
    <s v="Dove Body Lotion"/>
    <n v="1"/>
    <n v="308"/>
    <n v="20"/>
    <s v="Cash"/>
    <s v="Delivered"/>
    <x v="0"/>
    <n v="246.4"/>
    <s v="South"/>
    <x v="3"/>
    <x v="2"/>
    <s v="Male"/>
    <s v="Jun"/>
  </r>
  <r>
    <s v="Kavya Reddy"/>
    <n v="46"/>
    <s v="Femle"/>
    <s v="Beauty"/>
    <s v="Nykaa Kajal"/>
    <n v="1"/>
    <n v="358"/>
    <n v="30"/>
    <s v="UPI"/>
    <s v="Delivered"/>
    <x v="0"/>
    <n v="250.6"/>
    <s v="South"/>
    <x v="3"/>
    <x v="2"/>
    <s v="Other"/>
    <s v="Aug"/>
  </r>
  <r>
    <s v="Kavya  Reddy"/>
    <n v="29"/>
    <s v="Female"/>
    <s v="Beauty"/>
    <s v="VLCC Gold Facial Kit"/>
    <n v="1"/>
    <n v="1144"/>
    <n v="75"/>
    <s v="Cash"/>
    <s v="Delivered"/>
    <x v="0"/>
    <n v="286"/>
    <s v="East"/>
    <x v="2"/>
    <x v="2"/>
    <s v="Female"/>
    <s v="Nov"/>
  </r>
  <r>
    <s v="Deepika Rao"/>
    <n v="43"/>
    <s v="Male"/>
    <s v="Beauty"/>
    <s v="Himalaya Neem Face Pack"/>
    <n v="1"/>
    <n v="329"/>
    <n v="10"/>
    <s v="Cash"/>
    <s v="Delivered"/>
    <x v="0"/>
    <n v="329"/>
    <s v="East"/>
    <x v="2"/>
    <x v="2"/>
    <s v="Male"/>
    <s v="Aug"/>
  </r>
  <r>
    <s v="Pooja Nair"/>
    <n v="35"/>
    <s v="Male"/>
    <s v="Home &amp; Kitchen"/>
    <s v="Cello Water Bottle"/>
    <n v="1"/>
    <n v="336"/>
    <n v="0"/>
    <s v="COD"/>
    <s v="Delivered"/>
    <x v="0"/>
    <n v="336"/>
    <s v="East"/>
    <x v="2"/>
    <x v="3"/>
    <s v="Male"/>
    <s v="Null"/>
  </r>
  <r>
    <s v="Divya Hegde"/>
    <n v="38"/>
    <s v="Female"/>
    <s v="Home &amp; Kitchen"/>
    <s v="Cello Water Bottle"/>
    <n v="1"/>
    <n v="498"/>
    <n v="30"/>
    <s v="Cash"/>
    <s v="Cancelled"/>
    <x v="2"/>
    <n v="348.6"/>
    <s v="East"/>
    <x v="2"/>
    <x v="3"/>
    <s v="Female"/>
    <s v="Jun"/>
  </r>
  <r>
    <s v="Arjun Pillai"/>
    <n v="43"/>
    <s v="Female"/>
    <s v="Beauty"/>
    <s v="Nykaa Kajal"/>
    <n v="1"/>
    <n v="351"/>
    <n v="0"/>
    <s v="Card"/>
    <s v="Cancelled"/>
    <x v="2"/>
    <n v="351"/>
    <s v="East"/>
    <x v="2"/>
    <x v="2"/>
    <s v="Female"/>
    <s v="Oct"/>
  </r>
  <r>
    <s v="Ashok Yadav"/>
    <n v="26"/>
    <s v="Female"/>
    <s v="Beauty"/>
    <s v="Mamaearth Face Wash"/>
    <n v="2"/>
    <n v="436"/>
    <n v="50"/>
    <s v="Cash"/>
    <s v="Cancelled"/>
    <x v="2"/>
    <n v="436"/>
    <s v="South"/>
    <x v="3"/>
    <x v="2"/>
    <s v="Female"/>
    <s v="Null"/>
  </r>
  <r>
    <s v="Null"/>
    <n v="50"/>
    <s v="Female"/>
    <s v="Beauity"/>
    <s v="Garnier Micellar Water"/>
    <n v="6"/>
    <n v="439"/>
    <n v="10"/>
    <s v="Card"/>
    <s v="Delivered"/>
    <x v="0"/>
    <n v="439"/>
    <s v="South"/>
    <x v="3"/>
    <x v="2"/>
    <s v="Female"/>
    <s v="Oct"/>
  </r>
  <r>
    <s v="Null"/>
    <n v="56"/>
    <s v="Male"/>
    <s v="Beauty"/>
    <s v="Biotique Sunscreen"/>
    <n v="4"/>
    <n v="554"/>
    <n v="80"/>
    <s v="Card"/>
    <s v="Delivered"/>
    <x v="0"/>
    <n v="443.2"/>
    <s v="West"/>
    <x v="0"/>
    <x v="2"/>
    <s v="Male"/>
    <s v="Oct"/>
  </r>
  <r>
    <s v="Swati Jain"/>
    <n v="34"/>
    <s v="Male"/>
    <s v="BEUTY"/>
    <s v="Mamaearth Face Wash"/>
    <n v="1"/>
    <n v="533"/>
    <n v="15"/>
    <s v="Crdit Card"/>
    <s v="Cancelled"/>
    <x v="2"/>
    <n v="453.05"/>
    <s v="North"/>
    <x v="1"/>
    <x v="2"/>
    <s v="Male"/>
    <s v="Null"/>
  </r>
  <r>
    <s v="Rahul Gupta"/>
    <n v="22"/>
    <s v="Mle"/>
    <s v="Beauty"/>
    <s v="Nykaa Kajal"/>
    <n v="2"/>
    <n v="284"/>
    <n v="20"/>
    <s v="Card"/>
    <s v="Delivered"/>
    <x v="0"/>
    <n v="454.4"/>
    <s v="North"/>
    <x v="1"/>
    <x v="2"/>
    <s v="Other"/>
    <s v="Jun"/>
  </r>
  <r>
    <s v="Meera Nambiar"/>
    <n v="61"/>
    <s v="Female"/>
    <s v="Beauty"/>
    <s v="Nykaa Kajal"/>
    <n v="1"/>
    <n v="475"/>
    <n v="0"/>
    <s v="UPI"/>
    <s v="Cancelled"/>
    <x v="2"/>
    <n v="475"/>
    <s v="West"/>
    <x v="0"/>
    <x v="2"/>
    <s v="Female"/>
    <s v="Mar"/>
  </r>
  <r>
    <s v="Meera Nambiar"/>
    <n v="25"/>
    <s v="Female"/>
    <s v="Beauty"/>
    <s v="Nykaa Kajal"/>
    <n v="10"/>
    <n v="478"/>
    <n v="0"/>
    <s v="UPI"/>
    <s v="Delivered"/>
    <x v="0"/>
    <n v="478"/>
    <s v="North"/>
    <x v="1"/>
    <x v="2"/>
    <s v="Female"/>
    <s v="Null"/>
  </r>
  <r>
    <s v="Sanjay Dubey"/>
    <n v="35"/>
    <s v="Female"/>
    <s v="Beauty"/>
    <s v="Maybelline Lipstick"/>
    <n v="10"/>
    <n v="522"/>
    <n v="5"/>
    <s v="COD"/>
    <s v="Cancelled"/>
    <x v="2"/>
    <n v="522"/>
    <s v="South"/>
    <x v="3"/>
    <x v="2"/>
    <s v="Female"/>
    <s v="Null"/>
  </r>
  <r>
    <s v="Nitin Kapoor"/>
    <n v="44"/>
    <s v="Male"/>
    <s v="Beauty"/>
    <s v="Garnier Micellar Water"/>
    <n v="1"/>
    <n v="536"/>
    <n v="0"/>
    <s v="Card"/>
    <s v="returned"/>
    <x v="1"/>
    <n v="536"/>
    <s v="North"/>
    <x v="1"/>
    <x v="2"/>
    <s v="Male"/>
    <s v="Oct"/>
  </r>
  <r>
    <s v="Amit Kumar"/>
    <n v="62"/>
    <s v="Male"/>
    <s v="Beauty"/>
    <s v="Maybelline Lipstick"/>
    <n v="1"/>
    <n v="740"/>
    <n v="25"/>
    <s v="UPI"/>
    <s v="Delivered"/>
    <x v="0"/>
    <n v="555"/>
    <s v="South"/>
    <x v="3"/>
    <x v="2"/>
    <s v="Male"/>
    <s v="Null"/>
  </r>
  <r>
    <s v="Nikhil Bose"/>
    <n v="54"/>
    <s v="Femal"/>
    <s v="BEUTY"/>
    <s v="Mamaearth Face Wash"/>
    <n v="8"/>
    <n v="560"/>
    <n v="25"/>
    <s v="Card"/>
    <s v="Returnd"/>
    <x v="1"/>
    <n v="560"/>
    <s v="West"/>
    <x v="0"/>
    <x v="2"/>
    <s v="Other"/>
    <s v="Jan"/>
  </r>
  <r>
    <s v="Rajesh Tiwari"/>
    <n v="49"/>
    <s v="Female"/>
    <s v="Beauty"/>
    <s v="Garnier Micellar Water"/>
    <n v="2"/>
    <n v="590"/>
    <n v="50"/>
    <s v="Card"/>
    <s v="Cancelled"/>
    <x v="2"/>
    <n v="590"/>
    <s v="South"/>
    <x v="3"/>
    <x v="2"/>
    <s v="Female"/>
    <s v="Nov"/>
  </r>
  <r>
    <s v="Shreya Pandey"/>
    <n v="39"/>
    <s v="Female"/>
    <s v="Beauty"/>
    <s v="Plum Night Cream"/>
    <n v="1"/>
    <n v="591"/>
    <n v="5"/>
    <s v="Cash"/>
    <s v="Delivered"/>
    <x v="0"/>
    <n v="591"/>
    <s v="East"/>
    <x v="2"/>
    <x v="2"/>
    <s v="Female"/>
    <s v="Sep"/>
  </r>
  <r>
    <s v="Manoj Chauhan"/>
    <n v="35"/>
    <s v="Femle"/>
    <s v="Beauty"/>
    <s v="Dove Body Lotion"/>
    <n v="3"/>
    <n v="411"/>
    <n v="50"/>
    <s v="UPI"/>
    <s v="Delivered"/>
    <x v="0"/>
    <n v="616.5"/>
    <s v="East"/>
    <x v="2"/>
    <x v="2"/>
    <s v="Other"/>
    <s v="Feb"/>
  </r>
  <r>
    <s v="Null"/>
    <n v="37"/>
    <s v="Female"/>
    <s v="Electronics"/>
    <s v="boAt Earbuds"/>
    <n v="1"/>
    <n v="2500"/>
    <n v="75"/>
    <s v="UPI"/>
    <s v="Delivered"/>
    <x v="0"/>
    <n v="625"/>
    <s v="Sout"/>
    <x v="3"/>
    <x v="0"/>
    <s v="Female"/>
    <s v="Feb"/>
  </r>
  <r>
    <s v="Deepika Rao"/>
    <n v="18"/>
    <s v="Male"/>
    <s v="Beauty"/>
    <s v="Nykaa Kajal"/>
    <n v="3"/>
    <n v="364"/>
    <n v="40"/>
    <s v="Card"/>
    <s v="Delivered"/>
    <x v="0"/>
    <n v="655.20000000000005"/>
    <s v="West"/>
    <x v="0"/>
    <x v="2"/>
    <s v="Male"/>
    <s v="Oct"/>
  </r>
  <r>
    <s v="Deepika Rao"/>
    <n v="30"/>
    <s v="Female"/>
    <s v="Beauty"/>
    <s v="Mamaearth Face Wash"/>
    <n v="2"/>
    <n v="438"/>
    <n v="20"/>
    <s v="COD"/>
    <s v="Cancelled"/>
    <x v="2"/>
    <n v="700.8"/>
    <s v="East"/>
    <x v="2"/>
    <x v="2"/>
    <s v="Female"/>
    <s v="Jun"/>
  </r>
  <r>
    <s v="Neha Mishra"/>
    <n v="48"/>
    <s v="Female"/>
    <s v="Beauty"/>
    <s v="Dove Body Lotion"/>
    <n v="2"/>
    <n v="401"/>
    <n v="10"/>
    <s v="UPI"/>
    <s v="Cancelled"/>
    <x v="2"/>
    <n v="721.8"/>
    <s v="West"/>
    <x v="0"/>
    <x v="2"/>
    <s v="Female"/>
    <s v="Jun"/>
  </r>
  <r>
    <s v="Arjun Pillai"/>
    <n v="29"/>
    <s v="Female"/>
    <s v="Home &amp; Kitchen"/>
    <s v="Milton Steel Bottles"/>
    <n v="1"/>
    <n v="1003"/>
    <n v="25"/>
    <s v="Cash"/>
    <s v="returned"/>
    <x v="1"/>
    <n v="752.25"/>
    <s v="South"/>
    <x v="3"/>
    <x v="3"/>
    <s v="Female"/>
    <s v="Oct"/>
  </r>
  <r>
    <s v="Manoj Chauhan"/>
    <n v="60"/>
    <s v="Femle"/>
    <s v="Beauty"/>
    <s v="Dove Body Lotion"/>
    <n v="3"/>
    <n v="524"/>
    <n v="50"/>
    <s v="Cash"/>
    <s v="Delivered"/>
    <x v="0"/>
    <n v="786"/>
    <s v="North"/>
    <x v="1"/>
    <x v="2"/>
    <s v="Other"/>
    <s v="Null"/>
  </r>
  <r>
    <s v="Null"/>
    <n v="45"/>
    <s v="Female"/>
    <s v="Beauty"/>
    <s v="Mamaearth Face Wash"/>
    <n v="3"/>
    <n v="376"/>
    <n v="30"/>
    <s v="Cash"/>
    <s v="Delivered"/>
    <x v="0"/>
    <n v="789.6"/>
    <s v="South"/>
    <x v="3"/>
    <x v="2"/>
    <s v="Female"/>
    <s v="Oct"/>
  </r>
  <r>
    <s v="Sanjay Dubey"/>
    <n v="44"/>
    <s v="Female"/>
    <s v="clothing"/>
    <s v="Fabindia Kurta"/>
    <n v="1"/>
    <n v="1650"/>
    <n v="50"/>
    <s v="Cash"/>
    <s v="Cancelled"/>
    <x v="2"/>
    <n v="825"/>
    <s v="East"/>
    <x v="2"/>
    <x v="1"/>
    <s v="Female"/>
    <s v="Null"/>
  </r>
  <r>
    <s v="Lakshmi Krishnan"/>
    <n v="26"/>
    <s v="Other"/>
    <s v="Beauty"/>
    <s v="Maybelline Lipstick"/>
    <n v="2"/>
    <n v="446"/>
    <n v="5"/>
    <s v="COD"/>
    <s v="Delivered"/>
    <x v="0"/>
    <n v="847.4"/>
    <s v="North"/>
    <x v="1"/>
    <x v="2"/>
    <s v="Other"/>
    <s v="Dec"/>
  </r>
  <r>
    <s v="Ashok Yadav"/>
    <m/>
    <s v="Male"/>
    <s v="clothing"/>
    <s v="H&amp;M T-Shirt"/>
    <n v="1"/>
    <n v="1750"/>
    <n v="50"/>
    <s v="Card"/>
    <s v="Delivered"/>
    <x v="0"/>
    <n v="875"/>
    <s v="North"/>
    <x v="1"/>
    <x v="1"/>
    <s v="Male"/>
    <s v="Jun"/>
  </r>
  <r>
    <s v="Null"/>
    <n v="18"/>
    <s v="Female"/>
    <s v="Beauty"/>
    <s v="Himalaya Neem Face Pack"/>
    <n v="3"/>
    <n v="297"/>
    <n v="10"/>
    <s v="Card"/>
    <s v="Delivered"/>
    <x v="0"/>
    <n v="891"/>
    <s v="West"/>
    <x v="0"/>
    <x v="2"/>
    <s v="Female"/>
    <s v="Null"/>
  </r>
  <r>
    <s v="Shreya Pandey"/>
    <n v="45"/>
    <s v="Female"/>
    <s v="Beauty"/>
    <s v="Lakme Foundation"/>
    <n v="1"/>
    <n v="913"/>
    <n v="0"/>
    <s v="COD"/>
    <s v="Delivered"/>
    <x v="0"/>
    <n v="913"/>
    <s v="East"/>
    <x v="2"/>
    <x v="2"/>
    <s v="Female"/>
    <s v="Null"/>
  </r>
  <r>
    <s v="Null"/>
    <n v="48"/>
    <s v="Female"/>
    <s v="Beauty"/>
    <s v="Nykaa Kajal"/>
    <n v="8"/>
    <n v="240"/>
    <n v="50"/>
    <s v="COD"/>
    <s v="Deliverd"/>
    <x v="0"/>
    <n v="960"/>
    <s v="South"/>
    <x v="3"/>
    <x v="2"/>
    <s v="Female"/>
    <s v="Null"/>
  </r>
  <r>
    <s v="Shreya Pandey"/>
    <n v="19"/>
    <s v="Female"/>
    <s v="Beauty"/>
    <s v="Nykaa Kajal"/>
    <n v="3"/>
    <n v="401"/>
    <n v="20"/>
    <s v="COD"/>
    <s v="Delivered"/>
    <x v="0"/>
    <n v="962.4"/>
    <s v="East"/>
    <x v="2"/>
    <x v="2"/>
    <s v="Female"/>
    <s v="Nov"/>
  </r>
  <r>
    <s v="Vikas Saxena"/>
    <n v="50"/>
    <s v="Female"/>
    <s v="clothing"/>
    <s v="H&amp;M T-Shirt"/>
    <n v="1"/>
    <n v="1300"/>
    <n v="25"/>
    <s v="UPI"/>
    <s v="returned"/>
    <x v="1"/>
    <n v="975"/>
    <s v="East"/>
    <x v="2"/>
    <x v="1"/>
    <s v="Female"/>
    <s v="Dec"/>
  </r>
  <r>
    <s v="Rekha Sinha"/>
    <n v="52"/>
    <s v="Female"/>
    <s v="Home &amp; Kitchen"/>
    <s v="Milton Steel Bottles"/>
    <n v="1"/>
    <n v="983"/>
    <n v="0"/>
    <s v="Cash"/>
    <s v="Delivered"/>
    <x v="0"/>
    <n v="983"/>
    <s v="West"/>
    <x v="0"/>
    <x v="3"/>
    <s v="Female"/>
    <s v="Nov"/>
  </r>
  <r>
    <s v="Null"/>
    <n v="65"/>
    <s v="Male"/>
    <s v="Beauty"/>
    <s v="WOW Vitamin C Serum"/>
    <n v="1"/>
    <n v="1107"/>
    <n v="10"/>
    <s v="Card"/>
    <s v="Cancelled"/>
    <x v="2"/>
    <n v="996.3"/>
    <s v="South"/>
    <x v="3"/>
    <x v="2"/>
    <s v="Male"/>
    <s v="Apr"/>
  </r>
  <r>
    <s v="Rahul Gupta"/>
    <n v="20"/>
    <s v="Male"/>
    <s v="BEUTY"/>
    <s v="Nykaa Kajal"/>
    <n v="5"/>
    <n v="239"/>
    <n v="15"/>
    <s v="Card"/>
    <s v="Delivered"/>
    <x v="0"/>
    <n v="1015.75"/>
    <s v="East"/>
    <x v="2"/>
    <x v="2"/>
    <s v="Male"/>
    <s v="Null"/>
  </r>
  <r>
    <s v="Manoj Chauhan"/>
    <n v="63"/>
    <s v="Female"/>
    <s v="BEUTY"/>
    <s v="WOW Vitamin C Serum"/>
    <n v="1"/>
    <n v="1138"/>
    <n v="10"/>
    <s v="Cash"/>
    <s v="Delivered"/>
    <x v="0"/>
    <n v="1024.2"/>
    <s v="North"/>
    <x v="1"/>
    <x v="2"/>
    <s v="Female"/>
    <s v="Jun"/>
  </r>
  <r>
    <s v="Null"/>
    <n v="28"/>
    <s v="Male"/>
    <s v="Clothiing"/>
    <s v="Fabindia Kurta"/>
    <n v="1"/>
    <n v="1750"/>
    <n v="40"/>
    <s v="Cash"/>
    <s v="Deliverd"/>
    <x v="0"/>
    <n v="1050"/>
    <s v="West"/>
    <x v="0"/>
    <x v="1"/>
    <s v="Male"/>
    <s v="Oct"/>
  </r>
  <r>
    <s v="Shweta Ghosh"/>
    <n v="50"/>
    <s v="Male"/>
    <s v="Beauty"/>
    <s v="Plum Night Cream"/>
    <n v="1"/>
    <n v="1059"/>
    <n v="15"/>
    <s v="Card"/>
    <s v="Delivered"/>
    <x v="0"/>
    <n v="1059"/>
    <s v="West"/>
    <x v="0"/>
    <x v="2"/>
    <s v="Male"/>
    <s v="May"/>
  </r>
  <r>
    <s v="Anjali Srivastava"/>
    <m/>
    <s v="Male"/>
    <s v="Home &amp; Kitchen"/>
    <s v="Milton Steel Bottles"/>
    <n v="5"/>
    <n v="1062"/>
    <n v="5"/>
    <s v="Card"/>
    <s v="Delivered"/>
    <x v="0"/>
    <n v="1062"/>
    <s v="East"/>
    <x v="2"/>
    <x v="3"/>
    <s v="Male"/>
    <s v="Nov"/>
  </r>
  <r>
    <s v="Manish Agarwal"/>
    <n v="33"/>
    <s v="Male"/>
    <s v="clothing"/>
    <s v="Westside Dress"/>
    <n v="1"/>
    <n v="2150"/>
    <n v="50"/>
    <s v="Cash"/>
    <s v="Delivered"/>
    <x v="0"/>
    <n v="1075"/>
    <s v="North"/>
    <x v="1"/>
    <x v="1"/>
    <s v="Male"/>
    <s v="Aug"/>
  </r>
  <r>
    <s v="Lakshmi Krishnan"/>
    <n v="47"/>
    <s v="Male"/>
    <s v="clothing"/>
    <s v="Fabindia Kurta"/>
    <n v="1"/>
    <n v="1200"/>
    <n v="10"/>
    <s v="UPI"/>
    <s v="Delivered"/>
    <x v="0"/>
    <n v="1080"/>
    <s v="East"/>
    <x v="2"/>
    <x v="1"/>
    <s v="Male"/>
    <s v="May"/>
  </r>
  <r>
    <s v="Lakshmi Krishnan"/>
    <n v="47"/>
    <s v="Male"/>
    <s v="clothing"/>
    <s v="Fabindia Kurta"/>
    <n v="1"/>
    <n v="1200"/>
    <n v="10"/>
    <s v="UPI"/>
    <s v="Delivered"/>
    <x v="0"/>
    <n v="1080"/>
    <s v="East"/>
    <x v="2"/>
    <x v="1"/>
    <s v="Male"/>
    <s v="May"/>
  </r>
  <r>
    <s v="Rekha Sinha"/>
    <n v="20"/>
    <s v="Female"/>
    <s v="Beauty"/>
    <s v="Kama Ayurveda Hair Oil"/>
    <n v="1"/>
    <n v="1161"/>
    <n v="5"/>
    <s v="COD"/>
    <s v="Delivered"/>
    <x v="0"/>
    <n v="1102.95"/>
    <s v="East"/>
    <x v="2"/>
    <x v="2"/>
    <s v="Female"/>
    <s v="Apr"/>
  </r>
  <r>
    <s v="Arjun Pillai"/>
    <n v="18"/>
    <s v="Male"/>
    <s v="Beauty"/>
    <s v="Dove Body Lotion"/>
    <n v="4"/>
    <n v="375"/>
    <n v="25"/>
    <s v="Cash"/>
    <s v="Delivered"/>
    <x v="0"/>
    <n v="1125"/>
    <s v="North"/>
    <x v="1"/>
    <x v="2"/>
    <s v="Male"/>
    <s v="Nov"/>
  </r>
  <r>
    <s v="Arjun Pillai"/>
    <n v="64"/>
    <s v="Male"/>
    <s v="clothing"/>
    <s v="H&amp;M T-Shirt"/>
    <n v="1"/>
    <n v="1200"/>
    <n v="5"/>
    <s v="Card"/>
    <s v="Delivered"/>
    <x v="0"/>
    <n v="1140"/>
    <s v="South"/>
    <x v="3"/>
    <x v="1"/>
    <s v="Male"/>
    <s v="Apr"/>
  </r>
  <r>
    <s v="Rekha Sinha"/>
    <n v="36"/>
    <s v="Male"/>
    <s v="Home &amp; Kitchen"/>
    <s v="Borosil Glass Set"/>
    <n v="1"/>
    <n v="1149"/>
    <n v="80"/>
    <s v="Card"/>
    <s v="Delivered"/>
    <x v="0"/>
    <n v="1149"/>
    <s v="East"/>
    <x v="2"/>
    <x v="3"/>
    <s v="Male"/>
    <s v="Null"/>
  </r>
  <r>
    <s v="Rajesh Tiwari"/>
    <n v="37"/>
    <s v="Male"/>
    <s v="Beauty"/>
    <s v="Dove Body Lotion"/>
    <n v="3"/>
    <n v="555"/>
    <n v="30"/>
    <s v="UPI"/>
    <s v="Delivered"/>
    <x v="0"/>
    <n v="1165.5"/>
    <s v="East"/>
    <x v="2"/>
    <x v="2"/>
    <s v="Male"/>
    <s v="Jan"/>
  </r>
  <r>
    <s v="Ritu Bhatia"/>
    <n v="19"/>
    <s v="Female"/>
    <s v="Home &amp; Kitchen"/>
    <s v="Cello Water Bottle"/>
    <n v="4"/>
    <n v="493"/>
    <n v="40"/>
    <s v="Cash"/>
    <s v="returned"/>
    <x v="1"/>
    <n v="1183.2"/>
    <s v="West"/>
    <x v="0"/>
    <x v="3"/>
    <s v="Female"/>
    <s v="Null"/>
  </r>
  <r>
    <s v="Gaurav Bansal"/>
    <n v="52"/>
    <s v="Female"/>
    <s v="Home &amp; Kitchen"/>
    <s v="Cello Water Bottle"/>
    <n v="2"/>
    <n v="594"/>
    <n v="0"/>
    <s v="UPI"/>
    <s v="Retruned"/>
    <x v="1"/>
    <n v="1188"/>
    <s v="East"/>
    <x v="2"/>
    <x v="3"/>
    <s v="Female"/>
    <s v="Jul"/>
  </r>
  <r>
    <s v="Aarav Sharma"/>
    <n v="28"/>
    <s v="Female"/>
    <s v="Beauty"/>
    <s v="Nykaa Kajal"/>
    <n v="3"/>
    <n v="401"/>
    <n v="0"/>
    <s v="Cash"/>
    <s v="Delivered"/>
    <x v="0"/>
    <n v="1203"/>
    <s v="East"/>
    <x v="2"/>
    <x v="2"/>
    <s v="Female"/>
    <s v="Sep"/>
  </r>
  <r>
    <s v="Neha Mishra"/>
    <n v="42"/>
    <s v="Male"/>
    <s v="Beauty"/>
    <s v="Himalaya Neem Face Pack"/>
    <n v="6"/>
    <n v="225"/>
    <n v="10"/>
    <s v="UPI"/>
    <s v="Delivered"/>
    <x v="0"/>
    <n v="1215"/>
    <s v="East"/>
    <x v="2"/>
    <x v="2"/>
    <s v="Male"/>
    <s v="Oct"/>
  </r>
  <r>
    <s v="Vikas Saxena"/>
    <n v="27"/>
    <s v="Male"/>
    <s v="Home &amp; Kitchen"/>
    <s v="Milton Steel Bottles"/>
    <n v="1"/>
    <n v="1228"/>
    <n v="0"/>
    <s v="Card"/>
    <s v="Cancelled"/>
    <x v="2"/>
    <n v="1228"/>
    <s v="South"/>
    <x v="3"/>
    <x v="3"/>
    <s v="Male"/>
    <s v="Null"/>
  </r>
  <r>
    <s v="Deepika Rao"/>
    <n v="33"/>
    <s v="Female"/>
    <s v="Home &amp; Kitchen"/>
    <s v="Pigeon Induction Cooktop"/>
    <n v="1"/>
    <n v="2462"/>
    <n v="50"/>
    <s v="Card"/>
    <s v="Delivered"/>
    <x v="0"/>
    <n v="1231"/>
    <s v="South"/>
    <x v="3"/>
    <x v="3"/>
    <s v="Female"/>
    <s v="Null"/>
  </r>
  <r>
    <s v="Nikhil Bose"/>
    <n v="47"/>
    <s v="Female"/>
    <s v="clothing"/>
    <s v="Fabindia Kurta"/>
    <n v="1"/>
    <n v="1650"/>
    <n v="25"/>
    <s v="Credit Card"/>
    <s v="Cancelled"/>
    <x v="2"/>
    <n v="1237.5"/>
    <s v="West"/>
    <x v="0"/>
    <x v="1"/>
    <s v="Female"/>
    <s v="Oct"/>
  </r>
  <r>
    <s v="Manish Agarwal"/>
    <n v="29"/>
    <s v="M"/>
    <s v="Beauty"/>
    <s v="Plum Night Cream"/>
    <n v="6"/>
    <n v="1052"/>
    <n v="80"/>
    <s v="UPI"/>
    <s v="Delivered"/>
    <x v="0"/>
    <n v="1262.4000000000001"/>
    <s v="East"/>
    <x v="2"/>
    <x v="2"/>
    <s v="Male"/>
    <s v="Apr"/>
  </r>
  <r>
    <s v="Sanjay Dubey"/>
    <n v="34"/>
    <s v="Female"/>
    <s v="Home &amp; Kitchen"/>
    <s v="Cello Water Bottle"/>
    <n v="4"/>
    <n v="342"/>
    <n v="5"/>
    <s v="UPI"/>
    <s v="Cancelled"/>
    <x v="2"/>
    <n v="1299.5999999999999"/>
    <s v="North"/>
    <x v="1"/>
    <x v="3"/>
    <s v="Female"/>
    <s v="Null"/>
  </r>
  <r>
    <s v="Null"/>
    <n v="47"/>
    <s v="Male"/>
    <s v="clothing"/>
    <s v="H&amp;M T-Shirt"/>
    <n v="1"/>
    <n v="1450"/>
    <n v="10"/>
    <s v="UPI"/>
    <s v="Delivered"/>
    <x v="0"/>
    <n v="1305"/>
    <s v="Est"/>
    <x v="2"/>
    <x v="1"/>
    <s v="Male"/>
    <s v="Feb"/>
  </r>
  <r>
    <s v="Lakshmi Krishnan"/>
    <m/>
    <s v="Female"/>
    <s v="Beauty"/>
    <s v="Plum Night Cream"/>
    <n v="2"/>
    <n v="820"/>
    <n v="20"/>
    <s v="UPI"/>
    <s v="Delivered"/>
    <x v="0"/>
    <n v="1312"/>
    <s v="South"/>
    <x v="3"/>
    <x v="2"/>
    <s v="Female"/>
    <s v="Jun"/>
  </r>
  <r>
    <s v="Rajesh Tiwari"/>
    <m/>
    <s v="Female"/>
    <s v="Beauty"/>
    <s v="Himalaya Neem Face Pack"/>
    <n v="8"/>
    <n v="219"/>
    <n v="25"/>
    <s v="UPI"/>
    <s v="Delivered"/>
    <x v="0"/>
    <n v="1314"/>
    <s v="East"/>
    <x v="2"/>
    <x v="2"/>
    <s v="Female"/>
    <s v="Null"/>
  </r>
  <r>
    <s v="Shweta Ghosh"/>
    <n v="31"/>
    <s v="Female"/>
    <s v="Beauty"/>
    <s v="Nykaa Kajal"/>
    <n v="6"/>
    <n v="318"/>
    <n v="30"/>
    <s v="UPI"/>
    <s v="Delivered"/>
    <x v="0"/>
    <n v="1335.6"/>
    <s v="East"/>
    <x v="2"/>
    <x v="2"/>
    <s v="Female"/>
    <s v="Sep"/>
  </r>
  <r>
    <s v="Sanjay Dubey"/>
    <n v="44"/>
    <s v="Male"/>
    <s v="clothing"/>
    <s v="Fabindia Kurta"/>
    <n v="1"/>
    <n v="1500"/>
    <n v="10"/>
    <s v="Card"/>
    <s v="Delivered"/>
    <x v="0"/>
    <n v="1350"/>
    <s v="Eastt"/>
    <x v="2"/>
    <x v="1"/>
    <s v="Male"/>
    <s v="Nov"/>
  </r>
  <r>
    <s v="Nikhil Bose"/>
    <n v="28"/>
    <s v="Female"/>
    <s v="Home &amp; Kitchen"/>
    <s v="Borosil Glass Set"/>
    <n v="1"/>
    <n v="1429"/>
    <n v="5"/>
    <s v="U.P.I"/>
    <s v="Delivered"/>
    <x v="0"/>
    <n v="1357.55"/>
    <s v="West"/>
    <x v="0"/>
    <x v="3"/>
    <s v="Female"/>
    <s v="Jan"/>
  </r>
  <r>
    <s v="Gaurav Bansal"/>
    <n v="62"/>
    <s v="Female"/>
    <s v="Beauty"/>
    <s v="Kama Ayurveda Hair Oil"/>
    <n v="2"/>
    <n v="986"/>
    <n v="30"/>
    <s v="COD"/>
    <s v="returned"/>
    <x v="1"/>
    <n v="1380.4"/>
    <s v="Wst"/>
    <x v="0"/>
    <x v="2"/>
    <s v="Female"/>
    <s v="Mar"/>
  </r>
  <r>
    <s v="Amit Kumar"/>
    <n v="30"/>
    <s v="Female"/>
    <s v="clothing"/>
    <s v="H&amp;M T-Shirt"/>
    <n v="1"/>
    <n v="1550"/>
    <n v="10"/>
    <s v="Cash"/>
    <s v="Retruned"/>
    <x v="1"/>
    <n v="1395"/>
    <s v="North"/>
    <x v="1"/>
    <x v="1"/>
    <s v="Female"/>
    <s v="Null"/>
  </r>
  <r>
    <s v="Rekha Sinha"/>
    <n v="55"/>
    <s v="Male"/>
    <s v="Beauty"/>
    <s v="VLCC Gold Facial Kit"/>
    <n v="2"/>
    <n v="944"/>
    <n v="25"/>
    <s v="UPI"/>
    <s v="Delivered"/>
    <x v="0"/>
    <n v="1416"/>
    <s v="South"/>
    <x v="3"/>
    <x v="2"/>
    <s v="Male"/>
    <s v="Null"/>
  </r>
  <r>
    <s v="Lakshmi Krishnan"/>
    <n v="62"/>
    <s v="Male"/>
    <s v="Beauty"/>
    <s v="Dove Body Lotion"/>
    <n v="4"/>
    <n v="357"/>
    <m/>
    <s v="Card"/>
    <s v="Delivered"/>
    <x v="0"/>
    <n v="1428"/>
    <s v="North"/>
    <x v="1"/>
    <x v="2"/>
    <s v="Male"/>
    <s v="May"/>
  </r>
  <r>
    <s v="Manish Agarwal"/>
    <n v="52"/>
    <s v="Male"/>
    <s v="Home &amp; Kitchen"/>
    <s v="Cello Water Bottle"/>
    <n v="4"/>
    <n v="741"/>
    <n v="50"/>
    <s v="Card"/>
    <s v="Delivered"/>
    <x v="0"/>
    <n v="1482"/>
    <s v="West"/>
    <x v="0"/>
    <x v="3"/>
    <s v="Male"/>
    <s v="Dec"/>
  </r>
  <r>
    <s v="Manoj Chauhan"/>
    <n v="48"/>
    <s v="Male"/>
    <s v="clothing"/>
    <s v="Fabindia Kurta"/>
    <n v="1"/>
    <n v="1650"/>
    <n v="10"/>
    <s v="Card"/>
    <s v="Cancelled"/>
    <x v="2"/>
    <n v="1485"/>
    <s v="South"/>
    <x v="3"/>
    <x v="1"/>
    <s v="Male"/>
    <s v="Null"/>
  </r>
  <r>
    <s v="Sunita Pandey"/>
    <n v="18"/>
    <s v="Female"/>
    <s v="Beauty"/>
    <s v="Biotique Sunscreen"/>
    <n v="4"/>
    <n v="392"/>
    <n v="5"/>
    <s v="Card"/>
    <s v="returned"/>
    <x v="1"/>
    <n v="1489.6"/>
    <s v="South"/>
    <x v="3"/>
    <x v="2"/>
    <s v="Female"/>
    <s v="Null"/>
  </r>
  <r>
    <s v="Nikhil Bose"/>
    <n v="33"/>
    <s v="Female"/>
    <s v="clothing"/>
    <s v="Nike Running Shoes"/>
    <n v="1"/>
    <n v="7450"/>
    <n v="80"/>
    <s v="UPI"/>
    <s v="Delivered"/>
    <x v="0"/>
    <n v="1490"/>
    <s v="North"/>
    <x v="1"/>
    <x v="1"/>
    <s v="Female"/>
    <s v="Dec"/>
  </r>
  <r>
    <s v="Manoj Chauhan"/>
    <n v="61"/>
    <s v="Male"/>
    <s v="Clthing"/>
    <s v="Cotton Saree"/>
    <n v="2"/>
    <n v="1500"/>
    <n v="50"/>
    <s v="COD"/>
    <s v="Delivered"/>
    <x v="0"/>
    <n v="1500"/>
    <s v="North"/>
    <x v="1"/>
    <x v="1"/>
    <s v="Male"/>
    <s v="Nov"/>
  </r>
  <r>
    <s v="Pranav Kulkarni"/>
    <n v="59"/>
    <s v="M"/>
    <s v="Beauty"/>
    <s v="Biotique Sunscreen"/>
    <n v="5"/>
    <n v="504"/>
    <n v="40"/>
    <s v="UPI"/>
    <s v="Cancelled"/>
    <x v="2"/>
    <n v="1512"/>
    <s v="South"/>
    <x v="3"/>
    <x v="2"/>
    <s v="Male"/>
    <s v="Null"/>
  </r>
  <r>
    <s v="Suresh Joshi"/>
    <n v="60"/>
    <s v="Female"/>
    <s v="Beauty"/>
    <s v="Mamaearth Face Wash"/>
    <n v="3"/>
    <n v="506"/>
    <n v="0"/>
    <s v="COD"/>
    <s v="returned"/>
    <x v="1"/>
    <n v="1518"/>
    <s v="East"/>
    <x v="2"/>
    <x v="2"/>
    <s v="Female"/>
    <s v="Nov"/>
  </r>
  <r>
    <s v="Rekha Sinha"/>
    <n v="31"/>
    <s v="Male"/>
    <s v="Beauty"/>
    <s v="Himalaya Neem Face Pack"/>
    <n v="8"/>
    <n v="380"/>
    <n v="50"/>
    <s v="Card"/>
    <s v="Delivered"/>
    <x v="0"/>
    <n v="1520"/>
    <s v="East"/>
    <x v="2"/>
    <x v="2"/>
    <s v="Male"/>
    <s v="Mar"/>
  </r>
  <r>
    <s v="Aarav Sharma"/>
    <n v="62"/>
    <s v="Female"/>
    <s v="Home &amp; Kitchen"/>
    <s v="Borosil Glass Set"/>
    <n v="3"/>
    <n v="846"/>
    <n v="40"/>
    <s v="Card"/>
    <s v="Delivered"/>
    <x v="0"/>
    <n v="1522.8"/>
    <s v="South"/>
    <x v="3"/>
    <x v="3"/>
    <s v="Female"/>
    <s v="May"/>
  </r>
  <r>
    <s v="Manoj Chauhan"/>
    <n v="57"/>
    <s v="Male"/>
    <s v="Home &amp; Kitchen"/>
    <s v="Asian Paints 4L"/>
    <n v="2"/>
    <n v="1529"/>
    <n v="30"/>
    <s v="UPI"/>
    <s v="Cancelled"/>
    <x v="2"/>
    <n v="1529"/>
    <s v="West"/>
    <x v="0"/>
    <x v="3"/>
    <s v="Male"/>
    <s v="Sep"/>
  </r>
  <r>
    <s v="Tanvi Kulkarni"/>
    <n v="31"/>
    <s v="Male"/>
    <s v="Beauty"/>
    <s v="Dove Body Lotion"/>
    <n v="8"/>
    <n v="393"/>
    <n v="50"/>
    <s v="UPI"/>
    <s v="Cancelled"/>
    <x v="2"/>
    <n v="1572"/>
    <s v="North"/>
    <x v="1"/>
    <x v="2"/>
    <s v="Male"/>
    <s v="Jan"/>
  </r>
  <r>
    <s v="Sanjay Dubey"/>
    <n v="52"/>
    <s v="Male"/>
    <s v="Beauty"/>
    <s v="Himalaya Neem Face Pack"/>
    <n v="6"/>
    <n v="309"/>
    <n v="15"/>
    <s v="COD"/>
    <s v="Delvered"/>
    <x v="0"/>
    <n v="1575.9"/>
    <s v="East"/>
    <x v="2"/>
    <x v="2"/>
    <s v="Male"/>
    <s v="Mar"/>
  </r>
  <r>
    <s v="Deepika Rao"/>
    <n v="27"/>
    <s v="Male"/>
    <s v="Beauty"/>
    <s v="Maybelline Lipstick"/>
    <n v="6"/>
    <n v="532"/>
    <n v="50"/>
    <s v="UPI"/>
    <s v="Delivered"/>
    <x v="0"/>
    <n v="1596"/>
    <s v="East"/>
    <x v="2"/>
    <x v="2"/>
    <s v="Male"/>
    <s v="Null"/>
  </r>
  <r>
    <s v="Shweta Ghosh"/>
    <n v="30"/>
    <s v="Female"/>
    <s v="Home &amp; Kitchen"/>
    <s v="Cello Water Bottle"/>
    <n v="4"/>
    <n v="571"/>
    <n v="30"/>
    <s v="UPI"/>
    <s v="Delivered"/>
    <x v="0"/>
    <n v="1598.8"/>
    <s v="West"/>
    <x v="0"/>
    <x v="3"/>
    <s v="Female"/>
    <s v="Nov"/>
  </r>
  <r>
    <s v="Pooja Nair"/>
    <n v="27"/>
    <s v="Female"/>
    <s v="clothing"/>
    <s v="Cotton Saree"/>
    <n v="1"/>
    <n v="3200"/>
    <n v="50"/>
    <s v="Cash"/>
    <s v="Cancelled"/>
    <x v="2"/>
    <n v="1600"/>
    <s v="North"/>
    <x v="1"/>
    <x v="1"/>
    <s v="Female"/>
    <s v="Null"/>
  </r>
  <r>
    <s v="Deepika Rao"/>
    <n v="26"/>
    <s v="Female"/>
    <s v="Beauty"/>
    <s v="Plum Night Cream"/>
    <n v="3"/>
    <n v="536"/>
    <m/>
    <s v="Cash"/>
    <s v="Delivered"/>
    <x v="0"/>
    <n v="1608"/>
    <s v="West"/>
    <x v="0"/>
    <x v="2"/>
    <s v="Female"/>
    <s v="Jul"/>
  </r>
  <r>
    <s v="Shreya Pandey"/>
    <n v="5"/>
    <s v="M"/>
    <s v="Electronics"/>
    <s v="boAt Earbuds"/>
    <n v="1"/>
    <n v="1800"/>
    <n v="10"/>
    <s v="UPI"/>
    <s v="Delivered"/>
    <x v="0"/>
    <n v="1620"/>
    <s v="North"/>
    <x v="1"/>
    <x v="0"/>
    <s v="Male"/>
    <s v="Dec"/>
  </r>
  <r>
    <s v="Gaurav Bansal"/>
    <n v="27"/>
    <s v="Male"/>
    <s v="clothing"/>
    <s v="Fabindia Kurta"/>
    <n v="1"/>
    <n v="1800"/>
    <n v="10"/>
    <s v="Cash"/>
    <s v="Cancelled"/>
    <x v="2"/>
    <n v="1620"/>
    <s v="East"/>
    <x v="2"/>
    <x v="1"/>
    <s v="Male"/>
    <s v="Null"/>
  </r>
  <r>
    <s v="Ananya Singh"/>
    <n v="27"/>
    <s v="Male"/>
    <s v="Home &amp; Kitchen"/>
    <s v="Asian Paints 4L"/>
    <n v="1"/>
    <n v="2059"/>
    <n v="20"/>
    <s v="Card"/>
    <s v="Delivered"/>
    <x v="0"/>
    <n v="1647.2"/>
    <s v="South"/>
    <x v="3"/>
    <x v="3"/>
    <s v="Male"/>
    <s v="Aug"/>
  </r>
  <r>
    <s v="Lakshmi Krishnan"/>
    <n v="53"/>
    <s v="Male"/>
    <s v="clothing"/>
    <s v="Westside Dress"/>
    <n v="1"/>
    <n v="2200"/>
    <n v="25"/>
    <s v="Card"/>
    <s v="Delivered"/>
    <x v="0"/>
    <n v="1650"/>
    <s v="East"/>
    <x v="2"/>
    <x v="1"/>
    <s v="Male"/>
    <s v="Mar"/>
  </r>
  <r>
    <s v="Shweta Ghosh"/>
    <n v="45"/>
    <s v="Female"/>
    <s v="clothing"/>
    <s v="Fabindia Kurta"/>
    <n v="1"/>
    <n v="1650"/>
    <n v="0"/>
    <s v="Cash"/>
    <s v="Delivered"/>
    <x v="0"/>
    <n v="1650"/>
    <s v="East"/>
    <x v="2"/>
    <x v="1"/>
    <s v="Female"/>
    <s v="Jan"/>
  </r>
  <r>
    <s v="Manish Agarwal"/>
    <n v="22"/>
    <s v="Male"/>
    <s v="Home &amp; Kitchen"/>
    <s v="Cello Water Bottle"/>
    <n v="6"/>
    <n v="324"/>
    <n v="15"/>
    <s v="Cash"/>
    <s v="returned"/>
    <x v="1"/>
    <n v="1652.4"/>
    <s v="East"/>
    <x v="2"/>
    <x v="3"/>
    <s v="Male"/>
    <s v="May"/>
  </r>
  <r>
    <s v="Smita Desai"/>
    <n v="57"/>
    <s v="Female"/>
    <s v="Home &amp; Kitchen"/>
    <s v="Usha Iron"/>
    <n v="1"/>
    <n v="1654"/>
    <n v="0"/>
    <s v="UPI"/>
    <s v="Delivered"/>
    <x v="0"/>
    <n v="1654"/>
    <s v="East"/>
    <x v="2"/>
    <x v="3"/>
    <s v="Female"/>
    <s v="Nov"/>
  </r>
  <r>
    <s v="Null"/>
    <n v="19"/>
    <s v="Other"/>
    <s v="clothing"/>
    <s v="Fabindia Kurta"/>
    <n v="2"/>
    <n v="1400"/>
    <n v="40"/>
    <s v="Card"/>
    <s v="Delivered"/>
    <x v="0"/>
    <n v="1680"/>
    <s v="North"/>
    <x v="1"/>
    <x v="1"/>
    <s v="Other"/>
    <s v="Feb"/>
  </r>
  <r>
    <s v="Neha Mishra"/>
    <n v="61"/>
    <s v="Male"/>
    <s v="Home &amp; Kitchen"/>
    <s v="Cello Water Bottle"/>
    <n v="7"/>
    <n v="305"/>
    <n v="20"/>
    <s v="Card"/>
    <s v="Delvered"/>
    <x v="0"/>
    <n v="1708"/>
    <s v="East"/>
    <x v="2"/>
    <x v="3"/>
    <s v="Male"/>
    <s v="Sep"/>
  </r>
  <r>
    <s v="Pranav Kulkarni"/>
    <n v="19"/>
    <s v="Male"/>
    <s v="Beauty"/>
    <s v="L'Oreal Shampoo"/>
    <n v="2"/>
    <n v="866"/>
    <n v="0"/>
    <s v="Card"/>
    <s v="Delivered"/>
    <x v="0"/>
    <n v="1732"/>
    <s v="North"/>
    <x v="1"/>
    <x v="2"/>
    <s v="Male"/>
    <s v="Aug"/>
  </r>
  <r>
    <s v="Pallavi Deshmukh"/>
    <n v="45"/>
    <s v="Other"/>
    <s v="Beauty"/>
    <s v="Himalaya Neem Face Pack"/>
    <n v="5"/>
    <n v="386"/>
    <n v="10"/>
    <s v="Debit Card"/>
    <s v="returned"/>
    <x v="1"/>
    <n v="1737"/>
    <s v="West"/>
    <x v="0"/>
    <x v="2"/>
    <s v="Other"/>
    <s v="May"/>
  </r>
  <r>
    <s v="Null"/>
    <n v="49"/>
    <s v="Female"/>
    <s v="Beauty"/>
    <s v="Dove Body Lotion"/>
    <n v="3"/>
    <n v="581"/>
    <n v="0"/>
    <s v="UPI"/>
    <s v="Deliverd"/>
    <x v="0"/>
    <n v="1743"/>
    <s v="West"/>
    <x v="0"/>
    <x v="2"/>
    <s v="Female"/>
    <s v="Null"/>
  </r>
  <r>
    <s v="Neha Mishra"/>
    <n v="38"/>
    <s v="Male"/>
    <s v="Beauty"/>
    <s v="L'Oreal Shampoo"/>
    <n v="1"/>
    <n v="436"/>
    <n v="0"/>
    <s v="UPI"/>
    <s v="returned"/>
    <x v="1"/>
    <n v="1744"/>
    <s v="West"/>
    <x v="0"/>
    <x v="2"/>
    <s v="Male"/>
    <s v="May"/>
  </r>
  <r>
    <s v="Null"/>
    <n v="26"/>
    <s v="Female"/>
    <s v="Home &amp; Kitchen"/>
    <s v="Usha Iron"/>
    <n v="1"/>
    <n v="1952"/>
    <n v="10"/>
    <s v="UPI"/>
    <s v="Cancelled"/>
    <x v="2"/>
    <n v="1756.8"/>
    <s v="Norht"/>
    <x v="1"/>
    <x v="3"/>
    <s v="Female"/>
    <s v="Mar"/>
  </r>
  <r>
    <s v="Smita Desai"/>
    <n v="52"/>
    <s v="Male"/>
    <s v="Beauty"/>
    <s v="WOW Vitamin C Serum"/>
    <n v="3"/>
    <n v="1174"/>
    <n v="50"/>
    <s v="UPI"/>
    <s v="Cancelled"/>
    <x v="2"/>
    <n v="1761"/>
    <s v="South"/>
    <x v="3"/>
    <x v="2"/>
    <s v="Male"/>
    <s v="Dec"/>
  </r>
  <r>
    <s v="Swati Jain"/>
    <n v="35"/>
    <s v="Male"/>
    <s v="Beauty"/>
    <s v="Mamaearth Face Wash"/>
    <n v="6"/>
    <n v="310"/>
    <n v="5"/>
    <s v="COD"/>
    <s v="Delivered"/>
    <x v="0"/>
    <n v="1767"/>
    <s v="North"/>
    <x v="1"/>
    <x v="2"/>
    <s v="Male"/>
    <s v="Null"/>
  </r>
  <r>
    <s v="Pallavi Deshmukh"/>
    <n v="33"/>
    <s v="Male"/>
    <s v="Beauty"/>
    <s v="Biotique Sunscreen"/>
    <n v="4"/>
    <n v="493"/>
    <n v="10"/>
    <s v="Card"/>
    <s v="Delivered"/>
    <x v="0"/>
    <n v="1774.8"/>
    <s v="West"/>
    <x v="0"/>
    <x v="2"/>
    <s v="Male"/>
    <s v="Sep"/>
  </r>
  <r>
    <s v="Manish Agarwal"/>
    <n v="55"/>
    <s v="Male"/>
    <s v="Beauty"/>
    <s v="Garnier Micellar Water"/>
    <n v="6"/>
    <n v="332"/>
    <n v="10"/>
    <s v="UPI"/>
    <s v="returned"/>
    <x v="1"/>
    <n v="1792.8"/>
    <s v="West"/>
    <x v="0"/>
    <x v="2"/>
    <s v="Male"/>
    <s v="Mar"/>
  </r>
  <r>
    <s v="Sneha Iyer"/>
    <n v="44"/>
    <s v="Other"/>
    <s v="Beauty"/>
    <s v="Nykaa Kajal"/>
    <n v="7"/>
    <n v="366"/>
    <n v="30"/>
    <s v="Card"/>
    <s v="Delivered"/>
    <x v="0"/>
    <n v="1793.4"/>
    <s v="North"/>
    <x v="1"/>
    <x v="2"/>
    <s v="Other"/>
    <s v="Jul"/>
  </r>
  <r>
    <s v="Null"/>
    <n v="150"/>
    <s v="Female"/>
    <s v="Beauty"/>
    <s v="Nykaa Kajal"/>
    <n v="6"/>
    <n v="353"/>
    <n v="15"/>
    <s v="Card"/>
    <s v="Delivered"/>
    <x v="0"/>
    <n v="1800.3"/>
    <s v="West"/>
    <x v="0"/>
    <x v="2"/>
    <s v="Female"/>
    <s v="Feb"/>
  </r>
  <r>
    <s v="Pallavi Deshmukh"/>
    <n v="200"/>
    <s v="Male"/>
    <s v="BEUTY"/>
    <s v="Himalaya Neem Face Pack"/>
    <n v="9"/>
    <n v="239"/>
    <n v="15"/>
    <s v="UPI"/>
    <s v="returned"/>
    <x v="1"/>
    <n v="1828.35"/>
    <s v="South"/>
    <x v="3"/>
    <x v="2"/>
    <s v="Male"/>
    <s v="Dec"/>
  </r>
  <r>
    <s v="Amit Kumar"/>
    <n v="23"/>
    <s v="Female"/>
    <s v="Home &amp; Kitchen"/>
    <s v="Cello Water Bottle"/>
    <n v="8"/>
    <n v="330"/>
    <n v="30"/>
    <s v="UPI"/>
    <s v="Delivered"/>
    <x v="0"/>
    <n v="1848"/>
    <s v="East"/>
    <x v="2"/>
    <x v="3"/>
    <s v="Female"/>
    <s v="Jul"/>
  </r>
  <r>
    <s v="Manoj Chauhan"/>
    <n v="51"/>
    <s v="Female"/>
    <s v="Beauty"/>
    <s v="Dove Body Lotion"/>
    <n v="8"/>
    <n v="464"/>
    <n v="50"/>
    <s v="UPI"/>
    <s v="returned"/>
    <x v="1"/>
    <n v="1856"/>
    <s v="North"/>
    <x v="1"/>
    <x v="2"/>
    <s v="Female"/>
    <s v="Null"/>
  </r>
  <r>
    <s v="Aarav Sharma"/>
    <n v="45"/>
    <s v="Female"/>
    <s v="clothing"/>
    <s v="Peter England Trousers"/>
    <n v="1"/>
    <n v="3100"/>
    <n v="40"/>
    <s v="Card"/>
    <s v="Delivered"/>
    <x v="0"/>
    <n v="1860"/>
    <s v="North"/>
    <x v="1"/>
    <x v="1"/>
    <s v="Female"/>
    <s v="Null"/>
  </r>
  <r>
    <s v="Neha Mishra"/>
    <n v="20"/>
    <s v="Male"/>
    <s v="Beauty"/>
    <s v="Nykaa Kajal"/>
    <n v="7"/>
    <n v="317"/>
    <n v="15"/>
    <s v="Cash"/>
    <s v="Cancelled"/>
    <x v="2"/>
    <n v="1886.15"/>
    <s v="North"/>
    <x v="1"/>
    <x v="2"/>
    <s v="Male"/>
    <s v="Aug"/>
  </r>
  <r>
    <s v="Ritu Bhatia"/>
    <n v="18"/>
    <s v="Female"/>
    <s v="Beauty"/>
    <s v="Nykaa Kajal"/>
    <n v="5"/>
    <n v="398"/>
    <n v="5"/>
    <s v="Card"/>
    <s v="Cancelled"/>
    <x v="2"/>
    <n v="1890.5"/>
    <s v="West"/>
    <x v="0"/>
    <x v="2"/>
    <s v="Female"/>
    <s v="Jun"/>
  </r>
  <r>
    <s v="Rahul Gupta"/>
    <n v="30"/>
    <s v="Female"/>
    <s v="clothing"/>
    <s v="Peter England Trousers"/>
    <n v="1"/>
    <n v="2000"/>
    <n v="5"/>
    <s v="Card"/>
    <s v="Delivered"/>
    <x v="0"/>
    <n v="1900"/>
    <s v="West"/>
    <x v="0"/>
    <x v="1"/>
    <s v="Female"/>
    <s v="Sep"/>
  </r>
  <r>
    <s v="Manoj Chauhan"/>
    <n v="53"/>
    <s v="Male"/>
    <s v="clothing"/>
    <s v="Westside Dress"/>
    <n v="1"/>
    <n v="3200"/>
    <n v="40"/>
    <s v="Crdit Card"/>
    <s v="Cancelled"/>
    <x v="2"/>
    <n v="1920"/>
    <s v="North"/>
    <x v="1"/>
    <x v="1"/>
    <s v="Male"/>
    <s v="Mar"/>
  </r>
  <r>
    <s v="Manoj Chauhan"/>
    <n v="64"/>
    <s v="Male"/>
    <s v="Clothiing"/>
    <s v="Fabindia Kurta"/>
    <n v="1"/>
    <n v="2050"/>
    <n v="5"/>
    <s v="Card"/>
    <s v="returned"/>
    <x v="1"/>
    <n v="1947.5"/>
    <s v="West"/>
    <x v="0"/>
    <x v="1"/>
    <s v="Male"/>
    <s v="Apr"/>
  </r>
  <r>
    <s v="Manoj Chauhan"/>
    <n v="64"/>
    <s v="Male"/>
    <s v="Clothiing"/>
    <s v="Fabindia Kurta"/>
    <n v="1"/>
    <n v="2050"/>
    <n v="5"/>
    <s v="Card"/>
    <s v="returned"/>
    <x v="1"/>
    <n v="1947.5"/>
    <s v="West"/>
    <x v="0"/>
    <x v="1"/>
    <s v="Male"/>
    <s v="Apr"/>
  </r>
  <r>
    <s v="Shweta Ghosh"/>
    <n v="39"/>
    <s v="M"/>
    <s v="clothing"/>
    <s v="Allen Solly Formal Shirt"/>
    <n v="1"/>
    <n v="2200"/>
    <n v="10"/>
    <s v="Card"/>
    <s v="Cancled"/>
    <x v="2"/>
    <n v="1980"/>
    <s v="Soouth"/>
    <x v="3"/>
    <x v="1"/>
    <s v="Male"/>
    <s v="Jun"/>
  </r>
  <r>
    <s v="Gaurav Bansal"/>
    <n v="30"/>
    <s v="Femal"/>
    <s v="clothing"/>
    <s v="H&amp;M T-Shirt"/>
    <n v="2"/>
    <n v="1650"/>
    <n v="40"/>
    <s v="Card"/>
    <s v="Delivered"/>
    <x v="0"/>
    <n v="1980"/>
    <s v="South"/>
    <x v="3"/>
    <x v="1"/>
    <s v="Other"/>
    <s v="Null"/>
  </r>
  <r>
    <s v="Arjun Pillai"/>
    <n v="26"/>
    <s v="Male"/>
    <s v="Beauty"/>
    <s v="Dove Body Lotion"/>
    <n v="7"/>
    <n v="316"/>
    <n v="10"/>
    <s v="UPI"/>
    <s v="Delivered"/>
    <x v="0"/>
    <n v="1990.8"/>
    <s v="South"/>
    <x v="3"/>
    <x v="2"/>
    <s v="Male"/>
    <s v="Oct"/>
  </r>
  <r>
    <s v="Null"/>
    <n v="32"/>
    <s v="Female"/>
    <s v="clothing"/>
    <s v="Fabindia Kurta"/>
    <n v="1"/>
    <n v="2000"/>
    <n v="0"/>
    <s v="COD"/>
    <s v="Delivered"/>
    <x v="0"/>
    <n v="2000"/>
    <s v="West"/>
    <x v="0"/>
    <x v="1"/>
    <s v="Female"/>
    <s v="Sep"/>
  </r>
  <r>
    <s v="Deepika Rao"/>
    <n v="50"/>
    <s v="Female"/>
    <s v="Electonics"/>
    <s v="Mi Band 7"/>
    <n v="1"/>
    <n v="4000"/>
    <n v="50"/>
    <s v="UPI"/>
    <s v="Delivered"/>
    <x v="0"/>
    <n v="2000"/>
    <s v="South"/>
    <x v="3"/>
    <x v="0"/>
    <s v="Female"/>
    <s v="Mar"/>
  </r>
  <r>
    <s v="Sunita Pandey"/>
    <n v="65"/>
    <s v="Female"/>
    <s v="clothing"/>
    <s v="Peter England Trousers"/>
    <n v="2"/>
    <n v="2000"/>
    <n v="5"/>
    <s v="Card"/>
    <s v="Cancelled"/>
    <x v="2"/>
    <n v="2000"/>
    <s v="West"/>
    <x v="0"/>
    <x v="1"/>
    <s v="Female"/>
    <s v="Null"/>
  </r>
  <r>
    <s v="Lakshmi Krishnan"/>
    <n v="46"/>
    <s v="Male"/>
    <s v="clothing"/>
    <s v="W Ethnic Wear"/>
    <n v="1"/>
    <n v="2200"/>
    <n v="5"/>
    <s v="UPI"/>
    <s v="Delivered"/>
    <x v="0"/>
    <n v="2090"/>
    <s v="West"/>
    <x v="0"/>
    <x v="1"/>
    <s v="Male"/>
    <s v="Null"/>
  </r>
  <r>
    <s v="Rekha Sinha"/>
    <n v="59"/>
    <s v="Male"/>
    <s v="clothing"/>
    <s v="W Ethnic Wear"/>
    <n v="1"/>
    <n v="2100"/>
    <n v="0"/>
    <s v="UPI"/>
    <s v="Cancelled"/>
    <x v="2"/>
    <n v="2100"/>
    <s v="South"/>
    <x v="3"/>
    <x v="1"/>
    <s v="Male"/>
    <s v="Sep"/>
  </r>
  <r>
    <s v="Null"/>
    <n v="28"/>
    <s v="Female"/>
    <s v="Beauty"/>
    <s v="Biotique Sunscreen"/>
    <n v="6"/>
    <n v="501"/>
    <n v="30"/>
    <s v="COD"/>
    <s v="Delivered"/>
    <x v="0"/>
    <n v="2104.1999999999998"/>
    <s v="East"/>
    <x v="2"/>
    <x v="2"/>
    <s v="Female"/>
    <s v="Nov"/>
  </r>
  <r>
    <s v="Null"/>
    <n v="28"/>
    <s v="Female"/>
    <s v="Beauty"/>
    <s v="Biotique Sunscreen"/>
    <n v="6"/>
    <n v="501"/>
    <n v="30"/>
    <s v="COD"/>
    <s v="Delivered"/>
    <x v="0"/>
    <n v="2104.1999999999998"/>
    <s v="East"/>
    <x v="2"/>
    <x v="2"/>
    <s v="Female"/>
    <s v="Nov"/>
  </r>
  <r>
    <s v="Deepika Rao"/>
    <n v="62"/>
    <s v="Female"/>
    <s v="Beauty"/>
    <s v="Mamaearth Face Wash"/>
    <n v="5"/>
    <n v="427"/>
    <n v="0"/>
    <s v="UPI"/>
    <s v="returned"/>
    <x v="1"/>
    <n v="2135"/>
    <s v="North"/>
    <x v="1"/>
    <x v="2"/>
    <s v="Female"/>
    <s v="Feb"/>
  </r>
  <r>
    <s v="Null"/>
    <n v="37"/>
    <s v="Female"/>
    <s v="Beauty"/>
    <s v="Maybelline Lipstick"/>
    <n v="5"/>
    <n v="479"/>
    <n v="10"/>
    <s v="Cash"/>
    <s v="Delivered"/>
    <x v="0"/>
    <n v="2155.5"/>
    <s v="North"/>
    <x v="1"/>
    <x v="2"/>
    <s v="Female"/>
    <s v="Jan"/>
  </r>
  <r>
    <s v="Null"/>
    <n v="21"/>
    <s v="Female"/>
    <s v="Beauty"/>
    <s v="Forest Essentials Cream"/>
    <n v="1"/>
    <n v="2273"/>
    <n v="5"/>
    <s v="Card"/>
    <s v="Delivered"/>
    <x v="0"/>
    <n v="2159.35"/>
    <s v="South"/>
    <x v="3"/>
    <x v="2"/>
    <s v="Female"/>
    <s v="Jun"/>
  </r>
  <r>
    <s v="Null"/>
    <n v="35"/>
    <s v="Male"/>
    <s v="clothing"/>
    <s v="Biba Salwar Suit"/>
    <n v="1"/>
    <n v="2400"/>
    <n v="10"/>
    <s v="Cash"/>
    <s v="returned"/>
    <x v="1"/>
    <n v="2160"/>
    <s v="East"/>
    <x v="2"/>
    <x v="1"/>
    <s v="Male"/>
    <s v="Null"/>
  </r>
  <r>
    <s v="Shweta Ghosh"/>
    <n v="47"/>
    <s v="Female"/>
    <s v="clothing"/>
    <s v="W Ethnic Wear"/>
    <n v="1"/>
    <n v="2300"/>
    <n v="5"/>
    <s v="Cash"/>
    <s v="Cancelled"/>
    <x v="2"/>
    <n v="2185"/>
    <s v="West"/>
    <x v="0"/>
    <x v="1"/>
    <s v="Female"/>
    <s v="Dec"/>
  </r>
  <r>
    <s v="Nikhil Bose"/>
    <n v="33"/>
    <s v="Female"/>
    <s v="Beauty"/>
    <s v="Lakme Foundation"/>
    <n v="5"/>
    <n v="731"/>
    <n v="40"/>
    <s v="UPI"/>
    <s v="Delivered"/>
    <x v="0"/>
    <n v="2193"/>
    <s v="North"/>
    <x v="1"/>
    <x v="2"/>
    <s v="Female"/>
    <s v="May"/>
  </r>
  <r>
    <s v="Null"/>
    <n v="56"/>
    <s v="Male"/>
    <s v="Beauty"/>
    <s v="Plum Night Cream"/>
    <n v="4"/>
    <n v="733"/>
    <n v="25"/>
    <s v="Cash"/>
    <s v="Delivered"/>
    <x v="0"/>
    <n v="2199"/>
    <s v="North"/>
    <x v="1"/>
    <x v="2"/>
    <s v="Male"/>
    <s v="Null"/>
  </r>
  <r>
    <s v="Ananya Singh"/>
    <n v="36"/>
    <s v="Male"/>
    <s v="Home &amp; Kitchen"/>
    <s v="Usha Iron"/>
    <n v="2"/>
    <n v="2218"/>
    <n v="50"/>
    <s v="Card"/>
    <s v="Delivered"/>
    <x v="0"/>
    <n v="2218"/>
    <s v="W"/>
    <x v="0"/>
    <x v="3"/>
    <s v="Male"/>
    <s v="Sep"/>
  </r>
  <r>
    <s v="Aarav Sharma"/>
    <n v="25"/>
    <s v="Female"/>
    <s v="Home &amp; Kitchen"/>
    <s v="Cello Water Bottle"/>
    <n v="3"/>
    <n v="744"/>
    <n v="0"/>
    <s v="UPI"/>
    <s v="Cancalled"/>
    <x v="2"/>
    <n v="2232"/>
    <s v="South"/>
    <x v="3"/>
    <x v="3"/>
    <s v="Female"/>
    <s v="Jun"/>
  </r>
  <r>
    <s v="Ananya Singh"/>
    <n v="63"/>
    <s v="Female"/>
    <s v="Home &amp; Kitchen"/>
    <s v="Cello Water Bottle"/>
    <n v="9"/>
    <n v="415"/>
    <n v="40"/>
    <s v="Cash"/>
    <s v="Delivered"/>
    <x v="0"/>
    <n v="2241"/>
    <s v="West"/>
    <x v="0"/>
    <x v="3"/>
    <s v="Female"/>
    <s v="Jun"/>
  </r>
  <r>
    <s v="Neha Mishra"/>
    <n v="42"/>
    <s v="Other"/>
    <s v="Home &amp; Kitchen"/>
    <s v="Milton Steel Bottles"/>
    <n v="3"/>
    <n v="788"/>
    <n v="5"/>
    <s v="Card"/>
    <s v="Delivered"/>
    <x v="0"/>
    <n v="2245.8000000000002"/>
    <s v="South"/>
    <x v="3"/>
    <x v="3"/>
    <s v="Other"/>
    <s v="Dec"/>
  </r>
  <r>
    <s v="Pooja Nair"/>
    <n v="56"/>
    <s v="Female"/>
    <s v="Beauty"/>
    <s v="Lakme Foundation"/>
    <n v="6"/>
    <n v="538"/>
    <n v="30"/>
    <s v="UPI"/>
    <s v="Delivered"/>
    <x v="0"/>
    <n v="2259.6"/>
    <s v="West"/>
    <x v="0"/>
    <x v="2"/>
    <s v="Female"/>
    <s v="Null"/>
  </r>
  <r>
    <s v="Null"/>
    <n v="47"/>
    <s v="Male"/>
    <s v="Beauty"/>
    <s v="Himalaya Neem Face Pack"/>
    <n v="8"/>
    <n v="355"/>
    <n v="20"/>
    <s v="UPI"/>
    <s v="Delivered"/>
    <x v="0"/>
    <n v="2272"/>
    <s v="North"/>
    <x v="1"/>
    <x v="2"/>
    <s v="Male"/>
    <s v="Feb"/>
  </r>
  <r>
    <s v="Null"/>
    <n v="60"/>
    <s v="Female"/>
    <s v="clothing"/>
    <s v="Puma Track Suit"/>
    <n v="1"/>
    <n v="4550"/>
    <n v="50"/>
    <s v="Cash"/>
    <s v="Cancelled"/>
    <x v="2"/>
    <n v="2275"/>
    <s v="Soouth"/>
    <x v="3"/>
    <x v="1"/>
    <s v="Female"/>
    <s v="Null"/>
  </r>
  <r>
    <s v="Shweta Ghosh"/>
    <n v="20"/>
    <s v="Female"/>
    <s v="Beauty"/>
    <s v="Mamaearth Face Wash"/>
    <n v="6"/>
    <n v="400"/>
    <n v="5"/>
    <s v="COD"/>
    <s v="Delivered"/>
    <x v="0"/>
    <n v="2280"/>
    <s v="North"/>
    <x v="1"/>
    <x v="2"/>
    <s v="Female"/>
    <s v="Null"/>
  </r>
  <r>
    <s v="Arjun Pillai"/>
    <n v="43"/>
    <s v="Male"/>
    <s v="Electonics"/>
    <s v="boAt Earbuds"/>
    <n v="2"/>
    <n v="1900"/>
    <n v="40"/>
    <s v="UPI"/>
    <s v="Delivered"/>
    <x v="0"/>
    <n v="2280"/>
    <s v="North"/>
    <x v="1"/>
    <x v="0"/>
    <s v="Male"/>
    <s v="Null"/>
  </r>
  <r>
    <s v="Vikram Mehta"/>
    <n v="64"/>
    <s v="Male"/>
    <s v="Home &amp; Kitchen"/>
    <s v="Nilkamal Plastic Chair"/>
    <n v="2"/>
    <n v="1915"/>
    <n v="40"/>
    <s v="Cash"/>
    <s v="Delivered"/>
    <x v="0"/>
    <n v="2298"/>
    <s v="South"/>
    <x v="3"/>
    <x v="3"/>
    <s v="Male"/>
    <s v="Nov"/>
  </r>
  <r>
    <s v="Ashok Yadav"/>
    <n v="61"/>
    <s v="Female"/>
    <s v="clothing"/>
    <s v="Westside Dress"/>
    <n v="1"/>
    <n v="2300"/>
    <m/>
    <s v="Card"/>
    <s v="Cancelled"/>
    <x v="2"/>
    <n v="2300"/>
    <s v="South"/>
    <x v="3"/>
    <x v="1"/>
    <s v="Female"/>
    <s v="Null"/>
  </r>
  <r>
    <s v="Pooja Nair"/>
    <n v="48"/>
    <s v="Female"/>
    <s v="Beauty"/>
    <s v="Kama Ayurveda Hair Oil"/>
    <n v="3"/>
    <n v="1023"/>
    <n v="25"/>
    <s v="Cash"/>
    <s v="Delivered"/>
    <x v="0"/>
    <n v="2301.75"/>
    <s v="West"/>
    <x v="0"/>
    <x v="2"/>
    <s v="Female"/>
    <s v="Jun"/>
  </r>
  <r>
    <s v="Deepika Rao"/>
    <n v="28"/>
    <s v="Female"/>
    <s v="Beauty"/>
    <s v="Biotique Sunscreen"/>
    <n v="6"/>
    <n v="519"/>
    <n v="25"/>
    <s v="UPI"/>
    <s v="returned"/>
    <x v="1"/>
    <n v="2335.5"/>
    <s v="South"/>
    <x v="3"/>
    <x v="2"/>
    <s v="Female"/>
    <s v="Jun"/>
  </r>
  <r>
    <s v="Vikram Mehta"/>
    <n v="37"/>
    <s v="Male"/>
    <s v="Beauty"/>
    <s v="Kama Ayurveda Hair Oil"/>
    <n v="6"/>
    <n v="787"/>
    <n v="50"/>
    <s v="Cash"/>
    <s v="Delivered"/>
    <x v="0"/>
    <n v="2361"/>
    <s v="North"/>
    <x v="1"/>
    <x v="2"/>
    <s v="Male"/>
    <s v="Null"/>
  </r>
  <r>
    <s v="Neha Mishra"/>
    <n v="62"/>
    <s v="Male"/>
    <s v="clothing"/>
    <s v="H&amp;M T-Shirt"/>
    <n v="2"/>
    <n v="1700"/>
    <n v="30"/>
    <s v="Crdit Card"/>
    <s v="returned"/>
    <x v="1"/>
    <n v="2380"/>
    <s v="South"/>
    <x v="3"/>
    <x v="1"/>
    <s v="Male"/>
    <s v="Dec"/>
  </r>
  <r>
    <s v="Manish Agarwal"/>
    <n v="28"/>
    <s v="Female"/>
    <s v="clothing"/>
    <s v="Fabindia Kurta"/>
    <n v="2"/>
    <n v="1700"/>
    <n v="30"/>
    <s v="Card"/>
    <s v="returned"/>
    <x v="1"/>
    <n v="2380"/>
    <s v="West"/>
    <x v="0"/>
    <x v="1"/>
    <s v="Female"/>
    <s v="Null"/>
  </r>
  <r>
    <s v="Swati Jain"/>
    <n v="35"/>
    <s v="Male"/>
    <s v="clothing"/>
    <s v="Biba Salwar Suit"/>
    <n v="1"/>
    <n v="2650"/>
    <n v="10"/>
    <s v="Card"/>
    <s v="Cancelled"/>
    <x v="2"/>
    <n v="2385"/>
    <s v="West"/>
    <x v="0"/>
    <x v="1"/>
    <s v="Male"/>
    <s v="Feb"/>
  </r>
  <r>
    <s v="Vikas Saxena"/>
    <n v="36"/>
    <s v="Male"/>
    <s v="Beauty"/>
    <s v="Garnier Micellar Water"/>
    <n v="4"/>
    <n v="600"/>
    <n v="0"/>
    <s v="Card"/>
    <s v="Delivered"/>
    <x v="0"/>
    <n v="2400"/>
    <s v="South"/>
    <x v="3"/>
    <x v="2"/>
    <s v="Male"/>
    <s v="Sep"/>
  </r>
  <r>
    <s v="Null"/>
    <n v="27"/>
    <s v="Male"/>
    <s v="clothing"/>
    <s v="H&amp;M T-Shirt"/>
    <n v="3"/>
    <n v="800"/>
    <n v="0"/>
    <s v="Card"/>
    <s v="Cancelled"/>
    <x v="2"/>
    <n v="2400"/>
    <s v="South"/>
    <x v="3"/>
    <x v="1"/>
    <s v="Male"/>
    <s v="Feb"/>
  </r>
  <r>
    <s v="Null"/>
    <n v="22"/>
    <s v="Male"/>
    <s v="clothing"/>
    <s v="Fabindia Kurta"/>
    <n v="1"/>
    <n v="2400"/>
    <n v="0"/>
    <s v="Cash"/>
    <s v="Delivered"/>
    <x v="0"/>
    <n v="2400"/>
    <s v="South"/>
    <x v="3"/>
    <x v="1"/>
    <s v="Male"/>
    <s v="Jan"/>
  </r>
  <r>
    <s v="Manish Agarwal"/>
    <n v="46"/>
    <s v="Female"/>
    <s v="Beauty"/>
    <s v="Nykaa Kajal"/>
    <n v="7"/>
    <n v="347"/>
    <n v="0"/>
    <s v="Card"/>
    <s v="Delivered"/>
    <x v="0"/>
    <n v="2429"/>
    <s v="West"/>
    <x v="0"/>
    <x v="2"/>
    <s v="Female"/>
    <s v="Oct"/>
  </r>
  <r>
    <s v="Rohit Verma"/>
    <n v="65"/>
    <s v="Female"/>
    <s v="Home &amp; Kitchen"/>
    <s v="Bajaj Mixer Grinder"/>
    <n v="1"/>
    <n v="2557"/>
    <n v="5"/>
    <s v="Card"/>
    <s v="Cancelled"/>
    <x v="2"/>
    <n v="2429.15"/>
    <s v="East"/>
    <x v="2"/>
    <x v="3"/>
    <s v="Female"/>
    <s v="Mar"/>
  </r>
  <r>
    <s v="Rekha Sinha"/>
    <m/>
    <s v="Male"/>
    <s v="clothing"/>
    <s v="H&amp;M T-Shirt"/>
    <n v="2"/>
    <n v="1350"/>
    <n v="10"/>
    <s v="Cash"/>
    <s v="Delivered"/>
    <x v="0"/>
    <n v="2430"/>
    <s v="West"/>
    <x v="0"/>
    <x v="1"/>
    <s v="Male"/>
    <s v="Dec"/>
  </r>
  <r>
    <s v="Nitin Kapoor"/>
    <n v="42"/>
    <s v="Male"/>
    <s v="Beauty"/>
    <s v="WOW Vitamin C Serum"/>
    <n v="4"/>
    <n v="1221"/>
    <n v="50"/>
    <s v="Card"/>
    <s v="Cancelled"/>
    <x v="2"/>
    <n v="2442"/>
    <s v="S"/>
    <x v="3"/>
    <x v="2"/>
    <s v="Male"/>
    <s v="Dec"/>
  </r>
  <r>
    <s v="Vikram Mehta"/>
    <n v="63"/>
    <s v="Other"/>
    <s v="clothing"/>
    <s v="Peter England Trousers"/>
    <n v="2"/>
    <n v="2450"/>
    <n v="50"/>
    <s v="Card"/>
    <s v="Delivered"/>
    <x v="0"/>
    <n v="2450"/>
    <s v="South"/>
    <x v="3"/>
    <x v="1"/>
    <s v="Other"/>
    <s v="Jul"/>
  </r>
  <r>
    <s v="Rekha Sinha"/>
    <n v="24"/>
    <s v="Male"/>
    <s v="Home &amp; Kitchen"/>
    <s v="Borosil Glass Set"/>
    <n v="2"/>
    <n v="1227"/>
    <n v="0"/>
    <s v="UPI"/>
    <s v="Delivered"/>
    <x v="0"/>
    <n v="2454"/>
    <s v="West"/>
    <x v="0"/>
    <x v="3"/>
    <s v="Male"/>
    <s v="Null"/>
  </r>
  <r>
    <s v="Neha Mishra"/>
    <n v="23"/>
    <s v="Female"/>
    <s v="BEUTY"/>
    <s v="Garnier Micellar Water"/>
    <n v="6"/>
    <n v="431"/>
    <n v="5"/>
    <s v="UPI"/>
    <s v="Delivered"/>
    <x v="0"/>
    <n v="2456.6999999999998"/>
    <s v="West"/>
    <x v="0"/>
    <x v="2"/>
    <s v="Female"/>
    <s v="Jul"/>
  </r>
  <r>
    <s v="Lakshmi Krishnan"/>
    <n v="47"/>
    <s v="Female"/>
    <s v="Beauty"/>
    <s v="VLCC Gold Facial Kit"/>
    <n v="6"/>
    <n v="827"/>
    <n v="50"/>
    <s v="Card"/>
    <s v="Delivered"/>
    <x v="0"/>
    <n v="2481"/>
    <s v="West"/>
    <x v="0"/>
    <x v="2"/>
    <s v="Female"/>
    <s v="Null"/>
  </r>
  <r>
    <s v="Ashok Yadav"/>
    <n v="49"/>
    <s v="Female"/>
    <s v="Beauty"/>
    <s v="WOW Vitamin C Serum"/>
    <n v="4"/>
    <n v="656"/>
    <n v="5"/>
    <s v="Card"/>
    <s v="Delivered"/>
    <x v="0"/>
    <n v="2492.8000000000002"/>
    <s v="South"/>
    <x v="3"/>
    <x v="2"/>
    <s v="Female"/>
    <s v="Null"/>
  </r>
  <r>
    <s v="Gaurav Bansal"/>
    <n v="47"/>
    <s v="Female"/>
    <s v="Electronics"/>
    <s v="boAt Earbuds"/>
    <n v="1"/>
    <n v="2500"/>
    <n v="0"/>
    <s v="Card"/>
    <s v="Delivered"/>
    <x v="0"/>
    <n v="2500"/>
    <s v="West"/>
    <x v="0"/>
    <x v="0"/>
    <s v="Female"/>
    <s v="Apr"/>
  </r>
  <r>
    <s v="Neha Mishra"/>
    <n v="38"/>
    <s v="Female"/>
    <s v="clothing"/>
    <s v="H&amp;M T-Shirt"/>
    <n v="2"/>
    <n v="1250"/>
    <n v="0"/>
    <s v="Card"/>
    <s v="Delivered"/>
    <x v="0"/>
    <n v="2500"/>
    <s v="North"/>
    <x v="1"/>
    <x v="1"/>
    <s v="Female"/>
    <s v="Jun"/>
  </r>
  <r>
    <s v="Nikhil Bose"/>
    <n v="58"/>
    <s v="Female"/>
    <s v="Home &amp; Kitchen"/>
    <s v="Milton Steel Bottles"/>
    <n v="6"/>
    <n v="834"/>
    <n v="50"/>
    <s v="Card"/>
    <s v="Cancelled"/>
    <x v="2"/>
    <n v="2502"/>
    <s v="North"/>
    <x v="1"/>
    <x v="3"/>
    <s v="Female"/>
    <s v="Jul"/>
  </r>
  <r>
    <s v="Ashok Yadav"/>
    <n v="42"/>
    <s v="Male"/>
    <s v="clothing"/>
    <s v="Fabindia Kurta"/>
    <n v="2"/>
    <n v="1400"/>
    <n v="10"/>
    <s v="Cash"/>
    <s v="Delivered"/>
    <x v="0"/>
    <n v="2520"/>
    <s v="East"/>
    <x v="2"/>
    <x v="1"/>
    <s v="Male"/>
    <s v="Null"/>
  </r>
  <r>
    <s v="Geeta Thakur"/>
    <n v="43"/>
    <s v="Female"/>
    <s v="Home &amp; Kitchen"/>
    <s v="Milton Steel Bottles"/>
    <n v="2"/>
    <n v="1327"/>
    <n v="5"/>
    <s v="UPI"/>
    <s v="Delivered"/>
    <x v="0"/>
    <n v="2521.3000000000002"/>
    <s v="West"/>
    <x v="0"/>
    <x v="3"/>
    <s v="Female"/>
    <s v="Feb"/>
  </r>
  <r>
    <s v="Smita Desai"/>
    <n v="150"/>
    <s v="Male"/>
    <s v="clothing"/>
    <s v="Westside Dress"/>
    <n v="3"/>
    <n v="1700"/>
    <n v="50"/>
    <s v="UPI"/>
    <s v="Cancelled"/>
    <x v="2"/>
    <n v="2550"/>
    <s v="North"/>
    <x v="1"/>
    <x v="1"/>
    <s v="Male"/>
    <s v="Nov"/>
  </r>
  <r>
    <s v="Ramesh Naik"/>
    <n v="18"/>
    <s v="Male"/>
    <s v="Beauty"/>
    <s v="Himalaya Neem Face Pack"/>
    <n v="9"/>
    <n v="284"/>
    <m/>
    <s v="UPI"/>
    <s v="Delivered"/>
    <x v="0"/>
    <n v="2556"/>
    <s v="East"/>
    <x v="2"/>
    <x v="2"/>
    <s v="Male"/>
    <s v="Nov"/>
  </r>
  <r>
    <s v="Null"/>
    <n v="35"/>
    <s v="Female"/>
    <s v="Beauty"/>
    <s v="Dove Body Lotion"/>
    <n v="9"/>
    <n v="475"/>
    <n v="40"/>
    <s v="Card"/>
    <s v="Delivered"/>
    <x v="0"/>
    <n v="2565"/>
    <s v="East"/>
    <x v="2"/>
    <x v="2"/>
    <s v="Female"/>
    <s v="Aug"/>
  </r>
  <r>
    <s v="Manoj Chauhan"/>
    <n v="64"/>
    <s v="Male"/>
    <s v="Electronics"/>
    <s v="boAt Earbuds"/>
    <n v="1"/>
    <n v="2700"/>
    <n v="5"/>
    <s v="COD"/>
    <s v="Delivered"/>
    <x v="0"/>
    <n v="2565"/>
    <s v="South"/>
    <x v="3"/>
    <x v="0"/>
    <s v="Male"/>
    <s v="Dec"/>
  </r>
  <r>
    <s v="Nikhil Bose"/>
    <n v="48"/>
    <s v="Male"/>
    <s v="Electronics"/>
    <s v="Mi Band 7"/>
    <n v="1"/>
    <n v="4300"/>
    <n v="40"/>
    <s v="Cash"/>
    <s v="Delivered"/>
    <x v="0"/>
    <n v="2580"/>
    <s v="East"/>
    <x v="2"/>
    <x v="0"/>
    <s v="Male"/>
    <s v="Nov"/>
  </r>
  <r>
    <s v="Pooja Nair"/>
    <n v="39"/>
    <s v="M"/>
    <s v="clothing"/>
    <s v="W Ethnic Wear"/>
    <n v="2"/>
    <n v="1850"/>
    <n v="30"/>
    <s v="UPI"/>
    <s v="Cancelled"/>
    <x v="2"/>
    <n v="2590"/>
    <s v="East"/>
    <x v="2"/>
    <x v="1"/>
    <s v="Male"/>
    <s v="Dec"/>
  </r>
  <r>
    <s v="Gaurav Bansal"/>
    <n v="23"/>
    <s v="Male"/>
    <s v="Electronics"/>
    <s v="boAt Earbuds"/>
    <n v="2"/>
    <n v="2600"/>
    <n v="50"/>
    <s v="UPI"/>
    <s v="Delivered"/>
    <x v="0"/>
    <n v="2600"/>
    <s v="North"/>
    <x v="1"/>
    <x v="0"/>
    <s v="Male"/>
    <s v="Apr"/>
  </r>
  <r>
    <s v="Lakshmi Krishnan"/>
    <n v="44"/>
    <s v="Female"/>
    <s v="clothing"/>
    <s v="Levi's Jeans"/>
    <n v="1"/>
    <n v="3500"/>
    <n v="25"/>
    <s v="Card"/>
    <s v="returned"/>
    <x v="1"/>
    <n v="2625"/>
    <s v="East"/>
    <x v="2"/>
    <x v="1"/>
    <s v="Female"/>
    <s v="Dec"/>
  </r>
  <r>
    <s v="Rajesh Tiwari"/>
    <n v="32"/>
    <s v="Femle"/>
    <s v="clothing"/>
    <s v="H&amp;M T-Shirt"/>
    <n v="2"/>
    <n v="1550"/>
    <n v="15"/>
    <s v="Cash"/>
    <s v="Delivered"/>
    <x v="0"/>
    <n v="2635"/>
    <s v="North"/>
    <x v="1"/>
    <x v="1"/>
    <s v="Other"/>
    <s v="Feb"/>
  </r>
  <r>
    <s v="Pranav Kulkarni"/>
    <n v="46"/>
    <s v="Female"/>
    <s v="clothing"/>
    <s v="Allen Solly Formal Shirt"/>
    <n v="2"/>
    <n v="1550"/>
    <n v="15"/>
    <s v="Cash"/>
    <s v="returned"/>
    <x v="1"/>
    <n v="2635"/>
    <s v="South"/>
    <x v="3"/>
    <x v="1"/>
    <s v="Female"/>
    <s v="Nov"/>
  </r>
  <r>
    <s v="Sanjay Dubey"/>
    <n v="61"/>
    <s v="Male"/>
    <s v="Beauty"/>
    <s v="Garnier Micellar Water"/>
    <n v="9"/>
    <n v="490"/>
    <n v="40"/>
    <s v="Cash"/>
    <s v="Delivered"/>
    <x v="0"/>
    <n v="2646"/>
    <s v="West"/>
    <x v="0"/>
    <x v="2"/>
    <s v="Male"/>
    <s v="Null"/>
  </r>
  <r>
    <s v="Kavya Reddy"/>
    <n v="35"/>
    <s v="Female"/>
    <s v="Home &amp; Kitchen"/>
    <s v="Milton Steel Bottles"/>
    <n v="3"/>
    <n v="1264"/>
    <n v="30"/>
    <s v="Card"/>
    <s v="Delivered"/>
    <x v="0"/>
    <n v="2654.4"/>
    <s v="South"/>
    <x v="3"/>
    <x v="3"/>
    <s v="Female"/>
    <s v="Null"/>
  </r>
  <r>
    <s v="Null"/>
    <n v="20"/>
    <s v="Female"/>
    <s v="clothing"/>
    <s v="W Ethnic Wear"/>
    <n v="1"/>
    <n v="2800"/>
    <n v="5"/>
    <s v="Card"/>
    <s v="returned"/>
    <x v="1"/>
    <n v="2660"/>
    <s v="South"/>
    <x v="3"/>
    <x v="1"/>
    <s v="Female"/>
    <s v="Jul"/>
  </r>
  <r>
    <s v="Deepika Rao"/>
    <n v="22"/>
    <s v="Male"/>
    <s v="Home &amp; Kitchen"/>
    <s v="Pigeon Induction Cooktop"/>
    <n v="6"/>
    <n v="2694"/>
    <m/>
    <s v="Cash"/>
    <s v="Delivered"/>
    <x v="0"/>
    <n v="2694"/>
    <s v="West"/>
    <x v="0"/>
    <x v="3"/>
    <s v="Male"/>
    <s v="Null"/>
  </r>
  <r>
    <s v="Gaurav Bansal"/>
    <n v="65"/>
    <s v="Female"/>
    <s v="Beauty"/>
    <s v="Plum Night Cream"/>
    <n v="5"/>
    <n v="539"/>
    <n v="0"/>
    <s v="COD"/>
    <s v="Delivered"/>
    <x v="0"/>
    <n v="2695"/>
    <s v="East"/>
    <x v="2"/>
    <x v="2"/>
    <s v="Female"/>
    <s v="Sep"/>
  </r>
  <r>
    <s v="Nikhil Bose"/>
    <n v="27"/>
    <s v="Male"/>
    <s v="clothing"/>
    <s v="Allen Solly Formal Shirt"/>
    <n v="1"/>
    <n v="3000"/>
    <n v="10"/>
    <s v="Card"/>
    <s v="Delivered"/>
    <x v="0"/>
    <n v="2700"/>
    <s v="South"/>
    <x v="3"/>
    <x v="1"/>
    <s v="Male"/>
    <s v="Feb"/>
  </r>
  <r>
    <s v="Ananya Singh"/>
    <n v="32"/>
    <s v="Male"/>
    <s v="Beauty"/>
    <s v="Garnier Micellar Water"/>
    <n v="5"/>
    <n v="578"/>
    <n v="5"/>
    <s v="Cash"/>
    <s v="Cancelled"/>
    <x v="2"/>
    <n v="2745.5"/>
    <s v="North"/>
    <x v="1"/>
    <x v="2"/>
    <s v="Male"/>
    <s v="Apr"/>
  </r>
  <r>
    <s v="Null"/>
    <n v="56"/>
    <s v="Male"/>
    <s v="clothing"/>
    <s v="Cotton Saree"/>
    <n v="1"/>
    <n v="2750"/>
    <n v="0"/>
    <s v="Card"/>
    <s v="Delivered"/>
    <x v="0"/>
    <n v="2750"/>
    <s v="East"/>
    <x v="2"/>
    <x v="1"/>
    <s v="Male"/>
    <s v="Mar"/>
  </r>
  <r>
    <s v="Tanvi Kulkarni"/>
    <n v="58"/>
    <s v="Female"/>
    <s v="Home &amp; Kitchen"/>
    <s v="Borosil Glass Set"/>
    <n v="2"/>
    <n v="1719"/>
    <n v="20"/>
    <s v="Card"/>
    <s v="Delivered"/>
    <x v="0"/>
    <n v="2750.4"/>
    <s v="North"/>
    <x v="1"/>
    <x v="3"/>
    <s v="Female"/>
    <s v="Nov"/>
  </r>
  <r>
    <s v="Shweta Ghosh"/>
    <n v="57"/>
    <s v="Female"/>
    <s v="clothing"/>
    <s v="Levi's Jeans"/>
    <n v="1"/>
    <n v="3450"/>
    <n v="20"/>
    <s v="COD"/>
    <s v="Delivered"/>
    <x v="0"/>
    <n v="2760"/>
    <s v="East"/>
    <x v="2"/>
    <x v="1"/>
    <s v="Female"/>
    <s v="Nov"/>
  </r>
  <r>
    <s v="rahul gupta"/>
    <n v="60"/>
    <s v="Female"/>
    <s v="Beauty"/>
    <s v="Biotique Sunscreen"/>
    <n v="5"/>
    <n v="614"/>
    <n v="10"/>
    <s v="Cash"/>
    <s v="Cancelled"/>
    <x v="2"/>
    <n v="2763"/>
    <s v="South"/>
    <x v="3"/>
    <x v="2"/>
    <s v="Female"/>
    <s v="Jan"/>
  </r>
  <r>
    <s v="Priya Patel"/>
    <n v="31"/>
    <s v="Female"/>
    <s v="Home &amp; Kitchen"/>
    <s v="Cello Water Bottle"/>
    <n v="5"/>
    <n v="554"/>
    <n v="0"/>
    <s v="COD"/>
    <s v="Delivered"/>
    <x v="0"/>
    <n v="2770"/>
    <s v="South"/>
    <x v="3"/>
    <x v="3"/>
    <s v="Female"/>
    <s v="Jul"/>
  </r>
  <r>
    <s v="Null"/>
    <n v="60"/>
    <s v="Male"/>
    <s v="clothing"/>
    <s v="Westside Dress"/>
    <n v="1"/>
    <n v="3100"/>
    <n v="10"/>
    <s v="UPI"/>
    <s v="Delivered"/>
    <x v="0"/>
    <n v="2790"/>
    <s v="East"/>
    <x v="2"/>
    <x v="1"/>
    <s v="Male"/>
    <s v="Aug"/>
  </r>
  <r>
    <s v="Shweta Ghosh"/>
    <n v="19"/>
    <s v="Female"/>
    <s v="Clthing"/>
    <s v="Fabindia Kurta"/>
    <n v="2"/>
    <n v="1750"/>
    <n v="20"/>
    <s v="U.P.I"/>
    <s v="Cancelled"/>
    <x v="2"/>
    <n v="2800"/>
    <s v="North"/>
    <x v="1"/>
    <x v="1"/>
    <s v="Female"/>
    <s v="Oct"/>
  </r>
  <r>
    <s v="Gaurav Bansal"/>
    <n v="53"/>
    <s v="Other"/>
    <s v="clothing"/>
    <s v="Westside Dress"/>
    <n v="1"/>
    <n v="2950"/>
    <n v="5"/>
    <s v="COD"/>
    <s v="returned"/>
    <x v="1"/>
    <n v="2802.5"/>
    <s v="East"/>
    <x v="2"/>
    <x v="1"/>
    <s v="Other"/>
    <s v="Nov"/>
  </r>
  <r>
    <s v="Manoj Chauhan"/>
    <n v="40"/>
    <s v="Female"/>
    <s v="clothing"/>
    <s v="Peter England Trousers"/>
    <n v="1"/>
    <n v="2950"/>
    <n v="5"/>
    <s v="CashOnDelivery"/>
    <s v="Deliverd"/>
    <x v="0"/>
    <n v="2802.5"/>
    <s v="South"/>
    <x v="3"/>
    <x v="1"/>
    <s v="Female"/>
    <s v="Nov"/>
  </r>
  <r>
    <s v="Shweta Ghosh"/>
    <n v="20"/>
    <s v="Female"/>
    <s v="clothing"/>
    <s v="Fabindia Kurta"/>
    <n v="2"/>
    <n v="2350"/>
    <n v="40"/>
    <s v="Credit Card"/>
    <s v="Delivered"/>
    <x v="0"/>
    <n v="2820"/>
    <s v="East"/>
    <x v="2"/>
    <x v="1"/>
    <s v="Female"/>
    <s v="Aug"/>
  </r>
  <r>
    <s v="Arjun Pillai"/>
    <n v="52"/>
    <s v="Male"/>
    <s v="clothing"/>
    <s v="H&amp;M T-Shirt"/>
    <n v="3"/>
    <n v="950"/>
    <n v="0"/>
    <s v="UPI"/>
    <s v="Delivered"/>
    <x v="0"/>
    <n v="2850"/>
    <s v="East"/>
    <x v="2"/>
    <x v="1"/>
    <s v="Male"/>
    <s v="Oct"/>
  </r>
  <r>
    <s v="Arjun Pillai"/>
    <n v="62"/>
    <s v="Female"/>
    <s v="clothing"/>
    <s v="Allen Solly Formal Shirt"/>
    <n v="1"/>
    <n v="2850"/>
    <n v="0"/>
    <s v="Card"/>
    <s v="Delivered"/>
    <x v="0"/>
    <n v="2850"/>
    <s v="East"/>
    <x v="2"/>
    <x v="1"/>
    <s v="Female"/>
    <s v="Jul"/>
  </r>
  <r>
    <s v="Rahull Gupta"/>
    <n v="52"/>
    <s v="Male"/>
    <s v="Home &amp; Kitchen"/>
    <s v="Milton Steel Bottles"/>
    <n v="5"/>
    <n v="950"/>
    <n v="40"/>
    <s v="Cash"/>
    <s v="Delivered"/>
    <x v="0"/>
    <n v="2850"/>
    <s v="Norht"/>
    <x v="1"/>
    <x v="3"/>
    <s v="Male"/>
    <s v="Dec"/>
  </r>
  <r>
    <s v="Manish Agarwal"/>
    <n v="200"/>
    <s v="Male"/>
    <s v="clothing"/>
    <s v="Fabindia Kurta"/>
    <n v="1"/>
    <n v="2850"/>
    <n v="25"/>
    <s v="COD"/>
    <s v="returned"/>
    <x v="1"/>
    <n v="2850"/>
    <s v="East"/>
    <x v="2"/>
    <x v="1"/>
    <s v="Male"/>
    <s v="Nov"/>
  </r>
  <r>
    <s v="Ramesh Naik"/>
    <n v="34"/>
    <s v="Female"/>
    <s v="Beauty"/>
    <s v="Garnier Micellar Water"/>
    <n v="6"/>
    <n v="600"/>
    <n v="20"/>
    <s v="Cash"/>
    <s v="Delivered"/>
    <x v="0"/>
    <n v="2880"/>
    <s v="Nort"/>
    <x v="1"/>
    <x v="2"/>
    <s v="Female"/>
    <s v="Jun"/>
  </r>
  <r>
    <s v="Ritu Bhatia"/>
    <n v="50"/>
    <s v="Male"/>
    <s v="clothing"/>
    <s v="Westside Dress"/>
    <n v="3"/>
    <n v="2900"/>
    <n v="0"/>
    <s v="UPI"/>
    <s v="Delivered"/>
    <x v="0"/>
    <n v="2900"/>
    <s v="West"/>
    <x v="0"/>
    <x v="1"/>
    <s v="Male"/>
    <s v="Nov"/>
  </r>
  <r>
    <s v="Sneha Iyer"/>
    <n v="23"/>
    <s v="Other"/>
    <s v="clothing"/>
    <s v="Cotton Saree"/>
    <n v="1"/>
    <n v="2900"/>
    <m/>
    <s v="UPI"/>
    <s v="Cancelled"/>
    <x v="2"/>
    <n v="2900"/>
    <s v="West"/>
    <x v="0"/>
    <x v="1"/>
    <s v="Other"/>
    <s v="Jun"/>
  </r>
  <r>
    <s v="Null"/>
    <n v="44"/>
    <s v="Female"/>
    <s v="Beauty"/>
    <s v="Biotique Sunscreen"/>
    <n v="5"/>
    <n v="686"/>
    <n v="15"/>
    <s v="Cash"/>
    <s v="Delivered"/>
    <x v="0"/>
    <n v="2915.5"/>
    <s v="East"/>
    <x v="2"/>
    <x v="2"/>
    <s v="Female"/>
    <s v="Aug"/>
  </r>
  <r>
    <s v="Vinod Patil"/>
    <n v="34"/>
    <s v="Female"/>
    <s v="Home &amp; Kitchen"/>
    <s v="Asian Paints 4L"/>
    <n v="8"/>
    <n v="2949"/>
    <n v="0"/>
    <s v="COD"/>
    <s v="Delivered"/>
    <x v="0"/>
    <n v="2949"/>
    <s v="North"/>
    <x v="1"/>
    <x v="3"/>
    <s v="Female"/>
    <s v="Jul"/>
  </r>
  <r>
    <s v="Vikram Mehta"/>
    <n v="51"/>
    <s v="Female"/>
    <s v="Beauty"/>
    <s v="Himalaya Neem Face Pack"/>
    <n v="8"/>
    <n v="373"/>
    <n v="0"/>
    <s v="COD"/>
    <s v="returned"/>
    <x v="1"/>
    <n v="2984"/>
    <s v="South"/>
    <x v="3"/>
    <x v="2"/>
    <s v="Female"/>
    <s v="Null"/>
  </r>
  <r>
    <s v="Null"/>
    <m/>
    <s v="Male"/>
    <s v="Electronics"/>
    <s v="boAt Earbuds"/>
    <n v="1"/>
    <n v="3000"/>
    <n v="40"/>
    <s v="UPI"/>
    <s v="Delivered"/>
    <x v="0"/>
    <n v="3000"/>
    <s v="South"/>
    <x v="3"/>
    <x v="0"/>
    <s v="Male"/>
    <s v="Oct"/>
  </r>
  <r>
    <s v="Pallavi Deshmukh"/>
    <n v="22"/>
    <s v="Male"/>
    <s v="clothing"/>
    <s v="Peter England Trousers"/>
    <n v="2"/>
    <n v="2150"/>
    <n v="30"/>
    <s v="COD"/>
    <s v="Delivered"/>
    <x v="0"/>
    <n v="3010"/>
    <s v="South"/>
    <x v="3"/>
    <x v="1"/>
    <s v="Male"/>
    <s v="Feb"/>
  </r>
  <r>
    <s v="Ananya Singh"/>
    <n v="40"/>
    <s v="Male"/>
    <s v="Beauty"/>
    <s v="L'Oreal Shampoo"/>
    <n v="5"/>
    <n v="670"/>
    <n v="10"/>
    <s v="Cash"/>
    <s v="Delivered"/>
    <x v="0"/>
    <n v="3015"/>
    <s v="South"/>
    <x v="3"/>
    <x v="2"/>
    <s v="Male"/>
    <s v="Apr"/>
  </r>
  <r>
    <s v="Sanjay Dubey"/>
    <n v="65"/>
    <s v="Male"/>
    <s v="clothing"/>
    <s v="Peter England Trousers"/>
    <n v="1"/>
    <n v="4100"/>
    <n v="25"/>
    <s v="Card"/>
    <s v="Delivered"/>
    <x v="0"/>
    <n v="3075"/>
    <s v="South"/>
    <x v="3"/>
    <x v="1"/>
    <s v="Male"/>
    <s v="Null"/>
  </r>
  <r>
    <s v="Sanjay Dubey"/>
    <n v="21"/>
    <s v="Male"/>
    <s v="Beauty"/>
    <s v="Garnier Micellar Water"/>
    <n v="8"/>
    <n v="550"/>
    <n v="30"/>
    <s v="Card"/>
    <s v="Delivered"/>
    <x v="0"/>
    <n v="3080"/>
    <s v="South"/>
    <x v="3"/>
    <x v="2"/>
    <s v="Male"/>
    <s v="Dec"/>
  </r>
  <r>
    <s v="Rahul Gupta"/>
    <n v="23"/>
    <s v="Female"/>
    <s v="clothing"/>
    <s v="Puma Track Suit"/>
    <n v="2"/>
    <n v="3100"/>
    <n v="50"/>
    <s v="COD"/>
    <s v="Delivered"/>
    <x v="0"/>
    <n v="3100"/>
    <s v="East"/>
    <x v="2"/>
    <x v="1"/>
    <s v="Female"/>
    <s v="Aug"/>
  </r>
  <r>
    <s v="Sunita Pandey"/>
    <n v="37"/>
    <s v="Other"/>
    <s v="Beauty"/>
    <s v="Garnier Micellar Water"/>
    <n v="8"/>
    <n v="487"/>
    <n v="20"/>
    <s v="Card"/>
    <s v="Delivered"/>
    <x v="0"/>
    <n v="3116.8"/>
    <s v="East"/>
    <x v="2"/>
    <x v="2"/>
    <s v="Other"/>
    <s v="Null"/>
  </r>
  <r>
    <s v="Null"/>
    <n v="30"/>
    <s v="Female"/>
    <s v="Beauty"/>
    <s v="Plum Night Cream"/>
    <n v="3"/>
    <n v="1099"/>
    <n v="5"/>
    <s v="Card"/>
    <s v="Cancelled"/>
    <x v="2"/>
    <n v="3132.15"/>
    <s v="South"/>
    <x v="3"/>
    <x v="2"/>
    <s v="Female"/>
    <s v="Null"/>
  </r>
  <r>
    <s v="Neha Mishra"/>
    <n v="49"/>
    <s v="Female"/>
    <s v="clothing"/>
    <s v="Fabindia Kurta"/>
    <n v="3"/>
    <n v="1500"/>
    <n v="30"/>
    <s v="COD"/>
    <s v="Delivered"/>
    <x v="0"/>
    <n v="3150"/>
    <s v="South"/>
    <x v="3"/>
    <x v="1"/>
    <s v="Female"/>
    <s v="Nov"/>
  </r>
  <r>
    <s v="Manish Agarwal"/>
    <n v="27"/>
    <s v="Male"/>
    <s v="clothing"/>
    <s v="Cotton Saree"/>
    <n v="1"/>
    <n v="3150"/>
    <m/>
    <s v="Cash"/>
    <s v="Delivered"/>
    <x v="0"/>
    <n v="3150"/>
    <s v="Eastt"/>
    <x v="2"/>
    <x v="1"/>
    <s v="Male"/>
    <s v="Feb"/>
  </r>
  <r>
    <s v="Pranav Kulkarni"/>
    <n v="26"/>
    <s v="Male"/>
    <s v="Home &amp; Kitchen"/>
    <s v="Orient Ceiling Fan"/>
    <n v="1"/>
    <n v="3323"/>
    <n v="5"/>
    <s v="Cash"/>
    <s v="returned"/>
    <x v="1"/>
    <n v="3156.85"/>
    <s v="South"/>
    <x v="3"/>
    <x v="3"/>
    <s v="Male"/>
    <s v="Jun"/>
  </r>
  <r>
    <s v="Pooja Nair"/>
    <n v="41"/>
    <s v="Female"/>
    <s v="clothing"/>
    <s v="Peter England Trousers"/>
    <n v="1"/>
    <n v="3950"/>
    <n v="20"/>
    <s v="UPI"/>
    <s v="Delivered"/>
    <x v="0"/>
    <n v="3160"/>
    <s v="North"/>
    <x v="1"/>
    <x v="1"/>
    <s v="Female"/>
    <s v="May"/>
  </r>
  <r>
    <s v="Rahul Gupta"/>
    <n v="24"/>
    <s v="Female"/>
    <s v="Beauty"/>
    <s v="L'Oreal Shampoo"/>
    <n v="5"/>
    <n v="603"/>
    <n v="-5"/>
    <s v="Card"/>
    <s v="Cancelled"/>
    <x v="2"/>
    <n v="3165.75"/>
    <s v="South"/>
    <x v="3"/>
    <x v="2"/>
    <s v="Female"/>
    <s v="Feb"/>
  </r>
  <r>
    <s v="Aarav Sharma"/>
    <n v="22"/>
    <s v="Male"/>
    <s v="Home &amp; Kitchen"/>
    <s v="Orient Ceiling Fan"/>
    <n v="1"/>
    <n v="3179"/>
    <n v="0"/>
    <s v="UPI"/>
    <s v="Delivered"/>
    <x v="0"/>
    <n v="3179"/>
    <s v="Wst"/>
    <x v="0"/>
    <x v="3"/>
    <s v="Male"/>
    <s v="Dec"/>
  </r>
  <r>
    <s v="Lakshmi Krishnan"/>
    <n v="22"/>
    <s v="Male"/>
    <s v="clothing"/>
    <s v="Levi's Jeans"/>
    <n v="1"/>
    <n v="3350"/>
    <n v="5"/>
    <s v="COD"/>
    <s v="Delivered"/>
    <x v="0"/>
    <n v="3182.5"/>
    <s v="West"/>
    <x v="0"/>
    <x v="1"/>
    <s v="Male"/>
    <s v="Null"/>
  </r>
  <r>
    <s v="Ritu Bhatia"/>
    <n v="40"/>
    <s v="Female"/>
    <s v="clothing"/>
    <s v="Levi's Jeans"/>
    <n v="1"/>
    <n v="4300"/>
    <n v="25"/>
    <s v="UPI"/>
    <s v="Delivered"/>
    <x v="0"/>
    <n v="3225"/>
    <s v="North"/>
    <x v="1"/>
    <x v="1"/>
    <s v="Female"/>
    <s v="Oct"/>
  </r>
  <r>
    <s v="Amit Kumar"/>
    <n v="45"/>
    <s v="Male"/>
    <s v="Beauty"/>
    <s v="Garnier Micellar Water"/>
    <n v="9"/>
    <n v="512"/>
    <n v="30"/>
    <s v="Card"/>
    <s v="Cancelled"/>
    <x v="2"/>
    <n v="3225.6"/>
    <s v="North"/>
    <x v="1"/>
    <x v="2"/>
    <s v="Male"/>
    <s v="Null"/>
  </r>
  <r>
    <s v="SNEHA IYER"/>
    <n v="43"/>
    <s v="Female"/>
    <s v="Clthing"/>
    <s v="Nike Running Shoes"/>
    <n v="1"/>
    <n v="4050"/>
    <n v="20"/>
    <s v="U.P.I"/>
    <s v="Cancelled"/>
    <x v="2"/>
    <n v="3240"/>
    <s v="West"/>
    <x v="0"/>
    <x v="1"/>
    <s v="Female"/>
    <s v="Aug"/>
  </r>
  <r>
    <s v="Meera Nambiar"/>
    <n v="47"/>
    <s v="Male"/>
    <s v="clothing"/>
    <s v="Levi's Jeans"/>
    <n v="1"/>
    <n v="3250"/>
    <n v="0"/>
    <s v="Card"/>
    <s v="Delivered"/>
    <x v="0"/>
    <n v="3250"/>
    <s v="South"/>
    <x v="3"/>
    <x v="1"/>
    <s v="Male"/>
    <s v="Oct"/>
  </r>
  <r>
    <s v="Shweta Ghosh"/>
    <n v="30"/>
    <s v="Male"/>
    <s v="clothing"/>
    <s v="Levi's Jeans"/>
    <n v="1"/>
    <n v="4350"/>
    <n v="25"/>
    <s v="Card"/>
    <s v="returned"/>
    <x v="1"/>
    <n v="3262.5"/>
    <s v="N"/>
    <x v="1"/>
    <x v="1"/>
    <s v="Male"/>
    <s v="Mar"/>
  </r>
  <r>
    <s v="Geeta Thakur"/>
    <n v="51"/>
    <s v="Female"/>
    <s v="Home&amp;Kitchen"/>
    <s v="Borosil Glass Set"/>
    <n v="3"/>
    <n v="1088"/>
    <n v="0"/>
    <s v="COD"/>
    <s v="Deliverd"/>
    <x v="0"/>
    <n v="3264"/>
    <s v="North"/>
    <x v="1"/>
    <x v="3"/>
    <s v="Female"/>
    <s v="Sep"/>
  </r>
  <r>
    <s v="Vikram Mehta"/>
    <n v="45"/>
    <s v="Male"/>
    <s v="Beauty"/>
    <s v="Garnier Micellar Water"/>
    <n v="6"/>
    <n v="575"/>
    <n v="5"/>
    <s v="COD"/>
    <s v="Delivered"/>
    <x v="0"/>
    <n v="3277.5"/>
    <s v="East"/>
    <x v="2"/>
    <x v="2"/>
    <s v="Male"/>
    <s v="Jan"/>
  </r>
  <r>
    <s v="Null"/>
    <m/>
    <s v="Female"/>
    <s v="Home &amp; Kitchen"/>
    <s v="Bajaj Mixer Grinder"/>
    <n v="1"/>
    <n v="3281"/>
    <n v="0"/>
    <s v="UPI"/>
    <s v="Delivered"/>
    <x v="0"/>
    <n v="3281"/>
    <s v="South"/>
    <x v="3"/>
    <x v="3"/>
    <s v="Female"/>
    <s v="Sep"/>
  </r>
  <r>
    <s v="Gaurav Bansal"/>
    <n v="29"/>
    <s v="Female"/>
    <s v="Home &amp; Kitchen"/>
    <s v="Borosil Glass Set"/>
    <n v="4"/>
    <n v="1372"/>
    <n v="40"/>
    <s v="UPI"/>
    <s v="Delivered"/>
    <x v="0"/>
    <n v="3292.8"/>
    <s v="West"/>
    <x v="0"/>
    <x v="3"/>
    <s v="Female"/>
    <s v="Null"/>
  </r>
  <r>
    <s v="Ashok Yadav"/>
    <n v="29"/>
    <s v="F"/>
    <s v="Beauty"/>
    <s v="Mamaearth Face Wash"/>
    <n v="8"/>
    <n v="434"/>
    <n v="5"/>
    <s v="Card"/>
    <s v="Cancelled"/>
    <x v="2"/>
    <n v="3298.4"/>
    <s v="East"/>
    <x v="2"/>
    <x v="2"/>
    <s v="Female"/>
    <s v="Apr"/>
  </r>
  <r>
    <s v="Sanjay Dubey"/>
    <n v="60"/>
    <s v="Male"/>
    <s v="Clthing"/>
    <s v="Allen Solly Formal Shirt"/>
    <n v="1"/>
    <n v="3300"/>
    <n v="0"/>
    <s v="Card"/>
    <s v="Delivered"/>
    <x v="0"/>
    <n v="3300"/>
    <s v="North"/>
    <x v="1"/>
    <x v="1"/>
    <s v="Male"/>
    <s v="May"/>
  </r>
  <r>
    <s v="Pallavi Deshmukh"/>
    <n v="36"/>
    <s v="Male"/>
    <s v="Home &amp; Kitchen"/>
    <s v="Milton Steel Bottles"/>
    <n v="5"/>
    <n v="945"/>
    <n v="30"/>
    <s v="UPI"/>
    <s v="Delivered"/>
    <x v="0"/>
    <n v="3307.5"/>
    <s v="East"/>
    <x v="2"/>
    <x v="3"/>
    <s v="Male"/>
    <s v="Dec"/>
  </r>
  <r>
    <s v="Shweta Ghosh"/>
    <n v="58"/>
    <s v="Female"/>
    <s v="Home &amp; Kitchen"/>
    <s v="Prestige Pressure Cooker"/>
    <n v="2"/>
    <n v="3338"/>
    <n v="50"/>
    <s v="Cash"/>
    <s v="Cancelled"/>
    <x v="2"/>
    <n v="3338"/>
    <s v="East"/>
    <x v="2"/>
    <x v="3"/>
    <s v="Female"/>
    <s v="Apr"/>
  </r>
  <r>
    <s v="Null"/>
    <n v="20"/>
    <s v="M"/>
    <s v="clothing"/>
    <s v="Westside Dress"/>
    <n v="1"/>
    <n v="3350"/>
    <n v="0"/>
    <s v="Cash"/>
    <s v="Cancelled"/>
    <x v="2"/>
    <n v="3350"/>
    <s v="East"/>
    <x v="2"/>
    <x v="1"/>
    <s v="Male"/>
    <s v="Dec"/>
  </r>
  <r>
    <s v="Pranav Kulkarni"/>
    <n v="37"/>
    <s v="Male"/>
    <s v="Electronics"/>
    <s v="boAt Earbuds"/>
    <n v="2"/>
    <n v="1600"/>
    <n v="-5"/>
    <s v="Card"/>
    <s v="Delivered"/>
    <x v="0"/>
    <n v="3360"/>
    <s v="North"/>
    <x v="1"/>
    <x v="0"/>
    <s v="Male"/>
    <s v="Jan"/>
  </r>
  <r>
    <s v="Arjun Pillai"/>
    <n v="41"/>
    <s v="Female"/>
    <s v="BEUTY"/>
    <s v="Plum Night Cream"/>
    <n v="3"/>
    <n v="1123"/>
    <n v="0"/>
    <s v="COD"/>
    <s v="Delivered"/>
    <x v="0"/>
    <n v="3369"/>
    <s v="North"/>
    <x v="1"/>
    <x v="2"/>
    <s v="Female"/>
    <s v="Apr"/>
  </r>
  <r>
    <s v="Pranav Kulkarni"/>
    <n v="38"/>
    <s v="Male"/>
    <s v="Home &amp; Kitchen"/>
    <s v="Usha Iron"/>
    <n v="3"/>
    <n v="1610"/>
    <n v="30"/>
    <s v="UPI"/>
    <s v="Delivered"/>
    <x v="0"/>
    <n v="3381"/>
    <s v="South"/>
    <x v="3"/>
    <x v="3"/>
    <s v="Male"/>
    <s v="Feb"/>
  </r>
  <r>
    <s v="Pooja Nair"/>
    <n v="33"/>
    <s v="Male"/>
    <s v="clothing"/>
    <s v="Puma Track Suit"/>
    <n v="1"/>
    <n v="3400"/>
    <n v="0"/>
    <s v="Card"/>
    <s v="Delivered"/>
    <x v="0"/>
    <n v="3400"/>
    <s v="West"/>
    <x v="0"/>
    <x v="1"/>
    <s v="Male"/>
    <s v="Jan"/>
  </r>
  <r>
    <s v="Sanjay Dubey"/>
    <n v="62"/>
    <s v="Male"/>
    <s v="Electronics"/>
    <s v="boAt Earbuds"/>
    <n v="2"/>
    <n v="2000"/>
    <n v="15"/>
    <s v="Card"/>
    <s v="Delivered"/>
    <x v="0"/>
    <n v="3400"/>
    <s v="East"/>
    <x v="2"/>
    <x v="0"/>
    <s v="Male"/>
    <s v="May"/>
  </r>
  <r>
    <s v="Pooja Nair"/>
    <n v="25"/>
    <s v="Female"/>
    <s v="clothing"/>
    <s v="Fabindia Kurta"/>
    <n v="2"/>
    <n v="2850"/>
    <n v="40"/>
    <s v="Csh"/>
    <s v="returned"/>
    <x v="1"/>
    <n v="3420"/>
    <s v="West"/>
    <x v="0"/>
    <x v="1"/>
    <s v="Female"/>
    <s v="Feb"/>
  </r>
  <r>
    <s v="Deepika Rao"/>
    <n v="26"/>
    <s v="Male"/>
    <s v="Beauty"/>
    <s v="Kama Ayurveda Hair Oil"/>
    <n v="3"/>
    <n v="1203"/>
    <n v="5"/>
    <s v="Cash"/>
    <s v="Delivered"/>
    <x v="0"/>
    <n v="3428.55"/>
    <s v="West"/>
    <x v="0"/>
    <x v="2"/>
    <s v="Male"/>
    <s v="Oct"/>
  </r>
  <r>
    <s v="Null"/>
    <n v="40"/>
    <s v="Female"/>
    <s v="Beauty"/>
    <s v="WOW Vitamin C Serum"/>
    <n v="3"/>
    <n v="1270"/>
    <n v="10"/>
    <s v="UPI"/>
    <s v="Delivered"/>
    <x v="0"/>
    <n v="3429"/>
    <s v="South"/>
    <x v="3"/>
    <x v="2"/>
    <s v="Female"/>
    <s v="May"/>
  </r>
  <r>
    <s v="Kiran Malhotra"/>
    <n v="22"/>
    <s v="Male"/>
    <s v="Beauty"/>
    <s v="Nykaa Kajal"/>
    <n v="8"/>
    <n v="433"/>
    <n v="0"/>
    <s v="Cash"/>
    <s v="Cancelled"/>
    <x v="2"/>
    <n v="3464"/>
    <s v="North"/>
    <x v="1"/>
    <x v="2"/>
    <s v="Male"/>
    <s v="Null"/>
  </r>
  <r>
    <s v="Shweta Ghosh"/>
    <n v="52"/>
    <s v="Male"/>
    <s v="Beauty"/>
    <s v="Lakme Foundation"/>
    <n v="4"/>
    <n v="1165"/>
    <n v="25"/>
    <s v="Card"/>
    <s v="returned"/>
    <x v="1"/>
    <n v="3495"/>
    <s v="East"/>
    <x v="2"/>
    <x v="2"/>
    <s v="Male"/>
    <s v="Sep"/>
  </r>
  <r>
    <s v="Arjun Pillai"/>
    <n v="33"/>
    <s v="Male"/>
    <s v="clothing"/>
    <s v="Puma Track Suit"/>
    <n v="1"/>
    <n v="3500"/>
    <m/>
    <s v="Card"/>
    <s v="Delivered"/>
    <x v="0"/>
    <n v="3500"/>
    <s v="East"/>
    <x v="2"/>
    <x v="1"/>
    <s v="Male"/>
    <s v="Null"/>
  </r>
  <r>
    <s v="Tanvi Kulkarni"/>
    <m/>
    <s v="Male"/>
    <s v="Beauty"/>
    <s v="Biotique Sunscreen"/>
    <n v="6"/>
    <n v="585"/>
    <n v="0"/>
    <s v="Card"/>
    <s v="Cancelled"/>
    <x v="2"/>
    <n v="3510"/>
    <s v="South"/>
    <x v="3"/>
    <x v="2"/>
    <s v="Male"/>
    <s v="Null"/>
  </r>
  <r>
    <s v="PRIYA PATEL"/>
    <n v="32"/>
    <s v="Female"/>
    <s v="clothing"/>
    <s v="H&amp;M T-Shirt"/>
    <n v="3"/>
    <n v="1250"/>
    <n v="5"/>
    <s v="COD"/>
    <s v="returned"/>
    <x v="1"/>
    <n v="3562.5"/>
    <s v="West"/>
    <x v="0"/>
    <x v="1"/>
    <s v="Female"/>
    <s v="Null"/>
  </r>
  <r>
    <s v="Null"/>
    <n v="57"/>
    <s v="Female"/>
    <s v="clothing"/>
    <s v="Allen Solly Formal Shirt"/>
    <n v="3"/>
    <n v="1700"/>
    <n v="30"/>
    <s v="Card"/>
    <s v="Delivered"/>
    <x v="0"/>
    <n v="3570"/>
    <s v="East"/>
    <x v="2"/>
    <x v="1"/>
    <s v="Female"/>
    <s v="Null"/>
  </r>
  <r>
    <s v="Lakshmi Krishnan"/>
    <n v="52"/>
    <s v="Male"/>
    <s v="Beauty"/>
    <s v="L'Oreal Shampoo"/>
    <n v="9"/>
    <n v="795"/>
    <n v="50"/>
    <s v="UPI"/>
    <s v="Delivered"/>
    <x v="0"/>
    <n v="3577.5"/>
    <s v="East"/>
    <x v="2"/>
    <x v="2"/>
    <s v="Male"/>
    <s v="Aug"/>
  </r>
  <r>
    <s v="Sunita Pandey"/>
    <n v="62"/>
    <s v="Female"/>
    <s v="clothing"/>
    <s v="W Ethnic Wear"/>
    <n v="1"/>
    <n v="3600"/>
    <n v="10"/>
    <s v="UPI"/>
    <s v="Delivered"/>
    <x v="0"/>
    <n v="3600"/>
    <s v="South"/>
    <x v="3"/>
    <x v="1"/>
    <s v="Female"/>
    <s v="Jan"/>
  </r>
  <r>
    <s v="Shweta Ghosh"/>
    <n v="52"/>
    <s v="Female"/>
    <s v="clothing"/>
    <s v="Fabindia Kurta"/>
    <n v="2"/>
    <n v="2000"/>
    <n v="10"/>
    <s v="Card"/>
    <s v="Delivered"/>
    <x v="0"/>
    <n v="3600"/>
    <s v="West"/>
    <x v="0"/>
    <x v="1"/>
    <s v="Female"/>
    <s v="Sep"/>
  </r>
  <r>
    <s v="Deepika Rao"/>
    <n v="28"/>
    <s v="Female"/>
    <s v="Home &amp; Kitchen"/>
    <s v="Nilkamal Plastic Chair"/>
    <n v="2"/>
    <n v="1830"/>
    <n v="0"/>
    <s v="Debit Card"/>
    <s v="Delivered"/>
    <x v="0"/>
    <n v="3660"/>
    <s v="North"/>
    <x v="1"/>
    <x v="3"/>
    <s v="Female"/>
    <s v="Feb"/>
  </r>
  <r>
    <s v="Deepika Rao"/>
    <n v="36"/>
    <s v="M"/>
    <s v="Home &amp; Kitchen"/>
    <s v="Nilkamal Plastic Chair"/>
    <n v="2"/>
    <n v="1945"/>
    <n v="5"/>
    <s v="Cash"/>
    <s v="Delivered"/>
    <x v="0"/>
    <n v="3695.5"/>
    <s v="North"/>
    <x v="1"/>
    <x v="3"/>
    <s v="Male"/>
    <s v="Null"/>
  </r>
  <r>
    <s v="Nikhil Bose"/>
    <n v="54"/>
    <s v="Female"/>
    <s v="clothing"/>
    <s v="Peter England Trousers"/>
    <n v="1"/>
    <n v="3700"/>
    <n v="-10"/>
    <s v="Card"/>
    <s v="Delivered"/>
    <x v="0"/>
    <n v="3700"/>
    <s v="West"/>
    <x v="0"/>
    <x v="1"/>
    <s v="Female"/>
    <s v="Aug"/>
  </r>
  <r>
    <s v="Manish Agarwal"/>
    <n v="52"/>
    <s v="Male"/>
    <s v="Home &amp; Kitchen"/>
    <s v="Cello Water Bottle"/>
    <n v="10"/>
    <n v="529"/>
    <n v="30"/>
    <s v="Card"/>
    <s v="Cancelled"/>
    <x v="2"/>
    <n v="3703"/>
    <s v="North"/>
    <x v="1"/>
    <x v="3"/>
    <s v="Male"/>
    <s v="Null"/>
  </r>
  <r>
    <s v="Null"/>
    <n v="22"/>
    <s v="Male"/>
    <s v="Clothiing"/>
    <s v="Fabindia Kurta"/>
    <n v="3"/>
    <n v="1250"/>
    <n v="0"/>
    <s v="COD"/>
    <s v="Delivered"/>
    <x v="0"/>
    <n v="3750"/>
    <s v="North"/>
    <x v="1"/>
    <x v="1"/>
    <s v="Male"/>
    <s v="May"/>
  </r>
  <r>
    <s v="Null"/>
    <n v="50"/>
    <s v="Male"/>
    <s v="clothing"/>
    <s v="Westside Dress"/>
    <n v="1"/>
    <n v="3950"/>
    <n v="5"/>
    <s v="Card"/>
    <s v="Delivered"/>
    <x v="0"/>
    <n v="3752.5"/>
    <s v="West"/>
    <x v="0"/>
    <x v="1"/>
    <s v="Male"/>
    <s v="Oct"/>
  </r>
  <r>
    <s v="Neha Mishra"/>
    <n v="65"/>
    <s v="Male"/>
    <s v="Home &amp; Kitchen"/>
    <s v="Asian Paints 4L"/>
    <n v="2"/>
    <n v="2208"/>
    <n v="15"/>
    <s v="UPI"/>
    <s v="Delivered"/>
    <x v="0"/>
    <n v="3753.6"/>
    <s v="S"/>
    <x v="3"/>
    <x v="3"/>
    <s v="Male"/>
    <s v="Null"/>
  </r>
  <r>
    <s v="Geeta Thakur"/>
    <n v="21"/>
    <s v="Male"/>
    <s v="Home &amp; Kitchen"/>
    <s v="Cello Water Bottle"/>
    <n v="8"/>
    <n v="478"/>
    <n v="0"/>
    <s v="Cash"/>
    <s v="Delivered"/>
    <x v="0"/>
    <n v="3824"/>
    <s v="North"/>
    <x v="1"/>
    <x v="3"/>
    <s v="Male"/>
    <s v="Oct"/>
  </r>
  <r>
    <s v="Vinod Patil"/>
    <n v="36"/>
    <s v="Male"/>
    <s v="Clothng"/>
    <s v="W Ethnic Wear"/>
    <n v="2"/>
    <n v="2550"/>
    <n v="25"/>
    <s v="Cash"/>
    <s v="Returnd"/>
    <x v="1"/>
    <n v="3825"/>
    <s v="North"/>
    <x v="1"/>
    <x v="1"/>
    <s v="Male"/>
    <s v="Null"/>
  </r>
  <r>
    <s v="Vinod Patil"/>
    <n v="27"/>
    <s v="Female"/>
    <s v="Clothng"/>
    <s v="Fabindia Kurta"/>
    <n v="3"/>
    <n v="2550"/>
    <n v="50"/>
    <s v="Card"/>
    <s v="Delivered"/>
    <x v="0"/>
    <n v="3825"/>
    <s v="North"/>
    <x v="1"/>
    <x v="1"/>
    <s v="Female"/>
    <s v="May"/>
  </r>
  <r>
    <s v="Nikhil Bose"/>
    <n v="61"/>
    <s v="Male"/>
    <s v="Beauty"/>
    <s v="VLCC Gold Facial Kit"/>
    <n v="3"/>
    <n v="1420"/>
    <n v="10"/>
    <s v="COD"/>
    <s v="Delivered"/>
    <x v="0"/>
    <n v="3834"/>
    <s v="East"/>
    <x v="2"/>
    <x v="2"/>
    <s v="Male"/>
    <s v="Mar"/>
  </r>
  <r>
    <s v="Priyanka Choudhary"/>
    <n v="40"/>
    <s v="Male"/>
    <s v="Electronics"/>
    <s v="JBL Bluetooth Speaker"/>
    <n v="1"/>
    <n v="4800"/>
    <n v="20"/>
    <s v="UPI"/>
    <s v="Cancelled"/>
    <x v="2"/>
    <n v="3840"/>
    <s v="East"/>
    <x v="2"/>
    <x v="0"/>
    <s v="Male"/>
    <s v="Null"/>
  </r>
  <r>
    <s v="Rajan Bhatt"/>
    <n v="33"/>
    <s v="Female"/>
    <s v="clothing"/>
    <s v="Puma Track Suit"/>
    <n v="2"/>
    <n v="3200"/>
    <n v="40"/>
    <s v="Card"/>
    <s v="Delivered"/>
    <x v="0"/>
    <n v="3840"/>
    <s v="North"/>
    <x v="1"/>
    <x v="1"/>
    <s v="Female"/>
    <s v="Null"/>
  </r>
  <r>
    <s v="Neha Mishra"/>
    <n v="31"/>
    <s v="Male"/>
    <s v="Home &amp; Kitchen"/>
    <s v="Milton Steel Bottles"/>
    <n v="5"/>
    <n v="1282"/>
    <n v="40"/>
    <s v="Card"/>
    <s v="Cancelled"/>
    <x v="2"/>
    <n v="3846"/>
    <s v="West"/>
    <x v="0"/>
    <x v="3"/>
    <s v="Male"/>
    <s v="Feb"/>
  </r>
  <r>
    <s v="Swati Jain"/>
    <n v="19"/>
    <s v="Male"/>
    <s v="clothing"/>
    <s v="Adidas Sneakers"/>
    <n v="1"/>
    <n v="5500"/>
    <n v="30"/>
    <s v="UPI"/>
    <s v="Cancelled"/>
    <x v="2"/>
    <n v="3850"/>
    <s v="East"/>
    <x v="2"/>
    <x v="1"/>
    <s v="Male"/>
    <s v="Jul"/>
  </r>
  <r>
    <s v="Sunita Pandey"/>
    <n v="999"/>
    <s v="Male"/>
    <s v="Home &amp; Kitchen"/>
    <s v="Hawkins Cookware Set"/>
    <n v="1"/>
    <n v="4338"/>
    <n v="10"/>
    <s v="Cash"/>
    <s v="Delivered"/>
    <x v="0"/>
    <n v="3904.2"/>
    <s v="West"/>
    <x v="0"/>
    <x v="3"/>
    <s v="Male"/>
    <s v="Sep"/>
  </r>
  <r>
    <s v="Kiran Malhotra"/>
    <n v="24"/>
    <s v="Male"/>
    <s v="clothing"/>
    <s v="Fabindia Kurta"/>
    <n v="2"/>
    <n v="2450"/>
    <n v="20"/>
    <s v="Card"/>
    <s v="Delivered"/>
    <x v="0"/>
    <n v="3920"/>
    <s v="East"/>
    <x v="2"/>
    <x v="1"/>
    <s v="Male"/>
    <s v="Null"/>
  </r>
  <r>
    <s v="Gaurav Bansal"/>
    <n v="47"/>
    <s v="Male"/>
    <s v="Beauty"/>
    <s v="Dove Body Lotion"/>
    <n v="8"/>
    <n v="493"/>
    <n v="0"/>
    <s v="COD"/>
    <s v="Returnd"/>
    <x v="1"/>
    <n v="3944"/>
    <s v="North"/>
    <x v="1"/>
    <x v="2"/>
    <s v="Male"/>
    <s v="Null"/>
  </r>
  <r>
    <s v="Shweta Ghosh"/>
    <n v="22"/>
    <s v="Mle"/>
    <s v="Beauty"/>
    <s v="Biotique Sunscreen"/>
    <n v="8"/>
    <n v="520"/>
    <n v="5"/>
    <s v="Card"/>
    <s v="Delivered"/>
    <x v="0"/>
    <n v="3952"/>
    <s v="East"/>
    <x v="2"/>
    <x v="2"/>
    <s v="Other"/>
    <s v="Nov"/>
  </r>
  <r>
    <s v="Priya Patel"/>
    <n v="50"/>
    <s v="Female"/>
    <s v="Beauty"/>
    <s v="Maybelline Lipstick"/>
    <n v="9"/>
    <n v="519"/>
    <n v="15"/>
    <s v="Card"/>
    <s v="Delivered"/>
    <x v="0"/>
    <n v="3970.35"/>
    <s v="East"/>
    <x v="2"/>
    <x v="2"/>
    <s v="Female"/>
    <s v="May"/>
  </r>
  <r>
    <s v="Ramesh Naik"/>
    <n v="51"/>
    <s v="Female"/>
    <s v="clothing"/>
    <s v="Cotton Saree"/>
    <n v="3"/>
    <n v="1900"/>
    <n v="30"/>
    <s v="COD"/>
    <s v="returned"/>
    <x v="1"/>
    <n v="3990"/>
    <s v="North"/>
    <x v="1"/>
    <x v="1"/>
    <s v="Female"/>
    <s v="Feb"/>
  </r>
  <r>
    <s v="Gaurav Bansal"/>
    <n v="46"/>
    <s v="Female"/>
    <s v="clothing"/>
    <s v="Puma Track Suit"/>
    <n v="1"/>
    <n v="4200"/>
    <n v="5"/>
    <s v="COD"/>
    <s v="Delivered"/>
    <x v="0"/>
    <n v="3990"/>
    <s v="West"/>
    <x v="0"/>
    <x v="1"/>
    <s v="Female"/>
    <s v="Dec"/>
  </r>
  <r>
    <s v="Harish Menon"/>
    <n v="37"/>
    <s v="Male"/>
    <s v="Electronics"/>
    <s v="Mi Band 7"/>
    <n v="1"/>
    <n v="4000"/>
    <n v="0"/>
    <s v="Card"/>
    <s v="returned"/>
    <x v="1"/>
    <n v="4000"/>
    <s v="North"/>
    <x v="1"/>
    <x v="0"/>
    <s v="Male"/>
    <s v="Dec"/>
  </r>
  <r>
    <s v="Null"/>
    <n v="21"/>
    <s v="Female"/>
    <s v="Electonics"/>
    <s v="boAt Earbuds"/>
    <n v="2"/>
    <n v="2500"/>
    <n v="20"/>
    <s v="UPI"/>
    <s v="Delivered"/>
    <x v="0"/>
    <n v="4000"/>
    <s v="South"/>
    <x v="3"/>
    <x v="0"/>
    <s v="Female"/>
    <s v="Aug"/>
  </r>
  <r>
    <s v="Pooja Nair"/>
    <n v="27"/>
    <s v="Male"/>
    <s v="Home &amp; Kitchen"/>
    <s v="Cello Water Bottle"/>
    <n v="8"/>
    <n v="720"/>
    <n v="30"/>
    <s v="COD"/>
    <s v="Cancelled"/>
    <x v="2"/>
    <n v="4032"/>
    <s v="East"/>
    <x v="2"/>
    <x v="3"/>
    <s v="Male"/>
    <s v="Nov"/>
  </r>
  <r>
    <s v="Pallavi Deshmukh"/>
    <n v="54"/>
    <s v="M"/>
    <s v="Beauty"/>
    <s v="Nykaa Kajal"/>
    <n v="5"/>
    <n v="270"/>
    <n v="25"/>
    <s v="UPI"/>
    <s v="Retruned"/>
    <x v="1"/>
    <n v="4050"/>
    <s v="West"/>
    <x v="0"/>
    <x v="2"/>
    <s v="Male"/>
    <s v="Null"/>
  </r>
  <r>
    <s v="Null"/>
    <n v="47"/>
    <s v="Male"/>
    <s v="clothing"/>
    <s v="H&amp;M T-Shirt"/>
    <n v="3"/>
    <n v="1950"/>
    <n v="30"/>
    <s v="U.P.I"/>
    <s v="Cancelled"/>
    <x v="2"/>
    <n v="4095"/>
    <s v="South"/>
    <x v="3"/>
    <x v="1"/>
    <s v="Male"/>
    <s v="Mar"/>
  </r>
  <r>
    <s v="Shreya Pandey"/>
    <n v="47"/>
    <s v="Female"/>
    <s v="Beauty"/>
    <s v="Dove Body Lotion"/>
    <n v="9"/>
    <n v="482"/>
    <n v="5"/>
    <s v="Cash"/>
    <s v="returned"/>
    <x v="1"/>
    <n v="4121.1000000000004"/>
    <s v="North"/>
    <x v="1"/>
    <x v="2"/>
    <s v="Female"/>
    <s v="Sep"/>
  </r>
  <r>
    <s v="Null"/>
    <n v="39"/>
    <s v="Male"/>
    <s v="clothing"/>
    <s v="Puma Track Suit"/>
    <n v="1"/>
    <n v="4350"/>
    <n v="5"/>
    <s v="Card"/>
    <s v="Delivered"/>
    <x v="0"/>
    <n v="4132.5"/>
    <s v="North"/>
    <x v="1"/>
    <x v="1"/>
    <s v="Male"/>
    <s v="Jun"/>
  </r>
  <r>
    <s v="Null"/>
    <n v="56"/>
    <s v="Female"/>
    <s v="Beauty"/>
    <s v="Plum Night Cream"/>
    <n v="9"/>
    <n v="921"/>
    <n v="50"/>
    <s v="UPI"/>
    <s v="returned"/>
    <x v="1"/>
    <n v="4144.5"/>
    <s v="South"/>
    <x v="3"/>
    <x v="2"/>
    <s v="Female"/>
    <s v="Jul"/>
  </r>
  <r>
    <s v="Lakshmi Krishnan"/>
    <n v="20"/>
    <s v="Female"/>
    <s v="clothing"/>
    <s v="H&amp;M T-Shirt"/>
    <n v="3"/>
    <n v="1850"/>
    <n v="25"/>
    <s v="COD"/>
    <s v="Delivered"/>
    <x v="0"/>
    <n v="4162.5"/>
    <s v="East"/>
    <x v="2"/>
    <x v="1"/>
    <s v="Female"/>
    <s v="Null"/>
  </r>
  <r>
    <s v="Priyanka Choudhary"/>
    <n v="49"/>
    <s v="Male"/>
    <s v="Beauty"/>
    <s v="Plum Night Cream"/>
    <n v="5"/>
    <n v="1046"/>
    <n v="20"/>
    <s v="UPI"/>
    <s v="Delivered"/>
    <x v="0"/>
    <n v="4184"/>
    <s v="East"/>
    <x v="2"/>
    <x v="2"/>
    <s v="Male"/>
    <s v="Sep"/>
  </r>
  <r>
    <s v="Ashok Yadav"/>
    <n v="42"/>
    <s v="Female"/>
    <s v="clothing"/>
    <s v="Adidas Sneakers"/>
    <n v="1"/>
    <n v="4650"/>
    <n v="10"/>
    <s v="Card"/>
    <s v="Delivered"/>
    <x v="0"/>
    <n v="4185"/>
    <s v="West"/>
    <x v="0"/>
    <x v="1"/>
    <s v="Female"/>
    <s v="Jul"/>
  </r>
  <r>
    <s v="Sanjay Dubey"/>
    <n v="41"/>
    <s v="Female"/>
    <s v="Electronics"/>
    <s v="JBL Bluetooth Speaker"/>
    <n v="1"/>
    <n v="7000"/>
    <n v="40"/>
    <s v="Cash"/>
    <s v="Delivered"/>
    <x v="0"/>
    <n v="4200"/>
    <s v="South"/>
    <x v="3"/>
    <x v="0"/>
    <s v="Female"/>
    <s v="Null"/>
  </r>
  <r>
    <s v="Null"/>
    <n v="40"/>
    <s v="Female"/>
    <s v="Electonics"/>
    <s v="boAt Earbuds"/>
    <n v="2"/>
    <n v="2100"/>
    <m/>
    <s v="UPI"/>
    <s v="Delvered"/>
    <x v="0"/>
    <n v="4200"/>
    <s v="East"/>
    <x v="2"/>
    <x v="0"/>
    <s v="Female"/>
    <s v="Dec"/>
  </r>
  <r>
    <s v="Ashok Yadav"/>
    <n v="44"/>
    <s v="Female"/>
    <s v="clothing"/>
    <s v="Manyavar Sherwani"/>
    <n v="1"/>
    <n v="7000"/>
    <n v="40"/>
    <s v="Card"/>
    <s v="Delivered"/>
    <x v="0"/>
    <n v="4200"/>
    <s v="S"/>
    <x v="3"/>
    <x v="1"/>
    <s v="Female"/>
    <s v="Null"/>
  </r>
  <r>
    <s v="Anjali Srivastava"/>
    <n v="40"/>
    <s v="Male"/>
    <s v="clothing"/>
    <s v="Adidas Sneakers"/>
    <n v="1"/>
    <n v="5650"/>
    <n v="25"/>
    <s v="UPI"/>
    <s v="returned"/>
    <x v="1"/>
    <n v="4237.5"/>
    <s v="West"/>
    <x v="0"/>
    <x v="1"/>
    <s v="Male"/>
    <s v="Aug"/>
  </r>
  <r>
    <s v="Null"/>
    <n v="47"/>
    <s v="Female"/>
    <s v="clothing"/>
    <s v="Nike Running Shoes"/>
    <n v="1"/>
    <n v="5000"/>
    <n v="15"/>
    <s v="UPI"/>
    <s v="Delivered"/>
    <x v="0"/>
    <n v="4250"/>
    <s v="North"/>
    <x v="1"/>
    <x v="1"/>
    <s v="Female"/>
    <s v="Aug"/>
  </r>
  <r>
    <s v="Amit Kumar"/>
    <n v="47"/>
    <s v="Female"/>
    <s v="clothing"/>
    <s v="Fabindia Kurta"/>
    <n v="2"/>
    <n v="2500"/>
    <n v="15"/>
    <s v="Cash"/>
    <s v="Delivered"/>
    <x v="0"/>
    <n v="4250"/>
    <s v="South"/>
    <x v="3"/>
    <x v="1"/>
    <s v="Female"/>
    <s v="Dec"/>
  </r>
  <r>
    <s v="Pallavi Deshmukh"/>
    <n v="35"/>
    <s v="Female"/>
    <s v="clothing"/>
    <s v="Adidas Sneakers"/>
    <n v="1"/>
    <n v="5350"/>
    <n v="20"/>
    <s v="UPI"/>
    <s v="Delivered"/>
    <x v="0"/>
    <n v="4280"/>
    <s v="North"/>
    <x v="1"/>
    <x v="1"/>
    <s v="Female"/>
    <s v="Null"/>
  </r>
  <r>
    <s v="Null"/>
    <n v="30"/>
    <s v="Female"/>
    <s v="clothing"/>
    <s v="Cotton Saree"/>
    <n v="3"/>
    <n v="2050"/>
    <n v="30"/>
    <s v="UPI"/>
    <s v="returned"/>
    <x v="1"/>
    <n v="4305"/>
    <s v="West"/>
    <x v="0"/>
    <x v="1"/>
    <s v="Female"/>
    <s v="Null"/>
  </r>
  <r>
    <s v="Geeta Thakur"/>
    <n v="35"/>
    <s v="F"/>
    <s v="Beauty"/>
    <s v="Maybelline Lipstick"/>
    <n v="5"/>
    <n v="862"/>
    <n v="5"/>
    <s v="UPI"/>
    <s v="Cancelled"/>
    <x v="2"/>
    <n v="4310"/>
    <s v="South"/>
    <x v="3"/>
    <x v="2"/>
    <s v="Female"/>
    <s v="Sep"/>
  </r>
  <r>
    <s v="Nikhil Bose"/>
    <n v="25"/>
    <s v="Male"/>
    <s v="Beauty"/>
    <s v="Nykaa Kajal"/>
    <n v="10"/>
    <n v="455"/>
    <n v="5"/>
    <s v="Csh"/>
    <s v="Cancelled"/>
    <x v="2"/>
    <n v="4322.5"/>
    <s v="West"/>
    <x v="0"/>
    <x v="2"/>
    <s v="Male"/>
    <s v="Null"/>
  </r>
  <r>
    <s v="Priyanka Choudhary"/>
    <n v="31"/>
    <s v="Female"/>
    <s v="Beauty"/>
    <s v="Forest Essentials Cream"/>
    <n v="4"/>
    <n v="4324"/>
    <n v="0"/>
    <s v="Card"/>
    <s v="Delivered"/>
    <x v="0"/>
    <n v="4324"/>
    <s v="West"/>
    <x v="0"/>
    <x v="2"/>
    <s v="Female"/>
    <s v="Apr"/>
  </r>
  <r>
    <s v="Null"/>
    <n v="43"/>
    <s v="Male"/>
    <s v="Beauty"/>
    <s v="Maybelline Lipstick"/>
    <n v="6"/>
    <n v="803"/>
    <n v="10"/>
    <s v="UPI"/>
    <s v="Delivered"/>
    <x v="0"/>
    <n v="4336.2"/>
    <s v="East"/>
    <x v="2"/>
    <x v="2"/>
    <s v="Male"/>
    <s v="May"/>
  </r>
  <r>
    <s v="Deepika Rao"/>
    <n v="62"/>
    <s v="Female"/>
    <s v="Beauty"/>
    <s v="Kama Ayurveda Hair Oil"/>
    <n v="7"/>
    <n v="892"/>
    <n v="30"/>
    <s v="Card"/>
    <s v="Delivered"/>
    <x v="0"/>
    <n v="4370.8"/>
    <s v="North"/>
    <x v="1"/>
    <x v="2"/>
    <s v="Female"/>
    <s v="Mar"/>
  </r>
  <r>
    <s v="Manish Agarwal"/>
    <n v="26"/>
    <s v="Female"/>
    <s v="Home &amp; Kitchen"/>
    <s v="Asian Paints 4L"/>
    <n v="3"/>
    <n v="2448"/>
    <n v="40"/>
    <s v="UPI"/>
    <s v="returned"/>
    <x v="1"/>
    <n v="4406.3999999999996"/>
    <s v="West"/>
    <x v="0"/>
    <x v="3"/>
    <s v="Female"/>
    <s v="Null"/>
  </r>
  <r>
    <s v="Lakshmi Krishnan"/>
    <n v="58"/>
    <s v="Female"/>
    <s v="clothing"/>
    <s v="Peter England Trousers"/>
    <n v="2"/>
    <n v="2450"/>
    <n v="10"/>
    <s v="Card"/>
    <s v="Delivered"/>
    <x v="0"/>
    <n v="4410"/>
    <s v="W"/>
    <x v="0"/>
    <x v="1"/>
    <s v="Female"/>
    <s v="Null"/>
  </r>
  <r>
    <s v="Null"/>
    <n v="54"/>
    <s v="Male"/>
    <s v="clothing"/>
    <s v="Biba Salwar Suit"/>
    <n v="2"/>
    <n v="2600"/>
    <n v="15"/>
    <s v="Card"/>
    <s v="Cancelled"/>
    <x v="2"/>
    <n v="4420"/>
    <s v="North"/>
    <x v="1"/>
    <x v="1"/>
    <s v="Male"/>
    <s v="Jun"/>
  </r>
  <r>
    <s v="Lakshmi Krishnan"/>
    <n v="64"/>
    <s v="Male"/>
    <s v="Home&amp;Kitchen"/>
    <s v="Borosil Glass Set"/>
    <n v="3"/>
    <n v="1965"/>
    <n v="25"/>
    <s v="U.P.I"/>
    <s v="Delivered"/>
    <x v="0"/>
    <n v="4421.25"/>
    <s v="South"/>
    <x v="3"/>
    <x v="3"/>
    <s v="Male"/>
    <s v="Nov"/>
  </r>
  <r>
    <s v="Shweta Ghosh"/>
    <n v="61"/>
    <s v="Male"/>
    <s v="Beauty"/>
    <s v="L'Oreal Shampoo"/>
    <n v="5"/>
    <n v="885"/>
    <n v="0"/>
    <s v="COD"/>
    <s v="Delivered"/>
    <x v="0"/>
    <n v="4425"/>
    <s v="South"/>
    <x v="3"/>
    <x v="2"/>
    <s v="Male"/>
    <s v="Null"/>
  </r>
  <r>
    <s v="Null"/>
    <n v="39"/>
    <s v="Mle"/>
    <s v="Beauty"/>
    <s v="WOW Vitamin C Serum"/>
    <n v="10"/>
    <n v="741"/>
    <n v="40"/>
    <s v="U.P.I"/>
    <s v="Delivered"/>
    <x v="0"/>
    <n v="4446"/>
    <s v="East"/>
    <x v="2"/>
    <x v="2"/>
    <s v="Other"/>
    <s v="Mar"/>
  </r>
  <r>
    <s v="Rekha Sinha"/>
    <n v="30"/>
    <s v="Male"/>
    <s v="Beauty"/>
    <s v="Lakme Foundation"/>
    <n v="6"/>
    <n v="873"/>
    <n v="15"/>
    <s v="UPI"/>
    <s v="Cancelled"/>
    <x v="2"/>
    <n v="4452.3"/>
    <s v="South"/>
    <x v="3"/>
    <x v="2"/>
    <s v="Male"/>
    <s v="Dec"/>
  </r>
  <r>
    <s v="Null"/>
    <n v="29"/>
    <s v="Female"/>
    <s v="clothing"/>
    <s v="Cotton Saree"/>
    <n v="1"/>
    <n v="4950"/>
    <n v="10"/>
    <s v="Card"/>
    <s v="Delivered"/>
    <x v="0"/>
    <n v="4455"/>
    <s v="North"/>
    <x v="1"/>
    <x v="1"/>
    <s v="Female"/>
    <s v="Feb"/>
  </r>
  <r>
    <s v="Meera Nambiar"/>
    <n v="49"/>
    <s v="Male"/>
    <s v="Home &amp; Kitchen"/>
    <s v="Milton Steel Bottles"/>
    <n v="4"/>
    <n v="1124"/>
    <n v="0"/>
    <s v="UPI"/>
    <s v="Delivered"/>
    <x v="0"/>
    <n v="4496"/>
    <s v="South"/>
    <x v="3"/>
    <x v="3"/>
    <s v="Male"/>
    <s v="Mar"/>
  </r>
  <r>
    <s v="Null"/>
    <n v="37"/>
    <s v="Male"/>
    <s v="clothing"/>
    <s v="Biba Salwar Suit"/>
    <n v="2"/>
    <n v="2500"/>
    <n v="10"/>
    <s v="COD"/>
    <s v="Delivered"/>
    <x v="0"/>
    <n v="4500"/>
    <s v="South"/>
    <x v="3"/>
    <x v="1"/>
    <s v="Male"/>
    <s v="Mar"/>
  </r>
  <r>
    <s v="Manish Agarwal"/>
    <n v="53"/>
    <s v="Male"/>
    <s v="Electronics"/>
    <s v="JBL Bluetooth Speaker"/>
    <n v="1"/>
    <n v="5000"/>
    <n v="10"/>
    <s v="COD"/>
    <s v="Delivered"/>
    <x v="0"/>
    <n v="4500"/>
    <s v="South"/>
    <x v="3"/>
    <x v="0"/>
    <s v="Male"/>
    <s v="Null"/>
  </r>
  <r>
    <s v="Pooja Nair"/>
    <n v="25"/>
    <s v="Female"/>
    <s v="Electronics"/>
    <s v="Mi Band 7"/>
    <n v="1"/>
    <n v="4500"/>
    <n v="0"/>
    <s v="U.P.I"/>
    <s v="Delivered"/>
    <x v="0"/>
    <n v="4500"/>
    <s v="North"/>
    <x v="1"/>
    <x v="0"/>
    <s v="Female"/>
    <s v="Dec"/>
  </r>
  <r>
    <s v="Null"/>
    <n v="54"/>
    <s v="Female"/>
    <s v="clothing"/>
    <s v="Fabindia Kurta"/>
    <n v="2"/>
    <n v="2500"/>
    <n v="10"/>
    <s v="Card"/>
    <s v="Delivered"/>
    <x v="0"/>
    <n v="4500"/>
    <s v="East"/>
    <x v="2"/>
    <x v="1"/>
    <s v="Female"/>
    <s v="Jan"/>
  </r>
  <r>
    <s v="Sanjay Dubey"/>
    <n v="21"/>
    <s v="Other"/>
    <s v="clothing"/>
    <s v="Raymond Suit"/>
    <n v="1"/>
    <n v="5050"/>
    <n v="10"/>
    <s v="Cash"/>
    <s v="returned"/>
    <x v="1"/>
    <n v="4545"/>
    <s v="South"/>
    <x v="3"/>
    <x v="1"/>
    <s v="Other"/>
    <s v="Dec"/>
  </r>
  <r>
    <s v="Null"/>
    <n v="36"/>
    <s v="Other"/>
    <s v="Beauty"/>
    <s v="WOW Vitamin C Serum"/>
    <n v="5"/>
    <n v="910"/>
    <n v="0"/>
    <s v="Card"/>
    <s v="Cancelled"/>
    <x v="2"/>
    <n v="4550"/>
    <s v="South"/>
    <x v="3"/>
    <x v="2"/>
    <s v="Other"/>
    <s v="Null"/>
  </r>
  <r>
    <s v="Null"/>
    <n v="21"/>
    <s v="Male"/>
    <s v="Clothng"/>
    <s v="Nike Running Shoes"/>
    <n v="1"/>
    <n v="4550"/>
    <m/>
    <s v="Card"/>
    <s v="Delivered"/>
    <x v="0"/>
    <n v="4550"/>
    <s v="East"/>
    <x v="2"/>
    <x v="1"/>
    <s v="Male"/>
    <s v="Jun"/>
  </r>
  <r>
    <s v="Gaurav Bansal"/>
    <n v="58"/>
    <s v="Female"/>
    <s v="Beauty"/>
    <s v="Lakme Foundation"/>
    <n v="8"/>
    <n v="599"/>
    <n v="5"/>
    <s v="Card"/>
    <s v="Cancelled"/>
    <x v="2"/>
    <n v="4552.3999999999996"/>
    <s v="North"/>
    <x v="1"/>
    <x v="2"/>
    <s v="Female"/>
    <s v="Null"/>
  </r>
  <r>
    <s v="Gaurav Bansal"/>
    <n v="58"/>
    <s v="Female"/>
    <s v="Beauty"/>
    <s v="Lakme Foundation"/>
    <n v="8"/>
    <n v="599"/>
    <n v="5"/>
    <s v="Card"/>
    <s v="Cancelled"/>
    <x v="2"/>
    <n v="4552.3999999999996"/>
    <s v="North"/>
    <x v="1"/>
    <x v="2"/>
    <s v="Female"/>
    <s v="Null"/>
  </r>
  <r>
    <s v="Pranav Kulkarni"/>
    <n v="58"/>
    <s v="Female"/>
    <s v="Home &amp; Kitchen"/>
    <s v="Milton Steel Bottles"/>
    <n v="7"/>
    <n v="1302"/>
    <n v="50"/>
    <s v="Card"/>
    <s v="Cancelled"/>
    <x v="2"/>
    <n v="4557"/>
    <s v="East"/>
    <x v="2"/>
    <x v="3"/>
    <s v="Female"/>
    <s v="Null"/>
  </r>
  <r>
    <s v="Pallavi Deshmukh"/>
    <n v="24"/>
    <s v="Female"/>
    <s v="Beauty"/>
    <s v="Forest Essentials Cream"/>
    <n v="3"/>
    <n v="1696"/>
    <n v="10"/>
    <s v="Cash"/>
    <s v="Cancelled"/>
    <x v="2"/>
    <n v="4579.2"/>
    <s v="West"/>
    <x v="0"/>
    <x v="2"/>
    <s v="Female"/>
    <s v="May"/>
  </r>
  <r>
    <s v="Geeta Thakur"/>
    <n v="58"/>
    <s v="Female"/>
    <s v="clothing"/>
    <s v="Peter England Trousers"/>
    <n v="2"/>
    <n v="2550"/>
    <n v="10"/>
    <s v="UPI"/>
    <s v="Delivered"/>
    <x v="0"/>
    <n v="4590"/>
    <s v="South"/>
    <x v="3"/>
    <x v="1"/>
    <s v="Female"/>
    <s v="Null"/>
  </r>
  <r>
    <s v="Null"/>
    <n v="25"/>
    <s v="Male"/>
    <s v="Electronics"/>
    <s v="boAt Earbuds"/>
    <n v="2"/>
    <n v="2300"/>
    <m/>
    <s v="COD"/>
    <s v="returned"/>
    <x v="1"/>
    <n v="4600"/>
    <s v="North"/>
    <x v="1"/>
    <x v="0"/>
    <s v="Male"/>
    <s v="Jun"/>
  </r>
  <r>
    <s v="Null"/>
    <n v="22"/>
    <s v="Female"/>
    <s v="Electronics"/>
    <s v="boAt Earbuds"/>
    <n v="2"/>
    <n v="2300"/>
    <n v="0"/>
    <s v="Cash"/>
    <s v="Cancelled"/>
    <x v="2"/>
    <n v="4600"/>
    <s v="West"/>
    <x v="0"/>
    <x v="0"/>
    <s v="Female"/>
    <s v="May"/>
  </r>
  <r>
    <s v="Nitin Kapoor"/>
    <n v="55"/>
    <s v="Female"/>
    <s v="clothing"/>
    <s v="W Ethnic Wear"/>
    <n v="2"/>
    <n v="2300"/>
    <n v="0"/>
    <s v="Card"/>
    <s v="Delivered"/>
    <x v="0"/>
    <n v="4600"/>
    <s v="West"/>
    <x v="0"/>
    <x v="1"/>
    <s v="Female"/>
    <s v="Jun"/>
  </r>
  <r>
    <s v="Lakshmi Krishnan"/>
    <n v="37"/>
    <s v="Male"/>
    <s v="Home &amp; Kitchen"/>
    <s v="Nilkamal Plastic Chair"/>
    <n v="2"/>
    <n v="2303"/>
    <n v="0"/>
    <s v="COD"/>
    <s v="Delivered"/>
    <x v="0"/>
    <n v="4606"/>
    <s v="North"/>
    <x v="1"/>
    <x v="3"/>
    <s v="Male"/>
    <s v="Nov"/>
  </r>
  <r>
    <s v="Deepika Rao"/>
    <n v="42"/>
    <s v="Female"/>
    <s v="Beauty"/>
    <s v="Maybelline Lipstick"/>
    <n v="7"/>
    <n v="697"/>
    <n v="5"/>
    <s v="COD"/>
    <s v="Delivered"/>
    <x v="0"/>
    <n v="4635.05"/>
    <s v="East"/>
    <x v="2"/>
    <x v="2"/>
    <s v="Female"/>
    <s v="Null"/>
  </r>
  <r>
    <s v="Pooja Nair"/>
    <n v="56"/>
    <s v="Male"/>
    <s v="clothing"/>
    <s v="Levi's Jeans"/>
    <n v="2"/>
    <n v="4650"/>
    <n v="50"/>
    <s v="Cash"/>
    <s v="Delivered"/>
    <x v="0"/>
    <n v="4650"/>
    <s v="West"/>
    <x v="0"/>
    <x v="1"/>
    <s v="Male"/>
    <s v="Dec"/>
  </r>
  <r>
    <s v="Arjun Pillai"/>
    <m/>
    <s v="Male"/>
    <s v="clothing"/>
    <s v="Biba Salwar Suit"/>
    <n v="2"/>
    <n v="2600"/>
    <n v="10"/>
    <s v="Card"/>
    <s v="Cancelled"/>
    <x v="2"/>
    <n v="4680"/>
    <s v="South"/>
    <x v="3"/>
    <x v="1"/>
    <s v="Male"/>
    <s v="Feb"/>
  </r>
  <r>
    <s v="Rekha Sinha"/>
    <n v="59"/>
    <s v="Male"/>
    <s v="Home &amp; Kitchen"/>
    <s v="Pigeon Induction Cooktop"/>
    <n v="2"/>
    <n v="3124"/>
    <n v="25"/>
    <s v="COD"/>
    <s v="Delivered"/>
    <x v="0"/>
    <n v="4686"/>
    <s v="Nort"/>
    <x v="1"/>
    <x v="3"/>
    <s v="Male"/>
    <s v="Sep"/>
  </r>
  <r>
    <s v="Amit Kumar"/>
    <n v="53"/>
    <s v="Male"/>
    <s v="Beauity"/>
    <s v="Kama Ayurveda Hair Oil"/>
    <n v="4"/>
    <n v="1186"/>
    <m/>
    <s v="Card"/>
    <s v="Delivered"/>
    <x v="0"/>
    <n v="4744"/>
    <s v="North"/>
    <x v="1"/>
    <x v="2"/>
    <s v="Male"/>
    <s v="Null"/>
  </r>
  <r>
    <s v="Nikhil Bose"/>
    <n v="47"/>
    <s v="Female"/>
    <s v="Home &amp; Kitchen"/>
    <s v="Tupperware Set"/>
    <n v="3"/>
    <n v="2125"/>
    <n v="25"/>
    <s v="Credit Card"/>
    <s v="Delivered"/>
    <x v="0"/>
    <n v="4781.25"/>
    <s v="South"/>
    <x v="3"/>
    <x v="3"/>
    <s v="Female"/>
    <s v="Null"/>
  </r>
  <r>
    <s v="Gaurav Bansal"/>
    <n v="32"/>
    <s v="Female"/>
    <s v="clothing"/>
    <s v="W Ethnic Wear"/>
    <n v="2"/>
    <n v="3000"/>
    <n v="20"/>
    <s v="UPI"/>
    <s v="Delivered"/>
    <x v="0"/>
    <n v="4800"/>
    <s v="North"/>
    <x v="1"/>
    <x v="1"/>
    <s v="Female"/>
    <s v="Jul"/>
  </r>
  <r>
    <s v="Lakshmi Krishnan"/>
    <n v="20"/>
    <s v="Male"/>
    <s v="clothing"/>
    <s v="Nike Running Shoes"/>
    <n v="1"/>
    <n v="4800"/>
    <m/>
    <s v="UPI"/>
    <s v="returned"/>
    <x v="1"/>
    <n v="4800"/>
    <s v="South"/>
    <x v="3"/>
    <x v="1"/>
    <s v="Male"/>
    <s v="Nov"/>
  </r>
  <r>
    <s v="Nikhil Bose"/>
    <n v="42"/>
    <s v="Male"/>
    <s v="clothing"/>
    <s v="Manyavar Sherwani"/>
    <n v="1"/>
    <n v="5350"/>
    <n v="10"/>
    <s v="UPI"/>
    <s v="Delivered"/>
    <x v="0"/>
    <n v="4815"/>
    <s v="West"/>
    <x v="0"/>
    <x v="1"/>
    <s v="Male"/>
    <s v="Jul"/>
  </r>
  <r>
    <s v="Vikram Mehta"/>
    <n v="51"/>
    <s v="Female"/>
    <s v="Home &amp; Kitchen"/>
    <s v="Tupperware Set"/>
    <n v="5"/>
    <n v="1927"/>
    <n v="50"/>
    <s v="Card"/>
    <s v="Delivered"/>
    <x v="0"/>
    <n v="4817.5"/>
    <s v="West"/>
    <x v="0"/>
    <x v="3"/>
    <s v="Female"/>
    <s v="Null"/>
  </r>
  <r>
    <s v="Pooja Nair"/>
    <n v="48"/>
    <s v="Male"/>
    <s v="Home &amp; Kitchen"/>
    <s v="Asian Paints 4L"/>
    <n v="2"/>
    <n v="2412"/>
    <n v="0"/>
    <s v="CashOnDelivery"/>
    <s v="returned"/>
    <x v="1"/>
    <n v="4824"/>
    <s v="South"/>
    <x v="3"/>
    <x v="3"/>
    <s v="Male"/>
    <s v="Apr"/>
  </r>
  <r>
    <s v="Arjun Pillai"/>
    <n v="57"/>
    <s v="Male"/>
    <s v="Home &amp; Kitchen"/>
    <s v="Milton Steel Bottles"/>
    <n v="8"/>
    <n v="864"/>
    <n v="30"/>
    <s v="Cash"/>
    <s v="Delivered"/>
    <x v="0"/>
    <n v="4838.3999999999996"/>
    <s v="East"/>
    <x v="2"/>
    <x v="3"/>
    <s v="Male"/>
    <s v="Nov"/>
  </r>
  <r>
    <s v="Null"/>
    <n v="48"/>
    <s v="Male"/>
    <s v="Beauty"/>
    <s v="L'Oreal Shampoo"/>
    <n v="4"/>
    <n v="808"/>
    <n v="50"/>
    <s v="COD"/>
    <s v="Delivered"/>
    <x v="0"/>
    <n v="4848"/>
    <s v="East"/>
    <x v="2"/>
    <x v="2"/>
    <s v="Male"/>
    <s v="Feb"/>
  </r>
  <r>
    <s v="Manoj Chauhan"/>
    <n v="46"/>
    <s v="Female"/>
    <s v="Home &amp; Kitchen"/>
    <s v="Nilkamal Plastic Chair"/>
    <n v="6"/>
    <n v="1078"/>
    <n v="25"/>
    <s v="Cash"/>
    <s v="Delivered"/>
    <x v="0"/>
    <n v="4851"/>
    <s v="East"/>
    <x v="2"/>
    <x v="3"/>
    <s v="Female"/>
    <s v="Jun"/>
  </r>
  <r>
    <s v="Ashok Yadav"/>
    <n v="31"/>
    <s v="Male"/>
    <s v="Home &amp; Kitchen"/>
    <s v="Tupperware Set"/>
    <n v="4"/>
    <n v="2430"/>
    <n v="50"/>
    <s v="Debit Card"/>
    <s v="Delivered"/>
    <x v="0"/>
    <n v="4860"/>
    <s v="South"/>
    <x v="3"/>
    <x v="3"/>
    <s v="Male"/>
    <s v="Feb"/>
  </r>
  <r>
    <s v="Null"/>
    <n v="61"/>
    <s v="Male"/>
    <s v="clothing"/>
    <s v="Levi's Jeans"/>
    <n v="1"/>
    <n v="4900"/>
    <m/>
    <s v="Cash"/>
    <s v="Delivered"/>
    <x v="0"/>
    <n v="4900"/>
    <s v="W"/>
    <x v="0"/>
    <x v="1"/>
    <s v="Male"/>
    <s v="May"/>
  </r>
  <r>
    <s v="Shreya Pandey"/>
    <n v="150"/>
    <s v="Female"/>
    <s v="Beauty"/>
    <s v="L'Oreal Shampoo"/>
    <n v="10"/>
    <n v="492"/>
    <n v="0"/>
    <s v="UPI"/>
    <s v="Delivered"/>
    <x v="0"/>
    <n v="4920"/>
    <s v="West"/>
    <x v="0"/>
    <x v="2"/>
    <s v="Female"/>
    <s v="Null"/>
  </r>
  <r>
    <s v="Nikhil Bose"/>
    <n v="60"/>
    <s v="Female"/>
    <s v="Beauty"/>
    <s v="Maybelline Lipstick"/>
    <n v="6"/>
    <n v="864"/>
    <n v="5"/>
    <s v="Card"/>
    <s v="returned"/>
    <x v="1"/>
    <n v="4924.8"/>
    <s v="West"/>
    <x v="0"/>
    <x v="2"/>
    <s v="Female"/>
    <s v="Sep"/>
  </r>
  <r>
    <s v="Rajesh Tiwari"/>
    <m/>
    <s v="Female"/>
    <s v="Beauty"/>
    <s v="Maybelline Lipstick"/>
    <n v="7"/>
    <n v="708"/>
    <n v="0"/>
    <s v="Card"/>
    <s v="Delivered"/>
    <x v="0"/>
    <n v="4956"/>
    <s v="E"/>
    <x v="2"/>
    <x v="2"/>
    <s v="Female"/>
    <s v="May"/>
  </r>
  <r>
    <s v="Manoj Chauhan"/>
    <n v="20"/>
    <s v="Female"/>
    <s v="Beauty"/>
    <s v="Kama Ayurveda Hair Oil"/>
    <n v="9"/>
    <n v="1102"/>
    <n v="50"/>
    <s v="COD"/>
    <s v="returned"/>
    <x v="1"/>
    <n v="4959"/>
    <s v="South"/>
    <x v="3"/>
    <x v="2"/>
    <s v="Female"/>
    <s v="Nov"/>
  </r>
  <r>
    <s v="Priya Patel"/>
    <n v="51"/>
    <s v="Other"/>
    <s v="Home &amp; Kitchen"/>
    <s v="Asian Paints 4L"/>
    <n v="2"/>
    <n v="2482"/>
    <n v="0"/>
    <s v="Card"/>
    <s v="Cancelled"/>
    <x v="2"/>
    <n v="4964"/>
    <s v="South"/>
    <x v="3"/>
    <x v="3"/>
    <s v="Other"/>
    <s v="Sep"/>
  </r>
  <r>
    <s v="Kiran Malhotra"/>
    <n v="27"/>
    <s v="Female"/>
    <s v="clothing"/>
    <s v="Westside Dress"/>
    <n v="3"/>
    <n v="1850"/>
    <n v="10"/>
    <s v="Card"/>
    <s v="Cancelled"/>
    <x v="2"/>
    <n v="4995"/>
    <s v="South"/>
    <x v="3"/>
    <x v="1"/>
    <s v="Female"/>
    <s v="Feb"/>
  </r>
  <r>
    <s v="Null"/>
    <n v="33"/>
    <s v="Male"/>
    <s v="Elctronics"/>
    <s v="Sony Headphones"/>
    <n v="1"/>
    <n v="5000"/>
    <n v="0"/>
    <s v="UPI"/>
    <s v="Delivered"/>
    <x v="0"/>
    <n v="5000"/>
    <s v="North"/>
    <x v="1"/>
    <x v="0"/>
    <s v="Male"/>
    <s v="Null"/>
  </r>
  <r>
    <s v="Null"/>
    <n v="52"/>
    <s v="F"/>
    <s v="Home &amp; Kitchen"/>
    <s v="Cello Water Bottle"/>
    <n v="8"/>
    <n v="628"/>
    <n v="0"/>
    <s v="COD"/>
    <s v="returned"/>
    <x v="1"/>
    <n v="5024"/>
    <s v="South"/>
    <x v="3"/>
    <x v="3"/>
    <s v="Female"/>
    <s v="Feb"/>
  </r>
  <r>
    <s v="Null"/>
    <n v="63"/>
    <s v="Male"/>
    <s v="Home &amp; Kitchen"/>
    <s v="Milton Steel Bottles"/>
    <n v="4"/>
    <n v="1257"/>
    <m/>
    <s v="UPI"/>
    <s v="Delivered"/>
    <x v="0"/>
    <n v="5028"/>
    <s v="South"/>
    <x v="3"/>
    <x v="3"/>
    <s v="Male"/>
    <s v="Jul"/>
  </r>
  <r>
    <s v="Geeta Thakur"/>
    <m/>
    <s v="Female"/>
    <s v="Beauty"/>
    <s v="WOW Vitamin C Serum"/>
    <n v="6"/>
    <n v="1199"/>
    <n v="30"/>
    <s v="Card"/>
    <s v="Delivered"/>
    <x v="0"/>
    <n v="5035.8"/>
    <s v="East"/>
    <x v="2"/>
    <x v="2"/>
    <s v="Female"/>
    <s v="Null"/>
  </r>
  <r>
    <s v="Sneha Iyer"/>
    <m/>
    <s v="Female"/>
    <s v="clothing"/>
    <s v="Fabindia Kurta"/>
    <n v="2"/>
    <n v="2800"/>
    <n v="10"/>
    <s v="Card"/>
    <s v="Cancelled"/>
    <x v="2"/>
    <n v="5040"/>
    <s v="North"/>
    <x v="1"/>
    <x v="1"/>
    <s v="Female"/>
    <s v="Jun"/>
  </r>
  <r>
    <s v="Tanvi Kulkarni"/>
    <n v="52"/>
    <s v="Male"/>
    <s v="Hme &amp; Kitchen"/>
    <s v="Nilkamal Plastic Chair"/>
    <n v="3"/>
    <n v="2412"/>
    <n v="30"/>
    <s v="COD"/>
    <s v="Delivered"/>
    <x v="0"/>
    <n v="5065.2"/>
    <s v="South"/>
    <x v="3"/>
    <x v="3"/>
    <s v="Male"/>
    <s v="Mar"/>
  </r>
  <r>
    <s v="Shweta Ghosh"/>
    <n v="27"/>
    <s v="Female"/>
    <s v="Home &amp; Kitchen"/>
    <s v="Cello Water Bottle"/>
    <n v="10"/>
    <n v="677"/>
    <n v="25"/>
    <s v="COD"/>
    <s v="returned"/>
    <x v="1"/>
    <n v="5077.5"/>
    <s v="East"/>
    <x v="2"/>
    <x v="3"/>
    <s v="Female"/>
    <s v="Null"/>
  </r>
  <r>
    <s v="Gaurav Bansal"/>
    <n v="46"/>
    <s v="Male"/>
    <s v="Home &amp; Kitchen"/>
    <s v="Pigeon Induction Cooktop"/>
    <n v="2"/>
    <n v="2682"/>
    <n v="5"/>
    <s v="Card"/>
    <s v="Cancled"/>
    <x v="2"/>
    <n v="5095.8"/>
    <s v="North"/>
    <x v="1"/>
    <x v="3"/>
    <s v="Male"/>
    <s v="Oct"/>
  </r>
  <r>
    <s v="Nitin Kapoor"/>
    <n v="30"/>
    <s v="Mle"/>
    <s v="clothing"/>
    <s v="Nike Running Shoes"/>
    <n v="1"/>
    <n v="5100"/>
    <n v="0"/>
    <s v="COD"/>
    <s v="Cancalled"/>
    <x v="2"/>
    <n v="5100"/>
    <s v="West"/>
    <x v="0"/>
    <x v="1"/>
    <s v="Other"/>
    <s v="Jun"/>
  </r>
  <r>
    <s v="Arjun Pillai"/>
    <n v="53"/>
    <s v="Male"/>
    <s v="clothing"/>
    <s v="Puma Track Suit"/>
    <n v="3"/>
    <n v="5100"/>
    <n v="0"/>
    <s v="COD"/>
    <s v="Delivered"/>
    <x v="0"/>
    <n v="5100"/>
    <s v="West"/>
    <x v="0"/>
    <x v="1"/>
    <s v="Male"/>
    <s v="Jul"/>
  </r>
  <r>
    <s v="Suresh Joshi"/>
    <n v="23"/>
    <s v="Male"/>
    <s v="clothing"/>
    <s v="Westside Dress"/>
    <n v="3"/>
    <n v="1700"/>
    <n v="-5"/>
    <s v="UPI"/>
    <s v="Delivered"/>
    <x v="0"/>
    <n v="5100"/>
    <s v="East"/>
    <x v="2"/>
    <x v="1"/>
    <s v="Male"/>
    <s v="Null"/>
  </r>
  <r>
    <s v="Gaurav Bansal"/>
    <n v="46"/>
    <s v="Male"/>
    <s v="Beauty"/>
    <s v="Maybelline Lipstick"/>
    <n v="9"/>
    <n v="630"/>
    <n v="10"/>
    <s v="COD"/>
    <s v="Delivered"/>
    <x v="0"/>
    <n v="5103"/>
    <s v="West"/>
    <x v="0"/>
    <x v="2"/>
    <s v="Male"/>
    <s v="Null"/>
  </r>
  <r>
    <s v="Sanjay Dubey"/>
    <n v="20"/>
    <s v="Female"/>
    <s v="clothing"/>
    <s v="Fabindia Kurta"/>
    <n v="2"/>
    <n v="2700"/>
    <n v="5"/>
    <s v="Card"/>
    <s v="Delivered"/>
    <x v="0"/>
    <n v="5130"/>
    <s v="North"/>
    <x v="1"/>
    <x v="1"/>
    <s v="Female"/>
    <s v="Null"/>
  </r>
  <r>
    <s v="Shreya Pandey"/>
    <n v="42"/>
    <s v="Male"/>
    <s v="Beauty"/>
    <s v="L'Oreal Shampoo"/>
    <n v="8"/>
    <n v="647"/>
    <n v="0"/>
    <s v="Card"/>
    <s v="Delivered"/>
    <x v="0"/>
    <n v="5176"/>
    <s v="East"/>
    <x v="2"/>
    <x v="2"/>
    <s v="Male"/>
    <s v="Sep"/>
  </r>
  <r>
    <s v="Null"/>
    <n v="64"/>
    <s v="Female"/>
    <s v="Home &amp; Kitchen"/>
    <s v="Hawkins Cookware Set"/>
    <n v="2"/>
    <n v="3245"/>
    <n v="20"/>
    <s v="U.P.I"/>
    <s v="Delivered"/>
    <x v="0"/>
    <n v="5192"/>
    <s v="North"/>
    <x v="1"/>
    <x v="3"/>
    <s v="Female"/>
    <s v="Null"/>
  </r>
  <r>
    <s v="Rahull Gupta"/>
    <n v="59"/>
    <s v="Female"/>
    <s v="Electronics"/>
    <s v="Mi Band 7"/>
    <n v="2"/>
    <n v="3500"/>
    <n v="25"/>
    <s v="Card"/>
    <s v="Delivered"/>
    <x v="0"/>
    <n v="5250"/>
    <s v="East"/>
    <x v="2"/>
    <x v="0"/>
    <s v="Female"/>
    <s v="Apr"/>
  </r>
  <r>
    <s v="Sanjay Dubey"/>
    <n v="56"/>
    <s v="Female"/>
    <s v="clothing"/>
    <s v="Cotton Saree"/>
    <n v="3"/>
    <n v="1950"/>
    <n v="10"/>
    <s v="UPI"/>
    <s v="Cancelled"/>
    <x v="2"/>
    <n v="5265"/>
    <s v="South"/>
    <x v="3"/>
    <x v="1"/>
    <s v="Female"/>
    <s v="Jun"/>
  </r>
  <r>
    <s v="Pranav Kulkarni"/>
    <n v="52"/>
    <s v="Female"/>
    <s v="clothing"/>
    <s v="Westside Dress"/>
    <n v="2"/>
    <n v="3100"/>
    <n v="15"/>
    <s v="Cash"/>
    <s v="Delivered"/>
    <x v="0"/>
    <n v="5270"/>
    <s v="North"/>
    <x v="1"/>
    <x v="1"/>
    <s v="Female"/>
    <s v="Nov"/>
  </r>
  <r>
    <s v="Gaurav Bansal"/>
    <n v="26"/>
    <s v="F"/>
    <s v="clothing"/>
    <s v="Allen Solly Formal Shirt"/>
    <n v="3"/>
    <n v="2200"/>
    <n v="20"/>
    <s v="COD"/>
    <s v="Delivered"/>
    <x v="0"/>
    <n v="5280"/>
    <s v="Nort"/>
    <x v="1"/>
    <x v="1"/>
    <s v="Female"/>
    <s v="May"/>
  </r>
  <r>
    <s v="Meera Nambiar"/>
    <n v="53"/>
    <s v="Mle"/>
    <s v="Home &amp; Kitchen"/>
    <s v="Hawkins Cookware Set"/>
    <n v="1"/>
    <n v="6609"/>
    <n v="20"/>
    <s v="Cash"/>
    <s v="Delivered"/>
    <x v="0"/>
    <n v="5287.2"/>
    <s v="West"/>
    <x v="0"/>
    <x v="3"/>
    <s v="Other"/>
    <s v="Sep"/>
  </r>
  <r>
    <s v="Manish Agarwal"/>
    <n v="43"/>
    <s v="Female"/>
    <s v="clothing"/>
    <s v="Fabindia Kurta"/>
    <n v="3"/>
    <n v="2950"/>
    <n v="40"/>
    <s v="Cash"/>
    <s v="Delivered"/>
    <x v="0"/>
    <n v="5310"/>
    <s v="East"/>
    <x v="2"/>
    <x v="1"/>
    <s v="Female"/>
    <s v="Oct"/>
  </r>
  <r>
    <s v="Harish Menon"/>
    <n v="37"/>
    <s v="Female"/>
    <s v="clothing"/>
    <s v="Nike Running Shoes"/>
    <n v="1"/>
    <n v="5650"/>
    <n v="5"/>
    <s v="COD"/>
    <s v="Delivered"/>
    <x v="0"/>
    <n v="5367.5"/>
    <s v="West"/>
    <x v="0"/>
    <x v="1"/>
    <s v="Female"/>
    <s v="Apr"/>
  </r>
  <r>
    <s v="Gaurav Bansal"/>
    <n v="35"/>
    <s v="Male"/>
    <s v="clothing"/>
    <s v="Allen Solly Formal Shirt"/>
    <n v="3"/>
    <n v="1800"/>
    <n v="0"/>
    <s v="UPI"/>
    <s v="Delivered"/>
    <x v="0"/>
    <n v="5400"/>
    <s v="West"/>
    <x v="0"/>
    <x v="1"/>
    <s v="Male"/>
    <s v="Nov"/>
  </r>
  <r>
    <s v="Shweta Ghosh"/>
    <n v="63"/>
    <s v="Male"/>
    <s v="Electronics"/>
    <s v="boAt Earbuds"/>
    <n v="2"/>
    <n v="3600"/>
    <n v="25"/>
    <s v="Card"/>
    <s v="Delivered"/>
    <x v="0"/>
    <n v="5400"/>
    <s v="North"/>
    <x v="1"/>
    <x v="0"/>
    <s v="Male"/>
    <s v="Null"/>
  </r>
  <r>
    <s v="Karthik Rajan"/>
    <n v="54"/>
    <s v="Male"/>
    <s v="Beauty"/>
    <s v="Maybelline Lipstick"/>
    <n v="7"/>
    <n v="778"/>
    <n v="0"/>
    <s v="Cash"/>
    <s v="Cancelled"/>
    <x v="2"/>
    <n v="5446"/>
    <s v="East"/>
    <x v="2"/>
    <x v="2"/>
    <s v="Male"/>
    <s v="Dec"/>
  </r>
  <r>
    <s v="Null"/>
    <n v="56"/>
    <s v="Male"/>
    <s v="Home &amp; Kitchen"/>
    <s v="Hawkins Cookware Set"/>
    <n v="1"/>
    <n v="7312"/>
    <n v="25"/>
    <s v="Card"/>
    <s v="Delivered"/>
    <x v="0"/>
    <n v="5484"/>
    <s v="East"/>
    <x v="2"/>
    <x v="3"/>
    <s v="Male"/>
    <s v="Nov"/>
  </r>
  <r>
    <s v="Sanjay Dubey"/>
    <n v="31"/>
    <s v="Male"/>
    <s v="clothing"/>
    <s v="Fabindia Kurta"/>
    <n v="2"/>
    <n v="2750"/>
    <m/>
    <s v="UPI"/>
    <s v="Cancelled"/>
    <x v="2"/>
    <n v="5500"/>
    <s v="North"/>
    <x v="1"/>
    <x v="1"/>
    <s v="Male"/>
    <s v="Nov"/>
  </r>
  <r>
    <s v="Null"/>
    <n v="25"/>
    <s v="Male"/>
    <s v="Clothiing"/>
    <s v="Westside Dress"/>
    <n v="3"/>
    <n v="2050"/>
    <n v="10"/>
    <s v="COD"/>
    <s v="Delivered"/>
    <x v="0"/>
    <n v="5535"/>
    <s v="West"/>
    <x v="0"/>
    <x v="1"/>
    <s v="Male"/>
    <s v="Dec"/>
  </r>
  <r>
    <s v="Deepika Rao"/>
    <n v="20"/>
    <s v="Female"/>
    <s v="clothing"/>
    <s v="Nike Running Shoes"/>
    <n v="2"/>
    <n v="5550"/>
    <n v="50"/>
    <s v="UPI"/>
    <s v="Deliverd"/>
    <x v="0"/>
    <n v="5550"/>
    <s v="South"/>
    <x v="3"/>
    <x v="1"/>
    <s v="Female"/>
    <s v="Null"/>
  </r>
  <r>
    <s v="Karthik Rajan"/>
    <n v="34"/>
    <s v="Male"/>
    <s v="Electronics"/>
    <s v="boAt Earbuds"/>
    <n v="2"/>
    <n v="3700"/>
    <n v="25"/>
    <s v="Cash"/>
    <s v="Delivered"/>
    <x v="0"/>
    <n v="5550"/>
    <s v="East"/>
    <x v="2"/>
    <x v="0"/>
    <s v="Male"/>
    <s v="Nov"/>
  </r>
  <r>
    <s v="Sneha Iyer"/>
    <n v="25"/>
    <s v="Female"/>
    <s v="Beauty"/>
    <s v="Forest Essentials Cream"/>
    <n v="3"/>
    <n v="1951"/>
    <n v="5"/>
    <s v="UPI"/>
    <s v="returned"/>
    <x v="1"/>
    <n v="5560.35"/>
    <s v="North"/>
    <x v="1"/>
    <x v="2"/>
    <s v="Female"/>
    <s v="Aug"/>
  </r>
  <r>
    <s v="Gaurav Bansal"/>
    <n v="53"/>
    <s v="Other"/>
    <s v="clothing"/>
    <s v="Biba Salwar Suit"/>
    <n v="3"/>
    <n v="3100"/>
    <n v="40"/>
    <s v="Csh"/>
    <s v="Delivered"/>
    <x v="0"/>
    <n v="5580"/>
    <s v="East"/>
    <x v="2"/>
    <x v="1"/>
    <s v="Other"/>
    <s v="Aug"/>
  </r>
  <r>
    <s v="Manish Agarwal"/>
    <n v="34"/>
    <s v="Female"/>
    <s v="Home &amp; Kitchen"/>
    <s v="Cello Water Bottle"/>
    <n v="8"/>
    <n v="777"/>
    <n v="10"/>
    <s v="Card"/>
    <s v="Delivered"/>
    <x v="0"/>
    <n v="5594.4"/>
    <s v="North"/>
    <x v="1"/>
    <x v="3"/>
    <s v="Female"/>
    <s v="Null"/>
  </r>
  <r>
    <s v="Smita Desai"/>
    <n v="999"/>
    <s v="Female"/>
    <s v="clothing"/>
    <s v="Westside Dress"/>
    <n v="2"/>
    <n v="2800"/>
    <n v="0"/>
    <s v="Cash"/>
    <s v="Cancelled"/>
    <x v="2"/>
    <n v="5600"/>
    <s v="East"/>
    <x v="2"/>
    <x v="1"/>
    <s v="Female"/>
    <s v="Nov"/>
  </r>
  <r>
    <s v="Vikram Mehta"/>
    <n v="45"/>
    <s v="Female"/>
    <s v="clothing"/>
    <s v="Nike Running Shoes"/>
    <n v="1"/>
    <n v="7000"/>
    <n v="20"/>
    <s v="Card"/>
    <s v="Delivered"/>
    <x v="0"/>
    <n v="5600"/>
    <s v="West"/>
    <x v="0"/>
    <x v="1"/>
    <s v="Female"/>
    <s v="May"/>
  </r>
  <r>
    <s v="Kavya Reddy"/>
    <n v="33"/>
    <s v="Male"/>
    <s v="Home &amp; Kitchen"/>
    <s v="Usha Iron"/>
    <n v="4"/>
    <n v="2819"/>
    <n v="50"/>
    <s v="UPI"/>
    <s v="Cancelled"/>
    <x v="2"/>
    <n v="5638"/>
    <s v="West"/>
    <x v="0"/>
    <x v="3"/>
    <s v="Male"/>
    <s v="Null"/>
  </r>
  <r>
    <s v="Rekha Sinha"/>
    <n v="32"/>
    <s v="Female"/>
    <s v="Beauty"/>
    <s v="Forest Essentials Cream"/>
    <n v="4"/>
    <n v="1881"/>
    <n v="25"/>
    <s v="Card"/>
    <s v="Cancelled"/>
    <x v="2"/>
    <n v="5643"/>
    <s v="West"/>
    <x v="0"/>
    <x v="2"/>
    <s v="Female"/>
    <s v="Nov"/>
  </r>
  <r>
    <s v="Null"/>
    <n v="34"/>
    <s v="Female"/>
    <s v="Beauty"/>
    <s v="Biotique Sunscreen"/>
    <n v="10"/>
    <n v="664"/>
    <n v="15"/>
    <s v="UPI"/>
    <s v="Delivered"/>
    <x v="0"/>
    <n v="5644"/>
    <s v="West"/>
    <x v="0"/>
    <x v="2"/>
    <s v="Female"/>
    <s v="Null"/>
  </r>
  <r>
    <s v="Null"/>
    <n v="18"/>
    <s v="Female"/>
    <s v="Beauty"/>
    <s v="WOW Vitamin C Serum"/>
    <n v="6"/>
    <n v="1347"/>
    <n v="30"/>
    <s v="COD"/>
    <s v="Delivered"/>
    <x v="0"/>
    <n v="5657.4"/>
    <s v="West"/>
    <x v="0"/>
    <x v="2"/>
    <s v="Female"/>
    <s v="Null"/>
  </r>
  <r>
    <s v="Deepika Rao"/>
    <n v="45"/>
    <s v="Mle"/>
    <s v="Beauty"/>
    <s v="Kama Ayurveda Hair Oil"/>
    <n v="7"/>
    <n v="1162"/>
    <n v="30"/>
    <s v="UPI"/>
    <s v="Delivered"/>
    <x v="0"/>
    <n v="5693.8"/>
    <s v="East"/>
    <x v="2"/>
    <x v="2"/>
    <s v="Other"/>
    <s v="Null"/>
  </r>
  <r>
    <s v="Null"/>
    <n v="48"/>
    <s v="Female"/>
    <s v="clothing"/>
    <s v="Westside Dress"/>
    <n v="2"/>
    <n v="2850"/>
    <n v="0"/>
    <s v="Card"/>
    <s v="Deliverd"/>
    <x v="0"/>
    <n v="5700"/>
    <s v="East"/>
    <x v="2"/>
    <x v="1"/>
    <s v="Female"/>
    <s v="Jul"/>
  </r>
  <r>
    <s v="Null"/>
    <n v="31"/>
    <s v="Male"/>
    <s v="Electronics"/>
    <s v="Lenovo Tab M10"/>
    <n v="1"/>
    <n v="22800"/>
    <n v="75"/>
    <s v="UPI"/>
    <s v="Delivered"/>
    <x v="0"/>
    <n v="5700"/>
    <s v="West"/>
    <x v="0"/>
    <x v="0"/>
    <s v="Male"/>
    <s v="Null"/>
  </r>
  <r>
    <s v="Lakshmi Krishnan"/>
    <n v="49"/>
    <s v="Femal"/>
    <s v="clothing"/>
    <s v="Westside Dress"/>
    <n v="2"/>
    <n v="3800"/>
    <n v="25"/>
    <s v="COD"/>
    <s v="Delivered"/>
    <x v="0"/>
    <n v="5700"/>
    <s v="North"/>
    <x v="1"/>
    <x v="1"/>
    <s v="Other"/>
    <s v="Null"/>
  </r>
  <r>
    <s v="Ananya Singh"/>
    <n v="30"/>
    <s v="Male"/>
    <s v="Home &amp; Kitchen"/>
    <s v="Cello Water Bottle"/>
    <n v="9"/>
    <n v="643"/>
    <n v="0"/>
    <s v="Crdit Card"/>
    <s v="Cancelled"/>
    <x v="2"/>
    <n v="5787"/>
    <s v="West"/>
    <x v="0"/>
    <x v="3"/>
    <s v="Male"/>
    <s v="May"/>
  </r>
  <r>
    <s v="Ananya Singh"/>
    <n v="26"/>
    <s v="Male"/>
    <s v="Clthing"/>
    <s v="Levi's Jeans"/>
    <n v="2"/>
    <n v="4850"/>
    <n v="40"/>
    <s v="Card"/>
    <s v="Delivered"/>
    <x v="0"/>
    <n v="5820"/>
    <s v="South"/>
    <x v="3"/>
    <x v="1"/>
    <s v="Male"/>
    <s v="Null"/>
  </r>
  <r>
    <s v="Gaurav Bansal"/>
    <n v="57"/>
    <s v="Female"/>
    <s v="Beauty"/>
    <s v="Kama Ayurveda Hair Oil"/>
    <n v="7"/>
    <n v="1388"/>
    <n v="40"/>
    <s v="UPI"/>
    <s v="returned"/>
    <x v="1"/>
    <n v="5829.6"/>
    <s v="West"/>
    <x v="0"/>
    <x v="2"/>
    <s v="Female"/>
    <s v="May"/>
  </r>
  <r>
    <s v="Null"/>
    <n v="46"/>
    <s v="Male"/>
    <s v="clothing"/>
    <s v="Westside Dress"/>
    <n v="3"/>
    <n v="1950"/>
    <n v="0"/>
    <s v="UPI"/>
    <s v="Cancelled"/>
    <x v="2"/>
    <n v="5850"/>
    <s v="North"/>
    <x v="1"/>
    <x v="1"/>
    <s v="Male"/>
    <s v="Sep"/>
  </r>
  <r>
    <s v="Manish Agarwal"/>
    <n v="27"/>
    <s v="Male"/>
    <s v="Beauty"/>
    <s v="Plum Night Cream"/>
    <n v="9"/>
    <n v="723"/>
    <n v="10"/>
    <s v="UPI"/>
    <s v="Cancelled"/>
    <x v="2"/>
    <n v="5856.3"/>
    <s v="North"/>
    <x v="1"/>
    <x v="2"/>
    <s v="Male"/>
    <s v="Dec"/>
  </r>
  <r>
    <s v="Lakshmi Krishnan"/>
    <n v="61"/>
    <s v="Female"/>
    <s v="clothing"/>
    <s v="Allen Solly Formal Shirt"/>
    <n v="2"/>
    <n v="2950"/>
    <n v="0"/>
    <s v="UPI"/>
    <s v="Delivered"/>
    <x v="0"/>
    <n v="5900"/>
    <s v="West"/>
    <x v="0"/>
    <x v="1"/>
    <s v="Female"/>
    <s v="May"/>
  </r>
  <r>
    <s v="Nikhil Bose"/>
    <n v="21"/>
    <s v="Female"/>
    <s v="Beauty"/>
    <s v="WOW Vitamin C Serum"/>
    <n v="8"/>
    <n v="826"/>
    <n v="10"/>
    <s v="Cash"/>
    <s v="returned"/>
    <x v="1"/>
    <n v="5947.2"/>
    <s v="West"/>
    <x v="0"/>
    <x v="2"/>
    <s v="Female"/>
    <s v="Jun"/>
  </r>
  <r>
    <s v="Null"/>
    <n v="28"/>
    <s v="Male"/>
    <s v="clothing"/>
    <s v="Peter England Trousers"/>
    <n v="2"/>
    <n v="3150"/>
    <n v="5"/>
    <s v="Cash"/>
    <s v="Delivered"/>
    <x v="0"/>
    <n v="5985"/>
    <s v="North"/>
    <x v="1"/>
    <x v="1"/>
    <s v="Male"/>
    <s v="Jul"/>
  </r>
  <r>
    <s v="Nitin Kapoor"/>
    <n v="65"/>
    <s v="Femle"/>
    <s v="Home &amp; Kitchen"/>
    <s v="Milton Steel Bottles"/>
    <n v="10"/>
    <n v="749"/>
    <n v="20"/>
    <s v="COD"/>
    <s v="Cancelled"/>
    <x v="2"/>
    <n v="5992"/>
    <s v="East"/>
    <x v="2"/>
    <x v="3"/>
    <s v="Other"/>
    <s v="Null"/>
  </r>
  <r>
    <s v="Shweta Ghosh"/>
    <n v="28"/>
    <s v="Female"/>
    <s v="clothing"/>
    <s v="Manyavar Sherwani"/>
    <n v="1"/>
    <n v="6000"/>
    <n v="5"/>
    <s v="Card"/>
    <s v="returned"/>
    <x v="1"/>
    <n v="6000"/>
    <s v="West"/>
    <x v="0"/>
    <x v="1"/>
    <s v="Female"/>
    <s v="Aug"/>
  </r>
  <r>
    <s v="Rahul Gupta"/>
    <n v="23"/>
    <s v="Male"/>
    <s v="Electonics"/>
    <s v="Mi Band 7"/>
    <n v="2"/>
    <n v="4000"/>
    <n v="25"/>
    <s v="Cash"/>
    <s v="Delivered"/>
    <x v="0"/>
    <n v="6000"/>
    <s v="West"/>
    <x v="0"/>
    <x v="0"/>
    <s v="Male"/>
    <s v="Mar"/>
  </r>
  <r>
    <s v="Neha Mishra"/>
    <n v="19"/>
    <s v="Female"/>
    <s v="Home &amp; Kitchen"/>
    <s v="Tupperware Set"/>
    <n v="4"/>
    <n v="2143"/>
    <n v="30"/>
    <s v="Card"/>
    <s v="Delivered"/>
    <x v="0"/>
    <n v="6000.4"/>
    <s v="East"/>
    <x v="2"/>
    <x v="3"/>
    <s v="Female"/>
    <s v="Aug"/>
  </r>
  <r>
    <s v="Pranav Kulkarni"/>
    <n v="35"/>
    <s v="F"/>
    <s v="Home &amp; Kitchen"/>
    <s v="Tupperware Set"/>
    <n v="2"/>
    <n v="3596"/>
    <n v="15"/>
    <s v="Card"/>
    <s v="Cancelled"/>
    <x v="2"/>
    <n v="6113.2"/>
    <s v="West"/>
    <x v="0"/>
    <x v="3"/>
    <s v="Female"/>
    <s v="Jun"/>
  </r>
  <r>
    <s v="Null"/>
    <n v="21"/>
    <s v="Female"/>
    <s v="Home &amp; Kitchen"/>
    <s v="Milton Steel Bottles"/>
    <n v="8"/>
    <n v="1024"/>
    <n v="25"/>
    <s v="Card"/>
    <s v="Delivered"/>
    <x v="0"/>
    <n v="6144"/>
    <s v="North"/>
    <x v="1"/>
    <x v="3"/>
    <s v="Female"/>
    <s v="Null"/>
  </r>
  <r>
    <s v="Shweta Ghosh"/>
    <n v="20"/>
    <s v="Male"/>
    <s v="clothing"/>
    <s v="Peter England Trousers"/>
    <n v="3"/>
    <n v="2050"/>
    <n v="0"/>
    <s v="Cash"/>
    <s v="Delivered"/>
    <x v="0"/>
    <n v="6150"/>
    <s v="West"/>
    <x v="0"/>
    <x v="1"/>
    <s v="Male"/>
    <s v="Jan"/>
  </r>
  <r>
    <s v="Sanjay Dubey"/>
    <m/>
    <s v="Female"/>
    <s v="Clothng"/>
    <s v="Westside Dress"/>
    <n v="3"/>
    <n v="2050"/>
    <m/>
    <s v="UPI"/>
    <s v="returned"/>
    <x v="1"/>
    <n v="6150"/>
    <s v="West"/>
    <x v="0"/>
    <x v="1"/>
    <s v="Female"/>
    <s v="Null"/>
  </r>
  <r>
    <s v="Null"/>
    <n v="34"/>
    <s v="Male"/>
    <s v="Home &amp; Kitchen"/>
    <s v="Bajaj Mixer Grinder"/>
    <n v="5"/>
    <n v="2480"/>
    <n v="50"/>
    <s v="Card"/>
    <s v="Delivered"/>
    <x v="0"/>
    <n v="6200"/>
    <s v="West"/>
    <x v="0"/>
    <x v="3"/>
    <s v="Male"/>
    <s v="Mar"/>
  </r>
  <r>
    <s v="Amit Kumar"/>
    <n v="44"/>
    <s v="Female"/>
    <s v="Electronics"/>
    <s v="Mi Band 7"/>
    <n v="2"/>
    <n v="3900"/>
    <n v="20"/>
    <s v="Cash"/>
    <s v="Delivered"/>
    <x v="0"/>
    <n v="6240"/>
    <s v="South"/>
    <x v="3"/>
    <x v="0"/>
    <s v="Female"/>
    <s v="Null"/>
  </r>
  <r>
    <s v="Deepika Rao"/>
    <n v="21"/>
    <s v="Female"/>
    <s v="clothing"/>
    <s v="Puma Track Suit"/>
    <n v="2"/>
    <n v="3150"/>
    <n v="0"/>
    <s v="Cash"/>
    <s v="Delivered"/>
    <x v="0"/>
    <n v="6300"/>
    <s v="North"/>
    <x v="1"/>
    <x v="1"/>
    <s v="Female"/>
    <s v="Dec"/>
  </r>
  <r>
    <s v="Null"/>
    <n v="23"/>
    <s v="Female"/>
    <s v="clothing"/>
    <s v="Raymond Suit"/>
    <n v="3"/>
    <n v="6450"/>
    <n v="20"/>
    <s v="Card"/>
    <s v="Cancelled"/>
    <x v="2"/>
    <n v="6450"/>
    <s v="North"/>
    <x v="1"/>
    <x v="1"/>
    <s v="Female"/>
    <s v="Oct"/>
  </r>
  <r>
    <s v="Nikhil Bose"/>
    <n v="22"/>
    <s v="Male"/>
    <s v="Beauity"/>
    <s v="Lakme Foundation"/>
    <n v="9"/>
    <n v="957"/>
    <n v="25"/>
    <s v="Card"/>
    <s v="Delivered"/>
    <x v="0"/>
    <n v="6459.75"/>
    <s v="East"/>
    <x v="2"/>
    <x v="2"/>
    <s v="Male"/>
    <s v="May"/>
  </r>
  <r>
    <s v="Pallavi Deshmukh"/>
    <n v="28"/>
    <s v="Male"/>
    <s v="clothing"/>
    <s v="Biba Salwar Suit"/>
    <n v="3"/>
    <n v="2400"/>
    <n v="10"/>
    <s v="Card"/>
    <s v="Cancelled"/>
    <x v="2"/>
    <n v="6480"/>
    <s v="South"/>
    <x v="3"/>
    <x v="1"/>
    <s v="Male"/>
    <s v="Sep"/>
  </r>
  <r>
    <s v="Pranav Kulkarni"/>
    <n v="22"/>
    <s v="Female"/>
    <s v="clothing"/>
    <s v="Peter England Trousers"/>
    <n v="3"/>
    <n v="2400"/>
    <n v="10"/>
    <s v="CashOnDelivery"/>
    <s v="returned"/>
    <x v="1"/>
    <n v="6480"/>
    <s v="West"/>
    <x v="0"/>
    <x v="1"/>
    <s v="Female"/>
    <s v="May"/>
  </r>
  <r>
    <s v="Ananya Singh"/>
    <n v="29"/>
    <s v="Male"/>
    <s v="clothing"/>
    <s v="Manyavar Sherwani"/>
    <n v="1"/>
    <n v="7200"/>
    <n v="10"/>
    <s v="Cash"/>
    <s v="Delivered"/>
    <x v="0"/>
    <n v="6480"/>
    <s v="East"/>
    <x v="2"/>
    <x v="1"/>
    <s v="Male"/>
    <s v="Nov"/>
  </r>
  <r>
    <s v="Null"/>
    <m/>
    <s v="Male"/>
    <s v="Clothng"/>
    <s v="W Ethnic Wear"/>
    <n v="2"/>
    <n v="3450"/>
    <n v="5"/>
    <s v="Cash"/>
    <s v="Delivered"/>
    <x v="0"/>
    <n v="6555"/>
    <s v="East"/>
    <x v="2"/>
    <x v="1"/>
    <s v="Male"/>
    <s v="Null"/>
  </r>
  <r>
    <s v="Rahul Gupta"/>
    <n v="31"/>
    <s v="Female"/>
    <s v="BEUTY"/>
    <s v="VLCC Gold Facial Kit"/>
    <n v="4"/>
    <n v="1730"/>
    <n v="5"/>
    <s v="Crdit Card"/>
    <s v="Delivered"/>
    <x v="0"/>
    <n v="6574"/>
    <s v="North"/>
    <x v="1"/>
    <x v="2"/>
    <s v="Female"/>
    <s v="Feb"/>
  </r>
  <r>
    <s v="Vikram Mehta"/>
    <n v="19"/>
    <s v="Male"/>
    <s v="clothing"/>
    <s v="H&amp;M T-Shirt"/>
    <n v="2"/>
    <n v="1850"/>
    <n v="10"/>
    <s v="UPI"/>
    <s v="returned"/>
    <x v="1"/>
    <n v="6660"/>
    <s v="West"/>
    <x v="0"/>
    <x v="1"/>
    <s v="Male"/>
    <s v="Null"/>
  </r>
  <r>
    <s v="Nikhil Bose"/>
    <n v="48"/>
    <s v="Male"/>
    <s v="Beauty"/>
    <s v="Kama Ayurveda Hair Oil"/>
    <n v="10"/>
    <n v="784"/>
    <n v="15"/>
    <s v="C.O.D"/>
    <s v="Delivered"/>
    <x v="0"/>
    <n v="6664"/>
    <s v="South"/>
    <x v="3"/>
    <x v="2"/>
    <s v="Male"/>
    <s v="Null"/>
  </r>
  <r>
    <s v="Rekha Sinha"/>
    <n v="23"/>
    <s v="Male"/>
    <s v="clothing"/>
    <s v="W Ethnic Wear"/>
    <n v="3"/>
    <n v="2350"/>
    <n v="5"/>
    <s v="U.P.I"/>
    <s v="Delivered"/>
    <x v="0"/>
    <n v="6697.5"/>
    <s v="North"/>
    <x v="1"/>
    <x v="1"/>
    <s v="Male"/>
    <s v="Null"/>
  </r>
  <r>
    <s v="Karthik Rajan"/>
    <n v="23"/>
    <s v="Male"/>
    <s v="Home &amp; Kitchen"/>
    <s v="Nilkamal Plastic Chair"/>
    <n v="5"/>
    <n v="1348"/>
    <n v="0"/>
    <s v="COD"/>
    <s v="Delivered"/>
    <x v="0"/>
    <n v="6740"/>
    <s v="South"/>
    <x v="3"/>
    <x v="3"/>
    <s v="Male"/>
    <s v="Null"/>
  </r>
  <r>
    <s v="Vikram Mehta"/>
    <n v="19"/>
    <s v="Female"/>
    <s v="clothing"/>
    <s v="W Ethnic Wear"/>
    <n v="3"/>
    <n v="2500"/>
    <n v="10"/>
    <s v="Card"/>
    <s v="returned"/>
    <x v="1"/>
    <n v="6750"/>
    <s v="Sout"/>
    <x v="3"/>
    <x v="1"/>
    <s v="Female"/>
    <s v="Mar"/>
  </r>
  <r>
    <s v="Nikhil Bose"/>
    <n v="53"/>
    <s v="Female"/>
    <s v="Home &amp; Kitchen"/>
    <s v="Cello Water Bottle"/>
    <n v="10"/>
    <n v="680"/>
    <n v="0"/>
    <s v="Cash"/>
    <s v="Delivered"/>
    <x v="0"/>
    <n v="6800"/>
    <s v="South"/>
    <x v="3"/>
    <x v="3"/>
    <s v="Female"/>
    <s v="May"/>
  </r>
  <r>
    <s v="Null"/>
    <n v="36"/>
    <s v="Male"/>
    <s v="Electroni cs"/>
    <s v="boAt Earbuds"/>
    <n v="2"/>
    <n v="3400"/>
    <n v="0"/>
    <s v="UPI"/>
    <s v="Delivered"/>
    <x v="0"/>
    <n v="6800"/>
    <s v="South"/>
    <x v="3"/>
    <x v="0"/>
    <s v="Male"/>
    <s v="Null"/>
  </r>
  <r>
    <s v="Null"/>
    <n v="51"/>
    <s v="Female"/>
    <s v="Home &amp; Kitchen"/>
    <s v="Pigeon Induction Cooktop"/>
    <n v="4"/>
    <n v="2149"/>
    <n v="20"/>
    <s v="Card"/>
    <s v="Cancelled"/>
    <x v="2"/>
    <n v="6876.8"/>
    <s v="East"/>
    <x v="2"/>
    <x v="3"/>
    <s v="Female"/>
    <s v="Null"/>
  </r>
  <r>
    <s v="Vikram Mehta"/>
    <n v="31"/>
    <s v="Female"/>
    <s v="Electronics"/>
    <s v="boAt Earbuds"/>
    <n v="2"/>
    <n v="3300"/>
    <n v="-5"/>
    <s v="UPI"/>
    <s v="Cancelled"/>
    <x v="2"/>
    <n v="6930"/>
    <s v="West"/>
    <x v="0"/>
    <x v="0"/>
    <s v="Female"/>
    <s v="Null"/>
  </r>
  <r>
    <s v="Null"/>
    <n v="21"/>
    <s v="Female"/>
    <s v="Home &amp; Kitchen"/>
    <s v="Tupperware Set"/>
    <n v="2"/>
    <n v="3659"/>
    <n v="5"/>
    <s v="COD"/>
    <s v="Delivered"/>
    <x v="0"/>
    <n v="6952.1"/>
    <s v="North"/>
    <x v="1"/>
    <x v="3"/>
    <s v="Female"/>
    <s v="Jan"/>
  </r>
  <r>
    <s v="Pranav Kulkarni"/>
    <n v="35"/>
    <s v="Female"/>
    <s v="Home &amp; Kitchen"/>
    <s v="Milton Steel Bottles"/>
    <n v="5"/>
    <n v="1392"/>
    <n v="0"/>
    <s v="Cash"/>
    <s v="Delivered"/>
    <x v="0"/>
    <n v="6960"/>
    <s v="Sout"/>
    <x v="3"/>
    <x v="3"/>
    <s v="Female"/>
    <s v="Dec"/>
  </r>
  <r>
    <s v="Vikram Mehta"/>
    <n v="27"/>
    <s v="Other"/>
    <s v="Home &amp; Kitchen"/>
    <s v="Pigeon Induction Cooktop"/>
    <n v="2"/>
    <n v="3879"/>
    <n v="10"/>
    <s v="COD"/>
    <s v="Delivered"/>
    <x v="0"/>
    <n v="6982.2"/>
    <s v="East"/>
    <x v="2"/>
    <x v="3"/>
    <s v="Other"/>
    <s v="Nov"/>
  </r>
  <r>
    <s v="Nikhil Bose"/>
    <n v="25"/>
    <s v="Femal"/>
    <s v="Home &amp; Kitchen"/>
    <s v="Hawkins Cookware Set"/>
    <n v="1"/>
    <n v="7402"/>
    <n v="5"/>
    <s v="COD"/>
    <s v="Delivered"/>
    <x v="0"/>
    <n v="7031.9"/>
    <s v="East"/>
    <x v="2"/>
    <x v="3"/>
    <s v="Other"/>
    <s v="Nov"/>
  </r>
  <r>
    <s v="Deepika Rao"/>
    <n v="46"/>
    <s v="M"/>
    <s v="Home &amp; Kitchen"/>
    <s v="Orient Ceiling Fan"/>
    <n v="3"/>
    <n v="3908"/>
    <n v="40"/>
    <s v="Card"/>
    <s v="Delivered"/>
    <x v="0"/>
    <n v="7034.4"/>
    <s v="North"/>
    <x v="1"/>
    <x v="3"/>
    <s v="Male"/>
    <s v="Nov"/>
  </r>
  <r>
    <s v="Manish Agarwal"/>
    <n v="28"/>
    <s v="Male"/>
    <s v="Home &amp; Kitchen"/>
    <s v="Borosil Glass Set"/>
    <n v="5"/>
    <n v="1485"/>
    <n v="5"/>
    <s v="UPI"/>
    <s v="Delivered"/>
    <x v="0"/>
    <n v="7053.75"/>
    <s v="East"/>
    <x v="2"/>
    <x v="3"/>
    <s v="Male"/>
    <s v="Apr"/>
  </r>
  <r>
    <s v="Null"/>
    <n v="29"/>
    <s v="Male"/>
    <s v="clothing"/>
    <s v="Nike Running Shoes"/>
    <n v="1"/>
    <n v="7850"/>
    <n v="10"/>
    <s v="COD"/>
    <s v="Delivered"/>
    <x v="0"/>
    <n v="7065"/>
    <s v="West"/>
    <x v="0"/>
    <x v="1"/>
    <s v="Male"/>
    <s v="Dec"/>
  </r>
  <r>
    <s v="Karthik Rajan"/>
    <n v="21"/>
    <s v="Male"/>
    <s v="Beauty"/>
    <s v="WOW Vitamin C Serum"/>
    <n v="5"/>
    <n v="1415"/>
    <n v="0"/>
    <s v="UPI"/>
    <s v="Delivered"/>
    <x v="0"/>
    <n v="7075"/>
    <s v="South"/>
    <x v="3"/>
    <x v="2"/>
    <s v="Male"/>
    <s v="Dec"/>
  </r>
  <r>
    <s v="Null"/>
    <n v="60"/>
    <s v="Male"/>
    <s v="Home&amp;Kitchen"/>
    <s v="Tupperware Set"/>
    <n v="3"/>
    <n v="2405"/>
    <n v="0"/>
    <s v="Card"/>
    <s v="Delivered"/>
    <x v="0"/>
    <n v="7215"/>
    <s v="West"/>
    <x v="0"/>
    <x v="3"/>
    <s v="Male"/>
    <s v="Nov"/>
  </r>
  <r>
    <s v="Null"/>
    <n v="19"/>
    <s v="Female"/>
    <s v="Electronics"/>
    <s v="Mi Band 7"/>
    <n v="2"/>
    <n v="3800"/>
    <n v="5"/>
    <s v="Card"/>
    <s v="Delivered"/>
    <x v="0"/>
    <n v="7220"/>
    <s v="North"/>
    <x v="1"/>
    <x v="0"/>
    <s v="Female"/>
    <s v="Oct"/>
  </r>
  <r>
    <s v="Manish Agarwal"/>
    <n v="58"/>
    <s v="Female"/>
    <s v="Home &amp; Kitchen"/>
    <s v="Asian Paints 4L"/>
    <n v="5"/>
    <n v="1610"/>
    <n v="10"/>
    <s v="COD"/>
    <s v="Delivered"/>
    <x v="0"/>
    <n v="7245"/>
    <s v="South"/>
    <x v="3"/>
    <x v="3"/>
    <s v="Female"/>
    <s v="Aug"/>
  </r>
  <r>
    <s v="Manish Agarwal"/>
    <n v="27"/>
    <s v="Female"/>
    <s v="clothing"/>
    <s v="Raymond Suit"/>
    <n v="1"/>
    <n v="7300"/>
    <n v="0"/>
    <s v="Card"/>
    <s v="Delivered"/>
    <x v="0"/>
    <n v="7300"/>
    <s v="South"/>
    <x v="3"/>
    <x v="1"/>
    <s v="Female"/>
    <s v="Jun"/>
  </r>
  <r>
    <s v="Arjun Pillai"/>
    <n v="25"/>
    <s v="Female"/>
    <s v="Electronics"/>
    <s v="Mi Band 7"/>
    <n v="2"/>
    <n v="4300"/>
    <n v="15"/>
    <s v="UPI"/>
    <s v="Delivered"/>
    <x v="0"/>
    <n v="7310"/>
    <s v="W"/>
    <x v="0"/>
    <x v="0"/>
    <s v="Female"/>
    <s v="Dec"/>
  </r>
  <r>
    <s v="Arjun Pillai"/>
    <n v="58"/>
    <s v="Male"/>
    <s v="Beauty"/>
    <s v="Kama Ayurveda Hair Oil"/>
    <n v="6"/>
    <n v="1233"/>
    <n v="0"/>
    <s v="COD"/>
    <s v="Delivered"/>
    <x v="0"/>
    <n v="7398"/>
    <s v="North"/>
    <x v="1"/>
    <x v="2"/>
    <s v="Male"/>
    <s v="Mar"/>
  </r>
  <r>
    <s v="Ritu Bhatia"/>
    <n v="37"/>
    <s v="Female"/>
    <s v="Electronics"/>
    <s v="HP Printer"/>
    <n v="1"/>
    <n v="12400"/>
    <n v="40"/>
    <s v="UPI"/>
    <s v="Cancelled"/>
    <x v="2"/>
    <n v="7440"/>
    <s v="East"/>
    <x v="2"/>
    <x v="0"/>
    <s v="Female"/>
    <s v="Null"/>
  </r>
  <r>
    <s v="Nitin Kapoor"/>
    <n v="27"/>
    <s v="Female"/>
    <s v="clothing"/>
    <s v="Adidas Sneakers"/>
    <n v="1"/>
    <n v="7450"/>
    <n v="0"/>
    <s v="Cash"/>
    <s v="Cancelled"/>
    <x v="2"/>
    <n v="7450"/>
    <s v="West"/>
    <x v="0"/>
    <x v="1"/>
    <s v="Female"/>
    <s v="Null"/>
  </r>
  <r>
    <s v="Vikram Mehta"/>
    <n v="63"/>
    <s v="Female"/>
    <s v="Home &amp; Kitchen"/>
    <s v="Bajaj Mixer Grinder"/>
    <n v="3"/>
    <n v="3569"/>
    <n v="30"/>
    <s v="COD"/>
    <s v="Cancelled"/>
    <x v="2"/>
    <n v="7494.9"/>
    <s v="East"/>
    <x v="2"/>
    <x v="3"/>
    <s v="Female"/>
    <s v="Nov"/>
  </r>
  <r>
    <s v="Null"/>
    <n v="28"/>
    <s v="M"/>
    <s v="clothing"/>
    <s v="Biba Salwar Suit"/>
    <n v="3"/>
    <n v="2500"/>
    <n v="0"/>
    <s v="COD"/>
    <s v="returned"/>
    <x v="1"/>
    <n v="7500"/>
    <s v="East"/>
    <x v="2"/>
    <x v="1"/>
    <s v="Male"/>
    <s v="Sep"/>
  </r>
  <r>
    <s v="Manish Agarwal"/>
    <n v="57"/>
    <s v="Male"/>
    <s v="clothing"/>
    <s v="Puma Track Suit"/>
    <n v="2"/>
    <n v="3750"/>
    <n v="0"/>
    <s v="Cash"/>
    <s v="Delivered"/>
    <x v="0"/>
    <n v="7500"/>
    <s v="West"/>
    <x v="0"/>
    <x v="1"/>
    <s v="Male"/>
    <s v="Nov"/>
  </r>
  <r>
    <s v="Pooja Nair"/>
    <n v="39"/>
    <s v="F"/>
    <s v="clothing"/>
    <s v="W Ethnic Wear"/>
    <n v="2"/>
    <n v="3750"/>
    <m/>
    <s v="UPI"/>
    <s v="returned"/>
    <x v="1"/>
    <n v="7500"/>
    <s v="East"/>
    <x v="2"/>
    <x v="1"/>
    <s v="Female"/>
    <s v="Nov"/>
  </r>
  <r>
    <s v="Divya Hegde"/>
    <n v="22"/>
    <s v="Male"/>
    <s v="Beauty"/>
    <s v="WOW Vitamin C Serum"/>
    <n v="10"/>
    <n v="1001"/>
    <n v="25"/>
    <s v="UPI"/>
    <s v="Delivered"/>
    <x v="0"/>
    <n v="7507.5"/>
    <s v="North"/>
    <x v="1"/>
    <x v="2"/>
    <s v="Male"/>
    <s v="Jan"/>
  </r>
  <r>
    <s v="Priyanka Choudhary"/>
    <n v="58"/>
    <s v="Male"/>
    <s v="Home and Kitchen"/>
    <s v="Milton Steel Bottles"/>
    <n v="9"/>
    <n v="1043"/>
    <n v="20"/>
    <s v="UPI"/>
    <s v="Delivered"/>
    <x v="0"/>
    <n v="7509.6"/>
    <s v="East"/>
    <x v="2"/>
    <x v="3"/>
    <s v="Male"/>
    <s v="Feb"/>
  </r>
  <r>
    <s v="Rekha Sinha"/>
    <n v="24"/>
    <s v="Female"/>
    <s v="Home &amp; Kitchen"/>
    <s v="Pigeon Induction Cooktop"/>
    <n v="4"/>
    <n v="2213"/>
    <n v="15"/>
    <s v="Card"/>
    <s v="Delivered"/>
    <x v="0"/>
    <n v="7524.2"/>
    <s v="South"/>
    <x v="3"/>
    <x v="3"/>
    <s v="Female"/>
    <s v="Jun"/>
  </r>
  <r>
    <s v="Harish Menon"/>
    <n v="52"/>
    <s v="Female"/>
    <s v="clothing"/>
    <s v="Peter England Trousers"/>
    <n v="3"/>
    <n v="2650"/>
    <n v="5"/>
    <s v="Card"/>
    <s v="Delivered"/>
    <x v="0"/>
    <n v="7552.5"/>
    <s v="West"/>
    <x v="0"/>
    <x v="1"/>
    <s v="Female"/>
    <s v="Null"/>
  </r>
  <r>
    <s v="Deepika Rao"/>
    <n v="34"/>
    <s v="Female"/>
    <s v="clothing"/>
    <s v="Allen Solly Formal Shirt"/>
    <n v="3"/>
    <n v="3150"/>
    <n v="20"/>
    <s v="UPI"/>
    <s v="Delivered"/>
    <x v="0"/>
    <n v="7560"/>
    <s v="North"/>
    <x v="1"/>
    <x v="1"/>
    <s v="Female"/>
    <s v="Null"/>
  </r>
  <r>
    <s v="Neha Mishra"/>
    <n v="34"/>
    <s v="Male"/>
    <s v="Electronics"/>
    <s v="Mi Band 7"/>
    <n v="2"/>
    <n v="4000"/>
    <n v="5"/>
    <s v="Card"/>
    <s v="Cancelled"/>
    <x v="2"/>
    <n v="7600"/>
    <s v="Nort"/>
    <x v="1"/>
    <x v="0"/>
    <s v="Male"/>
    <s v="Nov"/>
  </r>
  <r>
    <s v="Lakshmi Krishnan"/>
    <n v="24"/>
    <s v="Male"/>
    <s v="Home &amp; Kitchen"/>
    <s v="Borosil Glass Set"/>
    <n v="5"/>
    <n v="1910"/>
    <n v="20"/>
    <s v="Crdit Card"/>
    <s v="Delivered"/>
    <x v="0"/>
    <n v="7640"/>
    <s v="North"/>
    <x v="1"/>
    <x v="3"/>
    <s v="Male"/>
    <s v="Aug"/>
  </r>
  <r>
    <s v="Amit Kumar"/>
    <n v="55"/>
    <s v="Male"/>
    <s v="clothing"/>
    <s v="Levi's Jeans"/>
    <n v="2"/>
    <n v="4800"/>
    <n v="20"/>
    <s v="UPI"/>
    <s v="Delivered"/>
    <x v="0"/>
    <n v="7680"/>
    <s v="West"/>
    <x v="0"/>
    <x v="1"/>
    <s v="Male"/>
    <s v="Sep"/>
  </r>
  <r>
    <s v="Pallavi Deshmukh"/>
    <n v="21"/>
    <s v="Female"/>
    <s v="Home&amp;Kitchen"/>
    <s v="Borosil Glass Set"/>
    <n v="8"/>
    <n v="1011"/>
    <n v="5"/>
    <s v="UPI"/>
    <s v="Delivered"/>
    <x v="0"/>
    <n v="7683.6"/>
    <s v="East"/>
    <x v="2"/>
    <x v="3"/>
    <s v="Female"/>
    <s v="Null"/>
  </r>
  <r>
    <s v="Lakshmi Krishnan"/>
    <n v="39"/>
    <s v="Female"/>
    <s v="clothing"/>
    <s v="Adidas Sneakers"/>
    <n v="1"/>
    <n v="7700"/>
    <n v="0"/>
    <s v="Card"/>
    <s v="Cancelled"/>
    <x v="2"/>
    <n v="7700"/>
    <s v="North"/>
    <x v="1"/>
    <x v="1"/>
    <s v="Female"/>
    <s v="Null"/>
  </r>
  <r>
    <s v="Swati Jain"/>
    <n v="19"/>
    <s v="Female"/>
    <s v="Electronics"/>
    <s v="Whirlpool Refrigerator"/>
    <n v="2"/>
    <n v="38600"/>
    <n v="0"/>
    <s v="Cash"/>
    <s v="Delivered"/>
    <x v="0"/>
    <n v="7720"/>
    <s v="West"/>
    <x v="0"/>
    <x v="0"/>
    <s v="Female"/>
    <s v="Dec"/>
  </r>
  <r>
    <s v="Pooja Nair"/>
    <n v="60"/>
    <s v="Female"/>
    <s v="BEUTY"/>
    <s v="Plum Night Cream"/>
    <n v="9"/>
    <n v="903"/>
    <n v="5"/>
    <s v="COD"/>
    <s v="Delivered"/>
    <x v="0"/>
    <n v="7720.65"/>
    <s v="East"/>
    <x v="2"/>
    <x v="2"/>
    <s v="Female"/>
    <s v="Nov"/>
  </r>
  <r>
    <s v="Divya Hegde"/>
    <n v="59"/>
    <s v="Female"/>
    <s v="Electronics"/>
    <s v="iPhone 14"/>
    <n v="1"/>
    <n v="87300"/>
    <m/>
    <s v="Card"/>
    <s v="Delivered"/>
    <x v="0"/>
    <n v="7730"/>
    <s v="South"/>
    <x v="3"/>
    <x v="0"/>
    <s v="Female"/>
    <s v="Jun"/>
  </r>
  <r>
    <s v="Pooja Nair"/>
    <n v="33"/>
    <s v="Male"/>
    <s v="clothing"/>
    <s v="Cotton Saree"/>
    <n v="3"/>
    <n v="3050"/>
    <n v="15"/>
    <s v="Cash"/>
    <s v="Delivered"/>
    <x v="0"/>
    <n v="7777.5"/>
    <s v="West"/>
    <x v="0"/>
    <x v="1"/>
    <s v="Male"/>
    <s v="May"/>
  </r>
  <r>
    <s v="Null"/>
    <n v="30"/>
    <s v="Other"/>
    <s v="clothing"/>
    <s v="W Ethnic Wear"/>
    <n v="3"/>
    <n v="2600"/>
    <n v="0"/>
    <s v="COD"/>
    <s v="Delivered"/>
    <x v="0"/>
    <n v="7800"/>
    <s v="West"/>
    <x v="0"/>
    <x v="1"/>
    <s v="Other"/>
    <s v="Sep"/>
  </r>
  <r>
    <s v="Shweta Ghosh"/>
    <n v="50"/>
    <s v="Male"/>
    <s v="Home &amp; Kitchen"/>
    <s v="Bajaj Mixer Grinder"/>
    <n v="2"/>
    <n v="3915"/>
    <n v="0"/>
    <s v="Card"/>
    <s v="Delivered"/>
    <x v="0"/>
    <n v="7830"/>
    <s v="Westt"/>
    <x v="0"/>
    <x v="3"/>
    <s v="Male"/>
    <s v="Nov"/>
  </r>
  <r>
    <s v="Tanvi Kulkarni"/>
    <n v="51"/>
    <s v="Femal"/>
    <s v="Home &amp; Kitchen"/>
    <s v="Asian Paints 4L"/>
    <n v="4"/>
    <n v="2063"/>
    <n v="5"/>
    <s v="UPI"/>
    <s v="Delivered"/>
    <x v="0"/>
    <n v="7839.4"/>
    <s v="West"/>
    <x v="0"/>
    <x v="3"/>
    <s v="Other"/>
    <s v="Sep"/>
  </r>
  <r>
    <s v="Null"/>
    <n v="18"/>
    <s v="Female"/>
    <s v="clothing"/>
    <s v="Cotton Saree"/>
    <n v="2"/>
    <n v="4150"/>
    <n v="5"/>
    <s v="Card"/>
    <s v="Delivered"/>
    <x v="0"/>
    <n v="7885"/>
    <s v="East"/>
    <x v="2"/>
    <x v="1"/>
    <s v="Female"/>
    <s v="Null"/>
  </r>
  <r>
    <s v="Null"/>
    <n v="18"/>
    <s v="Female"/>
    <s v="clothing"/>
    <s v="Cotton Saree"/>
    <n v="2"/>
    <n v="4150"/>
    <n v="5"/>
    <s v="Card"/>
    <s v="Delivered"/>
    <x v="0"/>
    <n v="7885"/>
    <s v="East"/>
    <x v="2"/>
    <x v="1"/>
    <s v="Female"/>
    <s v="Null"/>
  </r>
  <r>
    <s v="Gaurav Bansal"/>
    <n v="45"/>
    <s v="Female"/>
    <s v="Clthing"/>
    <s v="Puma Track Suit"/>
    <n v="2"/>
    <n v="4400"/>
    <n v="10"/>
    <s v="Cash"/>
    <s v="Cancelled"/>
    <x v="2"/>
    <n v="7920"/>
    <s v="East"/>
    <x v="2"/>
    <x v="1"/>
    <s v="Female"/>
    <s v="May"/>
  </r>
  <r>
    <s v="Deepika Rao"/>
    <n v="46"/>
    <s v="Male"/>
    <s v="Home &amp; Kitchen"/>
    <s v="Tupperware Set"/>
    <n v="5"/>
    <n v="2645"/>
    <n v="40"/>
    <s v="Card"/>
    <s v="Delivered"/>
    <x v="0"/>
    <n v="7935"/>
    <s v="East"/>
    <x v="2"/>
    <x v="3"/>
    <s v="Male"/>
    <s v="Null"/>
  </r>
  <r>
    <s v="Shweta Ghosh"/>
    <n v="52"/>
    <s v="Female"/>
    <s v="clothing"/>
    <s v="Westside Dress"/>
    <n v="3"/>
    <n v="2650"/>
    <n v="0"/>
    <s v="Cash"/>
    <s v="Cancelled"/>
    <x v="2"/>
    <n v="7950"/>
    <s v="East"/>
    <x v="2"/>
    <x v="1"/>
    <s v="Female"/>
    <s v="Null"/>
  </r>
  <r>
    <s v="Geeta Thakur"/>
    <n v="20"/>
    <s v="Female"/>
    <s v="clothing"/>
    <s v="Manyavar Sherwani"/>
    <n v="1"/>
    <n v="7950"/>
    <n v="5"/>
    <s v="Card"/>
    <s v="Delivered"/>
    <x v="0"/>
    <n v="7950"/>
    <s v="East"/>
    <x v="2"/>
    <x v="1"/>
    <s v="Female"/>
    <s v="Oct"/>
  </r>
  <r>
    <s v="Sanjay Dubey"/>
    <n v="54"/>
    <s v="Female"/>
    <s v="clothing"/>
    <s v="Levi's Jeans"/>
    <n v="3"/>
    <n v="2800"/>
    <n v="5"/>
    <s v="COD"/>
    <s v="Delivered"/>
    <x v="0"/>
    <n v="7980"/>
    <s v="North"/>
    <x v="1"/>
    <x v="1"/>
    <s v="Female"/>
    <s v="Sep"/>
  </r>
  <r>
    <s v="Pooja Nair"/>
    <n v="47"/>
    <s v="Male"/>
    <s v="Home &amp; Kitchen"/>
    <s v="Prestige Pressure Cooker"/>
    <n v="3"/>
    <n v="3132"/>
    <n v="15"/>
    <s v="UPI"/>
    <s v="Delivered"/>
    <x v="0"/>
    <n v="7986.6"/>
    <s v="East"/>
    <x v="2"/>
    <x v="3"/>
    <s v="Male"/>
    <s v="Null"/>
  </r>
  <r>
    <s v="Sanjay Dubey"/>
    <n v="59"/>
    <s v="Female"/>
    <s v="clothing"/>
    <s v="W Ethnic Wear"/>
    <n v="3"/>
    <n v="3550"/>
    <n v="25"/>
    <s v="COD"/>
    <s v="Delivered"/>
    <x v="0"/>
    <n v="7987.5"/>
    <s v="South"/>
    <x v="3"/>
    <x v="1"/>
    <s v="Female"/>
    <s v="Null"/>
  </r>
  <r>
    <s v="Smita Desai"/>
    <n v="32"/>
    <s v="Male"/>
    <s v="Electronics"/>
    <s v="HP Printer"/>
    <n v="1"/>
    <n v="8000"/>
    <n v="0"/>
    <s v="Card"/>
    <s v="Delivered"/>
    <x v="0"/>
    <n v="8000"/>
    <s v="Westt"/>
    <x v="0"/>
    <x v="0"/>
    <s v="Male"/>
    <s v="Jan"/>
  </r>
  <r>
    <s v="Vikram Mehta"/>
    <n v="38"/>
    <s v="Male"/>
    <s v="Beauty"/>
    <s v="Forest Essentials Cream"/>
    <n v="2"/>
    <n v="4017"/>
    <n v="0"/>
    <s v="Debit Card"/>
    <s v="Delivered"/>
    <x v="0"/>
    <n v="8034"/>
    <s v="West"/>
    <x v="0"/>
    <x v="2"/>
    <s v="Male"/>
    <s v="Jan"/>
  </r>
  <r>
    <s v="Vikram Mehta"/>
    <n v="26"/>
    <s v="Male"/>
    <s v="clothing"/>
    <s v="Westside Dress"/>
    <n v="3"/>
    <n v="3350"/>
    <n v="20"/>
    <s v="UPI"/>
    <s v="Delivered"/>
    <x v="0"/>
    <n v="8040"/>
    <s v="North"/>
    <x v="1"/>
    <x v="1"/>
    <s v="Male"/>
    <s v="Jan"/>
  </r>
  <r>
    <s v="Geeta Thakur"/>
    <n v="41"/>
    <s v="Male"/>
    <s v="Beauty"/>
    <s v="VLCC Gold Facial Kit"/>
    <n v="6"/>
    <n v="1791"/>
    <n v="25"/>
    <s v="Cash"/>
    <s v="Delivered"/>
    <x v="0"/>
    <n v="8059.5"/>
    <s v="East"/>
    <x v="2"/>
    <x v="2"/>
    <s v="Male"/>
    <s v="Mar"/>
  </r>
  <r>
    <s v="Amit Kumar"/>
    <n v="56"/>
    <s v="Female"/>
    <s v="clothing"/>
    <s v="Cotton Saree"/>
    <n v="2"/>
    <n v="4750"/>
    <n v="15"/>
    <s v="Card"/>
    <s v="Delivered"/>
    <x v="0"/>
    <n v="8075"/>
    <s v="West"/>
    <x v="0"/>
    <x v="1"/>
    <s v="Female"/>
    <s v="Aug"/>
  </r>
  <r>
    <s v="Sanjay Dubey"/>
    <n v="27"/>
    <s v="Female"/>
    <s v="Home &amp; Kitchen"/>
    <s v="Hawkins Cookware Set"/>
    <n v="3"/>
    <n v="3395"/>
    <n v="20"/>
    <s v="Debit Card"/>
    <s v="Deliverd"/>
    <x v="0"/>
    <n v="8148"/>
    <s v="West"/>
    <x v="0"/>
    <x v="3"/>
    <s v="Female"/>
    <s v="Jun"/>
  </r>
  <r>
    <s v="Null"/>
    <m/>
    <s v="Male"/>
    <s v="Home &amp; Kitchen"/>
    <s v="Nilkamal Plastic Chair"/>
    <n v="7"/>
    <n v="1165"/>
    <n v="0"/>
    <s v="COD"/>
    <s v="Delivered"/>
    <x v="0"/>
    <n v="8155"/>
    <s v="Soouth"/>
    <x v="3"/>
    <x v="3"/>
    <s v="Male"/>
    <s v="Jun"/>
  </r>
  <r>
    <s v="Rahul  Gupta"/>
    <n v="55"/>
    <s v="Male"/>
    <s v="Clothng"/>
    <s v="H&amp;M T-Shirt"/>
    <n v="3"/>
    <n v="850"/>
    <n v="20"/>
    <s v="COD"/>
    <s v="Delivered"/>
    <x v="0"/>
    <n v="8160"/>
    <s v="East"/>
    <x v="2"/>
    <x v="1"/>
    <s v="Male"/>
    <s v="May"/>
  </r>
  <r>
    <s v="Manish Agarwal"/>
    <n v="24"/>
    <s v="Female"/>
    <s v="clothing"/>
    <s v="H&amp;M T-Shirt"/>
    <n v="3"/>
    <n v="800"/>
    <n v="15"/>
    <s v="Card"/>
    <s v="Delivered"/>
    <x v="0"/>
    <n v="8160"/>
    <s v="North"/>
    <x v="1"/>
    <x v="1"/>
    <s v="Female"/>
    <s v="Dec"/>
  </r>
  <r>
    <s v="Pranav Kulkarni"/>
    <n v="45"/>
    <s v="Female"/>
    <s v="clothing"/>
    <s v="Allen Solly Formal Shirt"/>
    <n v="3"/>
    <n v="3400"/>
    <n v="20"/>
    <s v="UPI"/>
    <s v="Delivered"/>
    <x v="0"/>
    <n v="8160"/>
    <s v="North"/>
    <x v="1"/>
    <x v="1"/>
    <s v="Female"/>
    <s v="Dec"/>
  </r>
  <r>
    <s v="Pranav Kulkarni"/>
    <n v="32"/>
    <s v="Male"/>
    <s v="clothing"/>
    <s v="Puma Track Suit"/>
    <n v="2"/>
    <n v="4550"/>
    <n v="10"/>
    <s v="Cash"/>
    <s v="returned"/>
    <x v="1"/>
    <n v="8190"/>
    <s v="South"/>
    <x v="3"/>
    <x v="1"/>
    <s v="Male"/>
    <s v="Aug"/>
  </r>
  <r>
    <s v="Neha Mishra"/>
    <n v="48"/>
    <s v="Male"/>
    <s v="clothing"/>
    <s v="Westside Dress"/>
    <n v="3"/>
    <n v="3650"/>
    <n v="25"/>
    <s v="Card"/>
    <s v="Delivered"/>
    <x v="0"/>
    <n v="8212.5"/>
    <s v="East"/>
    <x v="2"/>
    <x v="1"/>
    <s v="Male"/>
    <s v="Dec"/>
  </r>
  <r>
    <s v="Null"/>
    <n v="47"/>
    <s v="Male"/>
    <s v="clothing"/>
    <s v="Levi's Jeans"/>
    <n v="3"/>
    <n v="3050"/>
    <n v="10"/>
    <s v="COD"/>
    <s v="Deliverd"/>
    <x v="0"/>
    <n v="8235"/>
    <s v="West"/>
    <x v="0"/>
    <x v="1"/>
    <s v="Male"/>
    <s v="Jan"/>
  </r>
  <r>
    <s v="Sanjay Dubey"/>
    <n v="24"/>
    <s v="Female"/>
    <s v="Home &amp; Kitchen"/>
    <s v="Usha Iron"/>
    <n v="4"/>
    <n v="2942"/>
    <n v="30"/>
    <s v="COD"/>
    <s v="Delivered"/>
    <x v="0"/>
    <n v="8237.6"/>
    <s v="East"/>
    <x v="2"/>
    <x v="3"/>
    <s v="Female"/>
    <s v="Jul"/>
  </r>
  <r>
    <s v="Nikhil Bose"/>
    <n v="52"/>
    <s v="Female"/>
    <s v="Home &amp; Kitchen"/>
    <s v="Hawkins Cookware Set"/>
    <n v="4"/>
    <n v="4130"/>
    <n v="50"/>
    <s v="UPI"/>
    <s v="Delivered"/>
    <x v="0"/>
    <n v="8260"/>
    <s v="West"/>
    <x v="0"/>
    <x v="3"/>
    <s v="Female"/>
    <s v="Sep"/>
  </r>
  <r>
    <s v="Nitin Kapoor"/>
    <n v="29"/>
    <s v="Male"/>
    <s v="clothing"/>
    <s v="Nike Running Shoes"/>
    <n v="2"/>
    <n v="4350"/>
    <n v="5"/>
    <s v="Cash"/>
    <s v="Delvered"/>
    <x v="0"/>
    <n v="8265"/>
    <s v="North"/>
    <x v="1"/>
    <x v="1"/>
    <s v="Male"/>
    <s v="Apr"/>
  </r>
  <r>
    <s v="Nikhil Bose"/>
    <n v="52"/>
    <s v="Female"/>
    <s v="clothing"/>
    <s v="Adidas Sneakers"/>
    <n v="2"/>
    <n v="4600"/>
    <n v="10"/>
    <s v="Card"/>
    <s v="returned"/>
    <x v="1"/>
    <n v="8280"/>
    <s v="East"/>
    <x v="2"/>
    <x v="1"/>
    <s v="Female"/>
    <s v="Nov"/>
  </r>
  <r>
    <s v="Null"/>
    <n v="42"/>
    <s v="Male"/>
    <s v="Home &amp; Kitchen"/>
    <s v="Orient Ceiling Fan"/>
    <n v="4"/>
    <n v="3452"/>
    <n v="40"/>
    <s v="Card"/>
    <s v="Delivered"/>
    <x v="0"/>
    <n v="8284.7999999999993"/>
    <s v="South"/>
    <x v="3"/>
    <x v="3"/>
    <s v="Male"/>
    <s v="Null"/>
  </r>
  <r>
    <s v="Gaurav Bansal"/>
    <m/>
    <s v="Male"/>
    <s v="Beauty"/>
    <s v="WOW Vitamin C Serum"/>
    <n v="7"/>
    <n v="1250"/>
    <n v="5"/>
    <s v="UPI"/>
    <s v="Cancelled"/>
    <x v="2"/>
    <n v="8312.5"/>
    <s v="West"/>
    <x v="0"/>
    <x v="2"/>
    <s v="Male"/>
    <s v="Null"/>
  </r>
  <r>
    <s v="Rajesh Tiwari"/>
    <n v="21"/>
    <s v="Male"/>
    <s v="Home &amp; Kitchen"/>
    <s v="Tupperware Set"/>
    <n v="5"/>
    <n v="2776"/>
    <n v="40"/>
    <s v="COD"/>
    <s v="Delivered"/>
    <x v="0"/>
    <n v="8328"/>
    <s v="South"/>
    <x v="3"/>
    <x v="3"/>
    <s v="Male"/>
    <s v="Apr"/>
  </r>
  <r>
    <s v="Lakshmi Krishnan"/>
    <n v="59"/>
    <s v="Male"/>
    <s v="clothing"/>
    <s v="Cotton Saree"/>
    <n v="2"/>
    <n v="4900"/>
    <n v="15"/>
    <s v="UPI"/>
    <s v="Delivered"/>
    <x v="0"/>
    <n v="8330"/>
    <s v="East"/>
    <x v="2"/>
    <x v="1"/>
    <s v="Male"/>
    <s v="Nov"/>
  </r>
  <r>
    <s v="Null"/>
    <n v="27"/>
    <s v="Female"/>
    <s v="Beauty"/>
    <s v="WOW Vitamin C Serum"/>
    <n v="8"/>
    <n v="1098"/>
    <n v="5"/>
    <s v="UPI"/>
    <s v="Cancelled"/>
    <x v="2"/>
    <n v="8344.7999999999993"/>
    <s v="West"/>
    <x v="0"/>
    <x v="2"/>
    <s v="Female"/>
    <s v="Oct"/>
  </r>
  <r>
    <s v="Pooja Nair"/>
    <n v="47"/>
    <s v="M"/>
    <s v="clothing"/>
    <s v="Peter England Trousers"/>
    <n v="2"/>
    <n v="4400"/>
    <n v="5"/>
    <s v="UPI"/>
    <s v="Delivered"/>
    <x v="0"/>
    <n v="8360"/>
    <s v="West"/>
    <x v="0"/>
    <x v="1"/>
    <s v="Male"/>
    <s v="Jul"/>
  </r>
  <r>
    <s v="Rahul Gupta"/>
    <n v="58"/>
    <s v="Male"/>
    <s v="clothing"/>
    <s v="Manyavar Sherwani"/>
    <n v="2"/>
    <n v="7000"/>
    <n v="40"/>
    <s v="Csh"/>
    <s v="Delivered"/>
    <x v="0"/>
    <n v="8400"/>
    <s v="North"/>
    <x v="1"/>
    <x v="1"/>
    <s v="Male"/>
    <s v="Null"/>
  </r>
  <r>
    <s v="Null"/>
    <n v="34"/>
    <s v="Male"/>
    <s v="clothing"/>
    <s v="Biba Salwar Suit"/>
    <n v="2"/>
    <n v="4450"/>
    <n v="5"/>
    <s v="Card"/>
    <s v="Delivered"/>
    <x v="0"/>
    <n v="8455"/>
    <s v="West"/>
    <x v="0"/>
    <x v="1"/>
    <s v="Male"/>
    <s v="Nov"/>
  </r>
  <r>
    <s v="Pooja Nair"/>
    <n v="55"/>
    <s v="Male"/>
    <s v="Electronics"/>
    <s v="JBL Bluetooth Speaker"/>
    <n v="2"/>
    <n v="4700"/>
    <n v="10"/>
    <s v="Card"/>
    <s v="Delivered"/>
    <x v="0"/>
    <n v="8460"/>
    <s v="East"/>
    <x v="2"/>
    <x v="0"/>
    <s v="Male"/>
    <s v="Null"/>
  </r>
  <r>
    <s v="Ashok Yadav"/>
    <n v="57"/>
    <s v="Female"/>
    <s v="Beauty"/>
    <s v="Maybelline Lipstick"/>
    <n v="10"/>
    <n v="858"/>
    <n v="0"/>
    <s v="Cash"/>
    <s v="Delivered"/>
    <x v="0"/>
    <n v="8580"/>
    <s v="West"/>
    <x v="0"/>
    <x v="2"/>
    <s v="Female"/>
    <s v="Null"/>
  </r>
  <r>
    <s v="Null"/>
    <n v="43"/>
    <s v="Female"/>
    <s v="Home &amp; Kitchen"/>
    <s v="Philips Air Fryer"/>
    <n v="1"/>
    <n v="8601"/>
    <n v="0"/>
    <s v="CashOnDelivery"/>
    <s v="Delivered"/>
    <x v="0"/>
    <n v="8601"/>
    <s v="North"/>
    <x v="1"/>
    <x v="3"/>
    <s v="Female"/>
    <s v="Null"/>
  </r>
  <r>
    <s v="Pranav Kulkarni"/>
    <n v="51"/>
    <s v="Female"/>
    <s v="Clthing"/>
    <s v="Peter England Trousers"/>
    <n v="3"/>
    <n v="3200"/>
    <n v="10"/>
    <s v="UPI"/>
    <s v="Delivered"/>
    <x v="0"/>
    <n v="8640"/>
    <s v="South"/>
    <x v="3"/>
    <x v="1"/>
    <s v="Female"/>
    <s v="Null"/>
  </r>
  <r>
    <s v="Null"/>
    <n v="32"/>
    <s v="Female"/>
    <s v="Hme &amp; Kitchen"/>
    <s v="Asian Paints 4L"/>
    <n v="6"/>
    <n v="2882"/>
    <n v="50"/>
    <s v="UPI"/>
    <s v="Cancelled"/>
    <x v="2"/>
    <n v="8646"/>
    <s v="North"/>
    <x v="1"/>
    <x v="3"/>
    <s v="Female"/>
    <s v="Null"/>
  </r>
  <r>
    <s v="Vinod Patil"/>
    <n v="62"/>
    <s v="Male"/>
    <s v="Home &amp; Kitchen"/>
    <s v="Milton Steel Bottles"/>
    <n v="6"/>
    <n v="1442"/>
    <n v="0"/>
    <s v="UPI"/>
    <s v="Deliverd"/>
    <x v="0"/>
    <n v="8652"/>
    <s v="Eastt"/>
    <x v="2"/>
    <x v="3"/>
    <s v="Male"/>
    <s v="Jul"/>
  </r>
  <r>
    <s v="Manoj Chauhan"/>
    <n v="65"/>
    <s v="Female"/>
    <s v="Home &amp; Kitchen"/>
    <s v="Philips Air Fryer"/>
    <n v="1"/>
    <n v="8665"/>
    <n v="0"/>
    <s v="Cash"/>
    <s v="Cancelled"/>
    <x v="2"/>
    <n v="8665"/>
    <s v="West"/>
    <x v="0"/>
    <x v="3"/>
    <s v="Female"/>
    <s v="Null"/>
  </r>
  <r>
    <s v="Null"/>
    <n v="43"/>
    <s v="Male"/>
    <s v="Home and Kitchen"/>
    <s v="Milton Steel Bottles"/>
    <n v="7"/>
    <n v="1307"/>
    <n v="5"/>
    <s v="COD"/>
    <s v="returned"/>
    <x v="1"/>
    <n v="8691.5499999999993"/>
    <s v="North"/>
    <x v="1"/>
    <x v="3"/>
    <s v="Male"/>
    <s v="Null"/>
  </r>
  <r>
    <s v="Null"/>
    <n v="54"/>
    <s v="Female"/>
    <s v="Home &amp; Kitchen"/>
    <s v="Milton Steel Bottles"/>
    <n v="7"/>
    <n v="1243"/>
    <n v="0"/>
    <s v="Cash"/>
    <s v="Cancelled"/>
    <x v="2"/>
    <n v="8701"/>
    <s v="West"/>
    <x v="0"/>
    <x v="3"/>
    <s v="Female"/>
    <s v="Dec"/>
  </r>
  <r>
    <s v="Gaurav Bansal"/>
    <n v="51"/>
    <s v="Female"/>
    <s v="clothing"/>
    <s v="Cotton Saree"/>
    <n v="3"/>
    <n v="4850"/>
    <n v="40"/>
    <s v="UPI"/>
    <s v="Delivered"/>
    <x v="0"/>
    <n v="8730"/>
    <s v="South"/>
    <x v="3"/>
    <x v="1"/>
    <s v="Female"/>
    <s v="Aug"/>
  </r>
  <r>
    <s v="Nikhil Bose"/>
    <n v="62"/>
    <s v="Male"/>
    <s v="clothing"/>
    <s v="Levi's Jeans"/>
    <n v="2"/>
    <n v="4600"/>
    <n v="5"/>
    <s v="UPI"/>
    <s v="Delivered"/>
    <x v="0"/>
    <n v="8740"/>
    <s v="East"/>
    <x v="2"/>
    <x v="1"/>
    <s v="Male"/>
    <s v="May"/>
  </r>
  <r>
    <s v="Nikhil Bose"/>
    <n v="62"/>
    <s v="Male"/>
    <s v="clothing"/>
    <s v="Levi's Jeans"/>
    <n v="2"/>
    <n v="4600"/>
    <n v="5"/>
    <s v="UPI"/>
    <s v="Delivered"/>
    <x v="0"/>
    <n v="8740"/>
    <s v="East"/>
    <x v="2"/>
    <x v="1"/>
    <s v="Male"/>
    <s v="May"/>
  </r>
  <r>
    <s v="Nikhil Bose"/>
    <n v="49"/>
    <s v="Male"/>
    <s v="Home &amp; Kitchen"/>
    <s v="Milton Steel Bottles"/>
    <n v="9"/>
    <n v="972"/>
    <n v="75"/>
    <s v="Card"/>
    <s v="Delivered"/>
    <x v="0"/>
    <n v="8748"/>
    <s v="East"/>
    <x v="2"/>
    <x v="3"/>
    <s v="Male"/>
    <s v="Apr"/>
  </r>
  <r>
    <s v="Sunita Pandey"/>
    <n v="28"/>
    <s v="Female"/>
    <s v="clothing"/>
    <s v="Manyavar Sherwani"/>
    <n v="2"/>
    <n v="5850"/>
    <n v="25"/>
    <s v="UPI"/>
    <s v="returned"/>
    <x v="1"/>
    <n v="8775"/>
    <s v="North"/>
    <x v="1"/>
    <x v="1"/>
    <s v="Female"/>
    <s v="Null"/>
  </r>
  <r>
    <s v="Ananya Singh"/>
    <n v="52"/>
    <s v="Female"/>
    <s v="clothing"/>
    <s v="Allen Solly Formal Shirt"/>
    <n v="1"/>
    <n v="2200"/>
    <n v="0"/>
    <s v="UPI"/>
    <s v="returned"/>
    <x v="1"/>
    <n v="8800"/>
    <s v="East"/>
    <x v="2"/>
    <x v="1"/>
    <s v="Female"/>
    <s v="Oct"/>
  </r>
  <r>
    <s v="kavya reddy"/>
    <n v="53"/>
    <s v="Mle"/>
    <s v="clothing"/>
    <s v="Puma Track Suit"/>
    <n v="3"/>
    <n v="4900"/>
    <n v="40"/>
    <s v="UPI"/>
    <s v="Delivered"/>
    <x v="0"/>
    <n v="8820"/>
    <s v="West"/>
    <x v="0"/>
    <x v="1"/>
    <s v="Other"/>
    <s v="Null"/>
  </r>
  <r>
    <s v="Kavya Reddy"/>
    <n v="28"/>
    <s v="Female"/>
    <s v="Home &amp; Kitchen"/>
    <s v="Godrej Almirah"/>
    <n v="1"/>
    <n v="10485"/>
    <n v="15"/>
    <s v="UPI"/>
    <s v="returned"/>
    <x v="1"/>
    <n v="8912.25"/>
    <s v="West"/>
    <x v="0"/>
    <x v="3"/>
    <s v="Female"/>
    <s v="Null"/>
  </r>
  <r>
    <s v="Null"/>
    <n v="63"/>
    <s v="Female"/>
    <s v="Electronics"/>
    <s v="Mi Band 7"/>
    <n v="2"/>
    <n v="4700"/>
    <n v="5"/>
    <s v="Card"/>
    <s v="Delivered"/>
    <x v="0"/>
    <n v="8930"/>
    <s v="North"/>
    <x v="1"/>
    <x v="0"/>
    <s v="Female"/>
    <s v="May"/>
  </r>
  <r>
    <s v="Manish Agarwal"/>
    <n v="40"/>
    <s v="Male"/>
    <s v="Home &amp; Kitchen"/>
    <s v="Borosil Glass Set"/>
    <n v="9"/>
    <n v="1993"/>
    <n v="50"/>
    <s v="UPI"/>
    <s v="Delivered"/>
    <x v="0"/>
    <n v="8968.5"/>
    <s v="Est"/>
    <x v="2"/>
    <x v="3"/>
    <s v="Male"/>
    <s v="Null"/>
  </r>
  <r>
    <s v="Neha Mishra"/>
    <n v="29"/>
    <s v="Male"/>
    <s v="Electronics"/>
    <s v="Mi Band 7"/>
    <n v="2"/>
    <n v="5000"/>
    <n v="10"/>
    <s v="Cash"/>
    <s v="Delivered"/>
    <x v="0"/>
    <n v="9000"/>
    <s v="West"/>
    <x v="0"/>
    <x v="0"/>
    <s v="Male"/>
    <s v="Null"/>
  </r>
  <r>
    <s v="Pooja Nair"/>
    <n v="52"/>
    <s v="Female"/>
    <s v="clothing"/>
    <s v="Peter England Trousers"/>
    <n v="3"/>
    <n v="3000"/>
    <n v="10"/>
    <s v="Cash"/>
    <s v="Cancelled"/>
    <x v="2"/>
    <n v="9000"/>
    <s v="North"/>
    <x v="1"/>
    <x v="1"/>
    <s v="Female"/>
    <s v="Sep"/>
  </r>
  <r>
    <s v="Deepika Rao"/>
    <n v="32"/>
    <s v="Female"/>
    <s v="Electronics"/>
    <s v="JBL Bluetooth Speaker"/>
    <n v="2"/>
    <n v="5000"/>
    <n v="10"/>
    <s v="Credit Card"/>
    <s v="Delivered"/>
    <x v="0"/>
    <n v="9000"/>
    <s v="South"/>
    <x v="3"/>
    <x v="0"/>
    <s v="Female"/>
    <s v="May"/>
  </r>
  <r>
    <s v="Rahul Gupta"/>
    <n v="36"/>
    <s v="Male"/>
    <s v="Home &amp; Kitchen"/>
    <s v="Milton Steel Bottles"/>
    <n v="7"/>
    <n v="1286"/>
    <n v="0"/>
    <s v="UPI"/>
    <s v="Delivered"/>
    <x v="0"/>
    <n v="9002"/>
    <s v="Sout"/>
    <x v="3"/>
    <x v="3"/>
    <s v="Male"/>
    <s v="Nov"/>
  </r>
  <r>
    <s v="Sanjay Dubey"/>
    <n v="36"/>
    <s v="Male"/>
    <s v="Home &amp; Kitchen"/>
    <s v="Asian Paints 4L"/>
    <n v="4"/>
    <n v="2511"/>
    <n v="10"/>
    <s v="Card"/>
    <s v="Delivered"/>
    <x v="0"/>
    <n v="9039.6"/>
    <s v="North"/>
    <x v="1"/>
    <x v="3"/>
    <s v="Male"/>
    <s v="Null"/>
  </r>
  <r>
    <s v="Rajan Bhatt"/>
    <n v="22"/>
    <s v="Male"/>
    <s v="Beauty"/>
    <s v="Kama Ayurveda Hair Oil"/>
    <n v="8"/>
    <n v="1133"/>
    <m/>
    <s v="COD"/>
    <s v="returned"/>
    <x v="1"/>
    <n v="9064"/>
    <s v="East"/>
    <x v="2"/>
    <x v="2"/>
    <s v="Male"/>
    <s v="May"/>
  </r>
  <r>
    <s v="Nikhil Bose"/>
    <n v="32"/>
    <s v="F"/>
    <s v="Home &amp; Kitchen"/>
    <s v="Pigeon Induction Cooktop"/>
    <n v="4"/>
    <n v="3245"/>
    <n v="30"/>
    <s v="Card"/>
    <s v="Delivered"/>
    <x v="0"/>
    <n v="9086"/>
    <s v="North"/>
    <x v="1"/>
    <x v="3"/>
    <s v="Female"/>
    <s v="Feb"/>
  </r>
  <r>
    <s v="Manish Agarwal"/>
    <n v="41"/>
    <s v="Male"/>
    <s v="clothing"/>
    <s v="Puma Track Suit"/>
    <n v="2"/>
    <n v="4550"/>
    <n v="30"/>
    <s v="COD"/>
    <s v="Delivered"/>
    <x v="0"/>
    <n v="9100"/>
    <s v="North"/>
    <x v="1"/>
    <x v="1"/>
    <s v="Male"/>
    <s v="May"/>
  </r>
  <r>
    <s v="Pooja Nair"/>
    <n v="31"/>
    <s v="Female"/>
    <s v="Home &amp; Kitchen"/>
    <s v="Orient Ceiling Fan"/>
    <n v="3"/>
    <n v="3035"/>
    <n v="5"/>
    <s v="COD"/>
    <s v="Delivered"/>
    <x v="0"/>
    <n v="9105"/>
    <s v="West"/>
    <x v="0"/>
    <x v="3"/>
    <s v="Female"/>
    <s v="Mar"/>
  </r>
  <r>
    <s v="Arjun Pillai"/>
    <n v="29"/>
    <s v="Female"/>
    <s v="clothing"/>
    <s v="Nike Running Shoes"/>
    <n v="2"/>
    <n v="5100"/>
    <n v="10"/>
    <s v="Cash"/>
    <s v="Delivered"/>
    <x v="0"/>
    <n v="9180"/>
    <s v="North"/>
    <x v="1"/>
    <x v="1"/>
    <s v="Female"/>
    <s v="Feb"/>
  </r>
  <r>
    <s v="Neha Mishra"/>
    <n v="19"/>
    <s v="Female"/>
    <s v="clothing"/>
    <s v="Puma Track Suit"/>
    <n v="2"/>
    <n v="4600"/>
    <n v="0"/>
    <s v="Card"/>
    <s v="Delivered"/>
    <x v="0"/>
    <n v="9200"/>
    <s v="North"/>
    <x v="1"/>
    <x v="1"/>
    <s v="Female"/>
    <s v="Null"/>
  </r>
  <r>
    <s v="Priyanka Choudhary"/>
    <n v="38"/>
    <s v="Male"/>
    <s v="Hme &amp; Kitchen"/>
    <s v="Philips Air Fryer"/>
    <n v="1"/>
    <n v="9713"/>
    <n v="5"/>
    <s v="COD"/>
    <s v="Cancelled"/>
    <x v="2"/>
    <n v="9227.35"/>
    <s v="South"/>
    <x v="3"/>
    <x v="3"/>
    <s v="Male"/>
    <s v="Feb"/>
  </r>
  <r>
    <s v="Pooja Nair"/>
    <n v="19"/>
    <s v="Female"/>
    <s v="Home &amp; Kitchen"/>
    <s v="Nilkamal Plastic Chair"/>
    <n v="5"/>
    <n v="1953"/>
    <n v="5"/>
    <s v="Cash"/>
    <s v="Delivered"/>
    <x v="0"/>
    <n v="9276.75"/>
    <s v="North"/>
    <x v="1"/>
    <x v="3"/>
    <s v="Female"/>
    <s v="Null"/>
  </r>
  <r>
    <s v="Null"/>
    <n v="50"/>
    <s v="Male"/>
    <s v="clothing"/>
    <s v="Raymond Suit"/>
    <n v="2"/>
    <n v="5800"/>
    <n v="20"/>
    <s v="Cash"/>
    <s v="returned"/>
    <x v="1"/>
    <n v="9280"/>
    <s v="West"/>
    <x v="0"/>
    <x v="1"/>
    <s v="Male"/>
    <s v="Null"/>
  </r>
  <r>
    <s v="Null"/>
    <n v="36"/>
    <s v="Female"/>
    <s v="Home &amp; Kitchen"/>
    <s v="Milton Steel Bottles"/>
    <n v="7"/>
    <n v="1327"/>
    <n v="0"/>
    <s v="UPI"/>
    <s v="Delivered"/>
    <x v="0"/>
    <n v="9289"/>
    <s v="West"/>
    <x v="0"/>
    <x v="3"/>
    <s v="Female"/>
    <s v="Null"/>
  </r>
  <r>
    <s v="Smita Desai"/>
    <n v="52"/>
    <s v="Female"/>
    <s v="Electronics"/>
    <s v="HP Printer"/>
    <n v="1"/>
    <n v="11700"/>
    <n v="20"/>
    <s v="Card"/>
    <s v="Delivered"/>
    <x v="0"/>
    <n v="9360"/>
    <s v="South"/>
    <x v="3"/>
    <x v="0"/>
    <s v="Female"/>
    <s v="Mar"/>
  </r>
  <r>
    <s v="Pooja Nair"/>
    <n v="55"/>
    <s v="Female"/>
    <s v="Home &amp; Kitchen"/>
    <s v="Usha Iron"/>
    <n v="5"/>
    <n v="1874"/>
    <n v="0"/>
    <s v="Card"/>
    <s v="Delivered"/>
    <x v="0"/>
    <n v="9370"/>
    <s v="North"/>
    <x v="1"/>
    <x v="3"/>
    <s v="Female"/>
    <s v="May"/>
  </r>
  <r>
    <s v="Neha Mishra"/>
    <n v="29"/>
    <s v="Male"/>
    <s v="clothing"/>
    <s v="Westside Dress"/>
    <n v="3"/>
    <n v="3150"/>
    <n v="0"/>
    <s v="UPI"/>
    <s v="Delivered"/>
    <x v="0"/>
    <n v="9450"/>
    <s v="West"/>
    <x v="0"/>
    <x v="1"/>
    <s v="Male"/>
    <s v="Aug"/>
  </r>
  <r>
    <s v="Ashok Yadav"/>
    <n v="28"/>
    <s v="Female"/>
    <s v="clothing"/>
    <s v="Peter England Trousers"/>
    <n v="3"/>
    <n v="3500"/>
    <n v="10"/>
    <s v="Card"/>
    <s v="Delivered"/>
    <x v="0"/>
    <n v="9450"/>
    <s v="North"/>
    <x v="1"/>
    <x v="1"/>
    <s v="Female"/>
    <s v="Jun"/>
  </r>
  <r>
    <s v="Pranav Kulkarni"/>
    <n v="30"/>
    <s v="Female"/>
    <s v="clothing"/>
    <s v="Levi's Jeans"/>
    <n v="3"/>
    <n v="4200"/>
    <n v="25"/>
    <s v="UPI"/>
    <s v="Delivered"/>
    <x v="0"/>
    <n v="9450"/>
    <s v="North"/>
    <x v="1"/>
    <x v="1"/>
    <s v="Female"/>
    <s v="Jan"/>
  </r>
  <r>
    <s v="Null"/>
    <m/>
    <s v="Female"/>
    <s v="Home &amp; Kitchen"/>
    <s v="Borosil Glass Set"/>
    <n v="6"/>
    <n v="1665"/>
    <n v="5"/>
    <s v="Cash"/>
    <s v="returned"/>
    <x v="1"/>
    <n v="9490.5"/>
    <s v="North"/>
    <x v="1"/>
    <x v="3"/>
    <s v="Female"/>
    <s v="May"/>
  </r>
  <r>
    <s v="Null"/>
    <n v="56"/>
    <s v="Male"/>
    <s v="clothing"/>
    <s v="Puma Track Suit"/>
    <n v="2"/>
    <n v="5000"/>
    <n v="5"/>
    <s v="Card"/>
    <s v="Delivered"/>
    <x v="0"/>
    <n v="9500"/>
    <s v="West"/>
    <x v="0"/>
    <x v="1"/>
    <s v="Male"/>
    <s v="Aug"/>
  </r>
  <r>
    <s v="Null"/>
    <n v="32"/>
    <s v="Female"/>
    <s v="Home &amp; Kitchen"/>
    <s v="Bajaj Mixer Grinder"/>
    <n v="1"/>
    <n v="4761"/>
    <m/>
    <s v="COD"/>
    <s v="Cancelled"/>
    <x v="2"/>
    <n v="9522"/>
    <s v="South"/>
    <x v="3"/>
    <x v="3"/>
    <s v="Female"/>
    <s v="Nov"/>
  </r>
  <r>
    <s v="ROHIT VERMA"/>
    <n v="33"/>
    <s v="Male"/>
    <s v="Home &amp; Kitchen"/>
    <s v="Nilkamal Plastic Chair"/>
    <n v="10"/>
    <n v="1122"/>
    <n v="15"/>
    <s v="UPI"/>
    <s v="Delivered"/>
    <x v="0"/>
    <n v="9537"/>
    <s v="West"/>
    <x v="0"/>
    <x v="3"/>
    <s v="Male"/>
    <s v="Nov"/>
  </r>
  <r>
    <s v="Nikhil Bose"/>
    <n v="19"/>
    <s v="Male"/>
    <s v="Home &amp; Kitchen"/>
    <s v="Usha Iron"/>
    <n v="4"/>
    <n v="2393"/>
    <n v="0"/>
    <s v="Card"/>
    <s v="Delivered"/>
    <x v="0"/>
    <n v="9572"/>
    <s v="North"/>
    <x v="1"/>
    <x v="3"/>
    <s v="Male"/>
    <s v="Jan"/>
  </r>
  <r>
    <s v="Null"/>
    <n v="48"/>
    <s v="Male"/>
    <s v="Home &amp; Kitchen"/>
    <s v="Bajaj Mixer Grinder"/>
    <n v="2"/>
    <n v="4830"/>
    <n v="0"/>
    <s v="COD"/>
    <s v="Returnd"/>
    <x v="1"/>
    <n v="9660"/>
    <s v="East"/>
    <x v="2"/>
    <x v="3"/>
    <s v="Male"/>
    <s v="Null"/>
  </r>
  <r>
    <s v="Tanvi Kulkarni"/>
    <n v="44"/>
    <s v="Male"/>
    <s v="Electronics"/>
    <s v="HP Printer"/>
    <n v="1"/>
    <n v="11400"/>
    <n v="15"/>
    <s v="Card"/>
    <s v="Delivered"/>
    <x v="0"/>
    <n v="9690"/>
    <s v="East"/>
    <x v="2"/>
    <x v="0"/>
    <s v="Male"/>
    <s v="Dec"/>
  </r>
  <r>
    <s v="Rahul Gupta"/>
    <n v="25"/>
    <s v="Male"/>
    <s v="Home &amp; Kitchen"/>
    <s v="Cello Water Bottle"/>
    <n v="9"/>
    <n v="317"/>
    <n v="15"/>
    <s v="Card"/>
    <s v="Delivered"/>
    <x v="0"/>
    <n v="9700.2000000000007"/>
    <s v="South"/>
    <x v="3"/>
    <x v="3"/>
    <s v="Male"/>
    <s v="Sep"/>
  </r>
  <r>
    <s v="Null"/>
    <n v="29"/>
    <s v="Female"/>
    <s v="Home &amp; Kitchen"/>
    <s v="Borosil Glass Set"/>
    <n v="6"/>
    <n v="1620"/>
    <m/>
    <s v="UPI"/>
    <s v="Deliverd"/>
    <x v="0"/>
    <n v="9720"/>
    <s v="South"/>
    <x v="3"/>
    <x v="3"/>
    <s v="Female"/>
    <s v="Oct"/>
  </r>
  <r>
    <s v="Pranav Kulkarni"/>
    <n v="63"/>
    <s v="Male"/>
    <s v="clothing"/>
    <s v="Allen Solly Formal Shirt"/>
    <n v="3"/>
    <n v="3250"/>
    <n v="0"/>
    <s v="Card"/>
    <s v="Delivered"/>
    <x v="0"/>
    <n v="9750"/>
    <s v="West"/>
    <x v="0"/>
    <x v="1"/>
    <s v="Male"/>
    <s v="Jun"/>
  </r>
  <r>
    <s v="Ashok Yadav"/>
    <n v="43"/>
    <s v="Male"/>
    <s v="Home &amp; Kitchen"/>
    <s v="Tupperware Set"/>
    <n v="7"/>
    <n v="2792"/>
    <n v="50"/>
    <s v="COD"/>
    <s v="Delivered"/>
    <x v="0"/>
    <n v="9772"/>
    <s v="East"/>
    <x v="2"/>
    <x v="3"/>
    <s v="Male"/>
    <s v="Null"/>
  </r>
  <r>
    <s v="Manoj Chauhan"/>
    <n v="32"/>
    <s v="Other"/>
    <s v="clothing"/>
    <s v="Nike Running Shoes"/>
    <n v="2"/>
    <n v="5150"/>
    <n v="5"/>
    <s v="Card"/>
    <s v="Cancelled"/>
    <x v="2"/>
    <n v="9785"/>
    <s v="West"/>
    <x v="0"/>
    <x v="1"/>
    <s v="Other"/>
    <s v="Jan"/>
  </r>
  <r>
    <s v="Arjun Pillai"/>
    <n v="31"/>
    <s v="Male"/>
    <s v="Beauty"/>
    <s v="VLCC Gold Facial Kit"/>
    <n v="10"/>
    <n v="1306"/>
    <n v="25"/>
    <s v="Card"/>
    <s v="Cancelled"/>
    <x v="2"/>
    <n v="9795"/>
    <s v="West"/>
    <x v="0"/>
    <x v="2"/>
    <s v="Male"/>
    <s v="Dec"/>
  </r>
  <r>
    <s v="Pranav Kulkarni"/>
    <n v="42"/>
    <s v="Female"/>
    <s v="clothing"/>
    <s v="Westside Dress"/>
    <n v="3"/>
    <n v="3450"/>
    <n v="5"/>
    <s v="UPI"/>
    <s v="Delivered"/>
    <x v="0"/>
    <n v="9832.5"/>
    <s v="East"/>
    <x v="2"/>
    <x v="1"/>
    <s v="Female"/>
    <s v="Sep"/>
  </r>
  <r>
    <s v="Neha Mishra"/>
    <n v="37"/>
    <s v="Female"/>
    <s v="Home &amp; Kitchen"/>
    <s v="Pigeon Induction Cooktop"/>
    <n v="5"/>
    <n v="2199"/>
    <n v="10"/>
    <s v="UPI"/>
    <s v="Delivered"/>
    <x v="0"/>
    <n v="9895.5"/>
    <s v="West"/>
    <x v="0"/>
    <x v="3"/>
    <s v="Female"/>
    <s v="May"/>
  </r>
  <r>
    <s v="Pranav Kulkarni"/>
    <n v="39"/>
    <s v="Female"/>
    <s v="clothing"/>
    <s v="Levi's Jeans"/>
    <n v="2"/>
    <n v="4950"/>
    <n v="0"/>
    <s v="Cash"/>
    <s v="Delivered"/>
    <x v="0"/>
    <n v="9900"/>
    <s v="North"/>
    <x v="1"/>
    <x v="1"/>
    <s v="Female"/>
    <s v="Jun"/>
  </r>
  <r>
    <s v="Neha Mishra"/>
    <n v="34"/>
    <s v="Male"/>
    <s v="clothing"/>
    <s v="Allen Solly Formal Shirt"/>
    <n v="99"/>
    <n v="2000"/>
    <n v="50"/>
    <s v="Cash"/>
    <s v="Delivered"/>
    <x v="0"/>
    <n v="9900"/>
    <s v="North"/>
    <x v="1"/>
    <x v="1"/>
    <s v="Male"/>
    <s v="May"/>
  </r>
  <r>
    <s v="Kavya Reddy"/>
    <n v="43"/>
    <s v="Male"/>
    <s v="Electronics"/>
    <s v="Whirlpool Refrigerator"/>
    <n v="2"/>
    <n v="49800"/>
    <n v="0"/>
    <s v="UPI"/>
    <s v="Delivered"/>
    <x v="0"/>
    <n v="9960"/>
    <s v="East"/>
    <x v="2"/>
    <x v="0"/>
    <s v="Male"/>
    <s v="Feb"/>
  </r>
  <r>
    <s v="Pooja Nair"/>
    <n v="38"/>
    <s v="Male"/>
    <s v="Electronics"/>
    <s v="Samsung Smart TV 43&quot;"/>
    <n v="2"/>
    <n v="50300"/>
    <n v="0"/>
    <s v="COD"/>
    <s v="Cancelled"/>
    <x v="2"/>
    <n v="10060"/>
    <s v="North"/>
    <x v="1"/>
    <x v="0"/>
    <s v="Male"/>
    <s v="Null"/>
  </r>
  <r>
    <s v="Pallavi Deshmukh"/>
    <n v="38"/>
    <s v="Female"/>
    <s v="Home &amp; Kitchen"/>
    <s v="Usha Iron"/>
    <n v="6"/>
    <n v="2795"/>
    <n v="40"/>
    <s v="UPI"/>
    <s v="Delivered"/>
    <x v="0"/>
    <n v="10062"/>
    <s v="East"/>
    <x v="2"/>
    <x v="3"/>
    <s v="Female"/>
    <s v="Dec"/>
  </r>
  <r>
    <s v="Ritu Bhatia"/>
    <n v="45"/>
    <s v="Male"/>
    <s v="Beauty"/>
    <s v="WOW Vitamin C Serum"/>
    <n v="9"/>
    <n v="1244"/>
    <n v="10"/>
    <s v="UPI"/>
    <s v="Delivered"/>
    <x v="0"/>
    <n v="10076.4"/>
    <s v="South"/>
    <x v="3"/>
    <x v="2"/>
    <s v="Male"/>
    <s v="Null"/>
  </r>
  <r>
    <s v="Vikram Mehta"/>
    <m/>
    <s v="Femle"/>
    <s v="Electronics"/>
    <s v="Dell Laptop i5"/>
    <n v="2"/>
    <n v="56100"/>
    <n v="10"/>
    <s v="UPI"/>
    <s v="Delivered"/>
    <x v="0"/>
    <n v="10098"/>
    <s v="East"/>
    <x v="2"/>
    <x v="0"/>
    <s v="Other"/>
    <s v="Null"/>
  </r>
  <r>
    <s v="Harish Menon"/>
    <n v="25"/>
    <s v="Male"/>
    <s v="Electronics"/>
    <s v="Sony Headphones"/>
    <n v="1"/>
    <n v="10100"/>
    <n v="10"/>
    <s v="UPI"/>
    <s v="Delivered"/>
    <x v="0"/>
    <n v="10100"/>
    <s v="North"/>
    <x v="1"/>
    <x v="0"/>
    <s v="Male"/>
    <s v="Apr"/>
  </r>
  <r>
    <s v="Nikhil Bose"/>
    <n v="28"/>
    <s v="Male"/>
    <s v="Home &amp; Kitchen"/>
    <s v="Milton Steel Bottles"/>
    <n v="9"/>
    <n v="1324"/>
    <n v="15"/>
    <s v="Cash"/>
    <s v="Delivered"/>
    <x v="0"/>
    <n v="10128.6"/>
    <s v="West"/>
    <x v="0"/>
    <x v="3"/>
    <s v="Male"/>
    <s v="Nov"/>
  </r>
  <r>
    <s v="Null"/>
    <n v="18"/>
    <s v="Male"/>
    <s v="Clothiing"/>
    <s v="Peter England Trousers"/>
    <n v="3"/>
    <n v="4250"/>
    <n v="20"/>
    <s v="Card"/>
    <s v="Delivered"/>
    <x v="0"/>
    <n v="10200"/>
    <s v="North"/>
    <x v="1"/>
    <x v="1"/>
    <s v="Male"/>
    <s v="Aug"/>
  </r>
  <r>
    <s v="Meera Nambiar"/>
    <n v="47"/>
    <s v="Male"/>
    <s v="Home &amp; Kitchen"/>
    <s v="Nilkamal Plastic Chair"/>
    <n v="8"/>
    <n v="1705"/>
    <n v="25"/>
    <s v="Card"/>
    <s v="Cancelled"/>
    <x v="2"/>
    <n v="10230"/>
    <s v="West"/>
    <x v="0"/>
    <x v="3"/>
    <s v="Male"/>
    <s v="Mar"/>
  </r>
  <r>
    <s v="Rohit Verma"/>
    <n v="65"/>
    <s v="Male"/>
    <s v="clothing"/>
    <s v="Nike Running Shoes"/>
    <n v="3"/>
    <n v="5700"/>
    <n v="40"/>
    <s v="Card"/>
    <s v="Delivered"/>
    <x v="0"/>
    <n v="10260"/>
    <s v="West"/>
    <x v="0"/>
    <x v="1"/>
    <s v="Male"/>
    <s v="Dec"/>
  </r>
  <r>
    <s v="Vikram Mehta"/>
    <n v="24"/>
    <s v="Male"/>
    <s v="Beauty"/>
    <s v="Forest Essentials Cream"/>
    <n v="5"/>
    <n v="2165"/>
    <n v="5"/>
    <s v="Card"/>
    <s v="Cancelled"/>
    <x v="2"/>
    <n v="10283.75"/>
    <s v="West"/>
    <x v="0"/>
    <x v="2"/>
    <s v="Male"/>
    <s v="Null"/>
  </r>
  <r>
    <s v="Deepika Rao"/>
    <n v="46"/>
    <s v="Male"/>
    <s v="Home &amp; Kitchen"/>
    <s v="Nilkamal Plastic Chair"/>
    <n v="7"/>
    <n v="1737"/>
    <n v="15"/>
    <s v="Crdit Card"/>
    <s v="returned"/>
    <x v="1"/>
    <n v="10335.15"/>
    <s v="North"/>
    <x v="1"/>
    <x v="3"/>
    <s v="Male"/>
    <s v="Dec"/>
  </r>
  <r>
    <s v="Suresh Joshi"/>
    <n v="23"/>
    <s v="Male"/>
    <s v="clothing"/>
    <s v="Nike Running Shoes"/>
    <n v="3"/>
    <n v="5750"/>
    <n v="40"/>
    <s v="UPI"/>
    <s v="Delivered"/>
    <x v="0"/>
    <n v="10350"/>
    <s v="North"/>
    <x v="1"/>
    <x v="1"/>
    <s v="Male"/>
    <s v="Sep"/>
  </r>
  <r>
    <s v="Nikhil Bose"/>
    <n v="53"/>
    <s v="Male"/>
    <s v="clothing"/>
    <s v="Manyavar Sherwani"/>
    <n v="2"/>
    <n v="6150"/>
    <n v="15"/>
    <s v="C.O.D"/>
    <s v="Delivered"/>
    <x v="0"/>
    <n v="10455"/>
    <s v="North"/>
    <x v="1"/>
    <x v="1"/>
    <s v="Male"/>
    <s v="Mar"/>
  </r>
  <r>
    <s v="Suresh Joshi"/>
    <n v="36"/>
    <s v="Female"/>
    <s v="Home &amp; Kitchen"/>
    <s v="Bajaj Mixer Grinder"/>
    <n v="6"/>
    <n v="2329"/>
    <n v="25"/>
    <s v="UPI"/>
    <s v="Delivered"/>
    <x v="0"/>
    <n v="10480.5"/>
    <s v="East"/>
    <x v="2"/>
    <x v="3"/>
    <s v="Female"/>
    <s v="Dec"/>
  </r>
  <r>
    <s v="Null"/>
    <n v="40"/>
    <s v="Female"/>
    <s v="clothing"/>
    <s v="Manyavar Sherwani"/>
    <n v="2"/>
    <n v="5600"/>
    <n v="5"/>
    <s v="Cash"/>
    <s v="Delivered"/>
    <x v="0"/>
    <n v="10640"/>
    <s v="East"/>
    <x v="2"/>
    <x v="1"/>
    <s v="Female"/>
    <s v="Oct"/>
  </r>
  <r>
    <s v="Vikram Mehta"/>
    <n v="27"/>
    <s v="Male"/>
    <s v="Elctronics"/>
    <s v="Lenovo Tab M10"/>
    <n v="1"/>
    <n v="15200"/>
    <n v="30"/>
    <s v="Card"/>
    <s v="Delivered"/>
    <x v="0"/>
    <n v="10640"/>
    <s v="East"/>
    <x v="2"/>
    <x v="0"/>
    <s v="Male"/>
    <s v="Jan"/>
  </r>
  <r>
    <s v="Tanvi Kulkarni"/>
    <n v="46"/>
    <s v="Female"/>
    <s v="Home &amp; Kitchen"/>
    <s v="Tupperware Set"/>
    <n v="5"/>
    <n v="2135"/>
    <n v="0"/>
    <s v="Cash"/>
    <s v="Cancelled"/>
    <x v="2"/>
    <n v="10675"/>
    <s v="East"/>
    <x v="2"/>
    <x v="3"/>
    <s v="Female"/>
    <s v="Oct"/>
  </r>
  <r>
    <s v="Lakshmi Krishnan"/>
    <n v="19"/>
    <s v="Femal"/>
    <s v="Home &amp; Kitchen"/>
    <s v="Pigeon Induction Cooktop"/>
    <n v="5"/>
    <n v="2191"/>
    <n v="0"/>
    <s v="Cash"/>
    <s v="Delivered"/>
    <x v="0"/>
    <n v="10955"/>
    <s v="East"/>
    <x v="2"/>
    <x v="3"/>
    <s v="Other"/>
    <s v="Null"/>
  </r>
  <r>
    <s v="Priya Patel"/>
    <n v="20"/>
    <s v="Male"/>
    <s v="Home &amp; Kitchen"/>
    <s v="Bajaj Mixer Grinder"/>
    <n v="5"/>
    <n v="2318"/>
    <n v="5"/>
    <s v="Card"/>
    <s v="returned"/>
    <x v="1"/>
    <n v="11010.5"/>
    <s v="West"/>
    <x v="0"/>
    <x v="3"/>
    <s v="Male"/>
    <s v="Feb"/>
  </r>
  <r>
    <s v="Null"/>
    <n v="23"/>
    <s v="Female"/>
    <s v="Electroni cs"/>
    <s v="Lenovo Tab M10"/>
    <n v="1"/>
    <n v="18400"/>
    <n v="40"/>
    <s v="Card"/>
    <s v="Delivered"/>
    <x v="0"/>
    <n v="11040"/>
    <s v="West"/>
    <x v="0"/>
    <x v="0"/>
    <s v="Female"/>
    <s v="Null"/>
  </r>
  <r>
    <s v="rohit verma"/>
    <n v="53"/>
    <s v="Female"/>
    <s v="Beauty"/>
    <s v="VLCC Gold Facial Kit"/>
    <n v="9"/>
    <n v="1242"/>
    <n v="0"/>
    <s v="UPI"/>
    <s v="Cancelled"/>
    <x v="2"/>
    <n v="11178"/>
    <s v="South"/>
    <x v="3"/>
    <x v="2"/>
    <s v="Female"/>
    <s v="Feb"/>
  </r>
  <r>
    <s v="Geeta Thakur"/>
    <n v="45"/>
    <s v="Male"/>
    <s v="Clthing"/>
    <s v="Levi's Jeans"/>
    <n v="3"/>
    <n v="3750"/>
    <m/>
    <s v="UPI"/>
    <s v="Cancelled"/>
    <x v="2"/>
    <n v="11250"/>
    <s v="North"/>
    <x v="1"/>
    <x v="1"/>
    <s v="Male"/>
    <s v="Null"/>
  </r>
  <r>
    <s v="Null"/>
    <n v="32"/>
    <s v="Female"/>
    <s v="clothing"/>
    <s v="Adidas Sneakers"/>
    <n v="2"/>
    <n v="5650"/>
    <n v="0"/>
    <s v="Card"/>
    <s v="Delivered"/>
    <x v="0"/>
    <n v="11300"/>
    <s v="West"/>
    <x v="0"/>
    <x v="1"/>
    <s v="Female"/>
    <s v="Null"/>
  </r>
  <r>
    <s v="Pranav Kulkarni"/>
    <n v="62"/>
    <s v="Other"/>
    <s v="Electronics"/>
    <s v="Sony Headphones"/>
    <n v="1"/>
    <n v="13300"/>
    <n v="15"/>
    <s v="Card"/>
    <s v="Delivered"/>
    <x v="0"/>
    <n v="11305"/>
    <s v="Est"/>
    <x v="2"/>
    <x v="0"/>
    <s v="Other"/>
    <s v="Dec"/>
  </r>
  <r>
    <s v="Null"/>
    <n v="28"/>
    <s v="Female"/>
    <s v="Home &amp; Kitchen"/>
    <s v="Prestige Pressure Cooker"/>
    <n v="4"/>
    <n v="2978"/>
    <n v="5"/>
    <s v="COD"/>
    <s v="Delivered"/>
    <x v="0"/>
    <n v="11316.4"/>
    <s v="East"/>
    <x v="2"/>
    <x v="3"/>
    <s v="Female"/>
    <s v="Null"/>
  </r>
  <r>
    <s v="Smita Desai"/>
    <n v="20"/>
    <s v="Male"/>
    <s v="clothing"/>
    <s v="Adidas Sneakers"/>
    <n v="3"/>
    <n v="7550"/>
    <n v="50"/>
    <s v="UPI"/>
    <s v="Delivered"/>
    <x v="0"/>
    <n v="11325"/>
    <s v="South"/>
    <x v="3"/>
    <x v="1"/>
    <s v="Male"/>
    <s v="May"/>
  </r>
  <r>
    <s v="Null"/>
    <n v="48"/>
    <s v="Other"/>
    <s v="clothing"/>
    <s v="Adidas Sneakers"/>
    <n v="2"/>
    <n v="5700"/>
    <n v="25"/>
    <s v="COD"/>
    <s v="Cancelled"/>
    <x v="2"/>
    <n v="11400"/>
    <s v="North"/>
    <x v="1"/>
    <x v="1"/>
    <s v="Other"/>
    <s v="Apr"/>
  </r>
  <r>
    <s v="Rekha Sinha"/>
    <n v="48"/>
    <s v="Female"/>
    <s v="clothing"/>
    <s v="Raymond Suit"/>
    <n v="2"/>
    <n v="5700"/>
    <n v="0"/>
    <s v="Csh"/>
    <s v="Delivered"/>
    <x v="0"/>
    <n v="11400"/>
    <s v="East"/>
    <x v="2"/>
    <x v="1"/>
    <s v="Female"/>
    <s v="Jun"/>
  </r>
  <r>
    <s v="Manoj Chauhan"/>
    <m/>
    <s v="Female"/>
    <s v="clothing"/>
    <s v="Manyavar Sherwani"/>
    <n v="2"/>
    <n v="5700"/>
    <n v="0"/>
    <s v="Cash"/>
    <s v="Delivered"/>
    <x v="0"/>
    <n v="11400"/>
    <s v="West"/>
    <x v="0"/>
    <x v="1"/>
    <s v="Female"/>
    <s v="Null"/>
  </r>
  <r>
    <s v="Rahul Gupta"/>
    <n v="200"/>
    <s v="Male"/>
    <s v="Electronics"/>
    <s v="HP Printer"/>
    <n v="2"/>
    <n v="11500"/>
    <n v="50"/>
    <s v="Cash"/>
    <s v="Cancelled"/>
    <x v="2"/>
    <n v="11500"/>
    <s v="East"/>
    <x v="2"/>
    <x v="0"/>
    <s v="Male"/>
    <s v="Sep"/>
  </r>
  <r>
    <s v="Rahul Gupta"/>
    <n v="200"/>
    <s v="Male"/>
    <s v="Electronics"/>
    <s v="HP Printer"/>
    <n v="2"/>
    <n v="11500"/>
    <n v="50"/>
    <s v="Cash"/>
    <s v="Cancelled"/>
    <x v="2"/>
    <n v="11500"/>
    <s v="East"/>
    <x v="2"/>
    <x v="0"/>
    <s v="Male"/>
    <s v="Sep"/>
  </r>
  <r>
    <s v="Neha Mishra"/>
    <n v="56"/>
    <s v="Female"/>
    <s v="clothing"/>
    <s v="Raymond Suit"/>
    <n v="3"/>
    <n v="7700"/>
    <n v="50"/>
    <s v="Cash"/>
    <s v="Delivered"/>
    <x v="0"/>
    <n v="11550"/>
    <s v="Eastt"/>
    <x v="2"/>
    <x v="1"/>
    <s v="Female"/>
    <s v="Dec"/>
  </r>
  <r>
    <s v="Nikhil Bose"/>
    <n v="44"/>
    <s v="Female"/>
    <s v="electrnics"/>
    <s v="Realme Smartphone"/>
    <n v="1"/>
    <n v="16500"/>
    <n v="30"/>
    <s v="COD"/>
    <s v="Cancelled"/>
    <x v="2"/>
    <n v="11550"/>
    <s v="North"/>
    <x v="1"/>
    <x v="0"/>
    <s v="Female"/>
    <s v="Oct"/>
  </r>
  <r>
    <s v="Gaurav Bansal"/>
    <n v="31"/>
    <s v="Male"/>
    <s v="Home &amp; Kitchen"/>
    <s v="Tupperware Set"/>
    <n v="10"/>
    <n v="1926"/>
    <n v="40"/>
    <s v="Card"/>
    <s v="Delivered"/>
    <x v="0"/>
    <n v="11556"/>
    <s v="West"/>
    <x v="0"/>
    <x v="3"/>
    <s v="Male"/>
    <s v="Aug"/>
  </r>
  <r>
    <s v="Nikhil Bose"/>
    <n v="56"/>
    <s v="Female"/>
    <s v="Home &amp; Kitchen"/>
    <s v="Orient Ceiling Fan"/>
    <n v="4"/>
    <n v="3622"/>
    <n v="20"/>
    <s v="Card"/>
    <s v="Delivered"/>
    <x v="0"/>
    <n v="11590.4"/>
    <s v="North"/>
    <x v="1"/>
    <x v="3"/>
    <s v="Female"/>
    <s v="Mar"/>
  </r>
  <r>
    <s v="Priya Patel"/>
    <n v="33"/>
    <s v="Male"/>
    <s v="Electronics"/>
    <s v="OnePlus 11 5G"/>
    <n v="2"/>
    <n v="61200"/>
    <n v="5"/>
    <s v="COD"/>
    <s v="Delivered"/>
    <x v="0"/>
    <n v="11628"/>
    <s v="W"/>
    <x v="0"/>
    <x v="0"/>
    <s v="Male"/>
    <s v="Apr"/>
  </r>
  <r>
    <s v="Deepika Rao"/>
    <n v="48"/>
    <s v="Male"/>
    <s v="Home &amp; Kitchen"/>
    <s v="Tupperware Set"/>
    <n v="5"/>
    <n v="3333"/>
    <n v="30"/>
    <s v="Card"/>
    <s v="Delivered"/>
    <x v="0"/>
    <n v="11665.5"/>
    <s v="North"/>
    <x v="1"/>
    <x v="3"/>
    <s v="Male"/>
    <s v="May"/>
  </r>
  <r>
    <s v="Nikhil Bose"/>
    <n v="40"/>
    <s v="Male"/>
    <s v="Home &amp; Kitchen"/>
    <s v="Godrej Almirah"/>
    <n v="9"/>
    <n v="14469"/>
    <n v="10"/>
    <s v="UPI"/>
    <s v="returned"/>
    <x v="1"/>
    <n v="11719.9"/>
    <s v="West"/>
    <x v="0"/>
    <x v="3"/>
    <s v="Male"/>
    <s v="May"/>
  </r>
  <r>
    <s v="Gaurav Bansal"/>
    <n v="38"/>
    <s v="Female"/>
    <s v="clothing"/>
    <s v="Nike Running Shoes"/>
    <n v="3"/>
    <n v="4350"/>
    <n v="10"/>
    <s v="UPI"/>
    <s v="Delivered"/>
    <x v="0"/>
    <n v="11745"/>
    <s v="South"/>
    <x v="3"/>
    <x v="1"/>
    <s v="Female"/>
    <s v="Mar"/>
  </r>
  <r>
    <s v="Anjali Srivastava"/>
    <n v="7"/>
    <s v="Male"/>
    <s v="clothing"/>
    <s v="Manyavar Sherwani"/>
    <n v="2"/>
    <n v="7350"/>
    <n v="20"/>
    <s v="UPI"/>
    <s v="Delivered"/>
    <x v="0"/>
    <n v="11760"/>
    <s v="West"/>
    <x v="0"/>
    <x v="1"/>
    <s v="Male"/>
    <s v="Null"/>
  </r>
  <r>
    <s v="Null"/>
    <n v="34"/>
    <s v="Female"/>
    <s v="Beauty"/>
    <s v="Maybelline Lipstick"/>
    <n v="20"/>
    <n v="589"/>
    <n v="0"/>
    <s v="Cash"/>
    <s v="Delivered"/>
    <x v="0"/>
    <n v="11780"/>
    <s v="West"/>
    <x v="0"/>
    <x v="2"/>
    <s v="Female"/>
    <s v="Dec"/>
  </r>
  <r>
    <s v="Null"/>
    <n v="27"/>
    <s v="Male"/>
    <s v="Home &amp; Kitchen"/>
    <s v="Asian Paints 4L"/>
    <n v="6"/>
    <n v="2624"/>
    <n v="25"/>
    <s v="Cash"/>
    <s v="Cancelled"/>
    <x v="2"/>
    <n v="11808"/>
    <s v="West"/>
    <x v="0"/>
    <x v="3"/>
    <s v="Male"/>
    <s v="May"/>
  </r>
  <r>
    <s v="Rekha Sinha"/>
    <n v="60"/>
    <s v="Female"/>
    <s v="clothing"/>
    <s v="Peter England Trousers"/>
    <n v="3"/>
    <n v="3950"/>
    <n v="0"/>
    <s v="COD"/>
    <s v="Delivered"/>
    <x v="0"/>
    <n v="11850"/>
    <s v="Nort"/>
    <x v="1"/>
    <x v="1"/>
    <s v="Female"/>
    <s v="Aug"/>
  </r>
  <r>
    <s v="Shweta Ghosh"/>
    <n v="47"/>
    <s v="Female"/>
    <s v="Beauty"/>
    <s v="Maybelline Lipstick"/>
    <n v="20"/>
    <n v="569"/>
    <n v="-5"/>
    <s v="Csh"/>
    <s v="returned"/>
    <x v="1"/>
    <n v="11949"/>
    <s v="South"/>
    <x v="3"/>
    <x v="2"/>
    <s v="Female"/>
    <s v="Null"/>
  </r>
  <r>
    <s v="Null"/>
    <n v="29"/>
    <s v="Male"/>
    <s v="Home and Kitchen"/>
    <s v="Asian Paints 4L"/>
    <n v="2"/>
    <n v="2136"/>
    <n v="30"/>
    <s v="UPI"/>
    <s v="Delivered"/>
    <x v="0"/>
    <n v="11961.6"/>
    <s v="South"/>
    <x v="3"/>
    <x v="3"/>
    <s v="Male"/>
    <s v="Apr"/>
  </r>
  <r>
    <s v="Swati Jain"/>
    <m/>
    <s v="Female"/>
    <s v="Home &amp; Kitchen"/>
    <s v="Hawkins Cookware Set"/>
    <n v="2"/>
    <n v="6020"/>
    <n v="0"/>
    <s v="Csh"/>
    <s v="Cancelled"/>
    <x v="2"/>
    <n v="12040"/>
    <s v="West"/>
    <x v="0"/>
    <x v="3"/>
    <s v="Female"/>
    <s v="Null"/>
  </r>
  <r>
    <s v="Ashok Yadav"/>
    <n v="999"/>
    <s v="Female"/>
    <s v="clothing"/>
    <s v="Raymond Suit"/>
    <n v="2"/>
    <n v="6700"/>
    <n v="10"/>
    <s v="COD"/>
    <s v="Delivered"/>
    <x v="0"/>
    <n v="12060"/>
    <s v="North"/>
    <x v="1"/>
    <x v="1"/>
    <s v="Female"/>
    <s v="Mar"/>
  </r>
  <r>
    <s v="Rahul Gupta"/>
    <n v="42"/>
    <s v="Female"/>
    <s v="Electronics"/>
    <s v="Realme Smartphone"/>
    <n v="1"/>
    <n v="20200"/>
    <n v="40"/>
    <s v="UPI"/>
    <s v="returned"/>
    <x v="1"/>
    <n v="12120"/>
    <s v="North"/>
    <x v="1"/>
    <x v="0"/>
    <s v="Female"/>
    <s v="Nov"/>
  </r>
  <r>
    <s v="Null"/>
    <n v="21"/>
    <s v="Female"/>
    <s v="Home &amp; Kitchen"/>
    <s v="Bajaj Mixer Grinder"/>
    <n v="5"/>
    <n v="3247"/>
    <n v="25"/>
    <s v="Card"/>
    <s v="Delivered"/>
    <x v="0"/>
    <n v="12176.25"/>
    <s v="South"/>
    <x v="3"/>
    <x v="3"/>
    <s v="Female"/>
    <s v="Apr"/>
  </r>
  <r>
    <s v="Null"/>
    <n v="42"/>
    <s v="Female"/>
    <s v="Home &amp; Kitchen"/>
    <s v="Prestige Pressure Cooker"/>
    <n v="4"/>
    <n v="4391"/>
    <n v="30"/>
    <s v="Card"/>
    <s v="Delvered"/>
    <x v="0"/>
    <n v="12294.8"/>
    <s v="North"/>
    <x v="1"/>
    <x v="3"/>
    <s v="Female"/>
    <s v="Sep"/>
  </r>
  <r>
    <s v="Sanjay Dubey"/>
    <n v="55"/>
    <s v="Male"/>
    <s v="Electronics"/>
    <s v="Samsung Smart TV 43&quot;"/>
    <n v="1"/>
    <n v="49400"/>
    <n v="75"/>
    <s v="UPI"/>
    <s v="Cancelled"/>
    <x v="2"/>
    <n v="12350"/>
    <s v="East"/>
    <x v="2"/>
    <x v="0"/>
    <s v="Male"/>
    <s v="Null"/>
  </r>
  <r>
    <s v="Pranav Kulkarni"/>
    <n v="18"/>
    <s v="Male"/>
    <s v="Electronics"/>
    <s v="JBL Bluetooth Speaker"/>
    <n v="2"/>
    <n v="6500"/>
    <n v="5"/>
    <s v="U.P.I"/>
    <s v="Cancelled"/>
    <x v="2"/>
    <n v="12350"/>
    <s v="West"/>
    <x v="0"/>
    <x v="0"/>
    <s v="Male"/>
    <s v="Null"/>
  </r>
  <r>
    <s v="Deepika Rao"/>
    <n v="30"/>
    <s v="Female"/>
    <s v="Home &amp; Kitchen"/>
    <s v="Philips Air Fryer"/>
    <n v="2"/>
    <n v="6230"/>
    <n v="0"/>
    <s v="Card"/>
    <s v="Delivered"/>
    <x v="0"/>
    <n v="12460"/>
    <s v="South"/>
    <x v="3"/>
    <x v="3"/>
    <s v="Female"/>
    <s v="May"/>
  </r>
  <r>
    <s v="Pooja Nair"/>
    <n v="60"/>
    <s v="Femal"/>
    <s v="clothing"/>
    <s v="Biba Salwar Suit"/>
    <n v="3"/>
    <n v="4900"/>
    <n v="15"/>
    <s v="Cash"/>
    <s v="Delivered"/>
    <x v="0"/>
    <n v="12495"/>
    <s v="North"/>
    <x v="1"/>
    <x v="1"/>
    <s v="Other"/>
    <s v="Dec"/>
  </r>
  <r>
    <s v="Gaurav Bansal"/>
    <n v="62"/>
    <s v="Male"/>
    <s v="clothing"/>
    <s v="W Ethnic Wear"/>
    <n v="2"/>
    <n v="1850"/>
    <n v="15"/>
    <s v="UPI"/>
    <s v="Delivered"/>
    <x v="0"/>
    <n v="12580"/>
    <s v="East"/>
    <x v="2"/>
    <x v="1"/>
    <s v="Male"/>
    <s v="Nov"/>
  </r>
  <r>
    <s v="Vinod Patil"/>
    <n v="21"/>
    <s v="Female"/>
    <s v="clothing"/>
    <s v="Adidas Sneakers"/>
    <n v="2"/>
    <n v="6700"/>
    <n v="5"/>
    <s v="Cash"/>
    <s v="Cancelled"/>
    <x v="2"/>
    <n v="12730"/>
    <s v="North"/>
    <x v="1"/>
    <x v="1"/>
    <s v="Female"/>
    <s v="Mar"/>
  </r>
  <r>
    <s v="Sanjay Dubey"/>
    <n v="58"/>
    <s v="Male"/>
    <s v="Home &amp; Kitchen"/>
    <s v="Pigeon Induction Cooktop"/>
    <n v="6"/>
    <n v="2238"/>
    <n v="5"/>
    <s v="UPI"/>
    <s v="Delivered"/>
    <x v="0"/>
    <n v="12756.6"/>
    <s v="North"/>
    <x v="1"/>
    <x v="3"/>
    <s v="Male"/>
    <s v="Jul"/>
  </r>
  <r>
    <s v="Neha Mishra"/>
    <n v="34"/>
    <s v="F"/>
    <s v="Electronics"/>
    <s v="HP Printer"/>
    <n v="1"/>
    <n v="12800"/>
    <m/>
    <s v="COD"/>
    <s v="Delivered"/>
    <x v="0"/>
    <n v="12800"/>
    <s v="West"/>
    <x v="0"/>
    <x v="0"/>
    <s v="Female"/>
    <s v="Nov"/>
  </r>
  <r>
    <s v="Lakshmi Krishnan"/>
    <n v="25"/>
    <s v="Other"/>
    <s v="clothing"/>
    <s v="Nike Running Shoes"/>
    <n v="3"/>
    <n v="4800"/>
    <n v="10"/>
    <s v="Card"/>
    <s v="Cancelled"/>
    <x v="2"/>
    <n v="12960"/>
    <s v="South"/>
    <x v="3"/>
    <x v="1"/>
    <s v="Other"/>
    <s v="Apr"/>
  </r>
  <r>
    <s v="Null"/>
    <n v="34"/>
    <s v="Male"/>
    <s v="clothing"/>
    <s v="Nike Running Shoes"/>
    <n v="3"/>
    <n v="7250"/>
    <n v="40"/>
    <s v="UPI"/>
    <s v="Delivered"/>
    <x v="0"/>
    <n v="13050"/>
    <s v="East"/>
    <x v="2"/>
    <x v="1"/>
    <s v="Male"/>
    <s v="Null"/>
  </r>
  <r>
    <s v="Null"/>
    <n v="18"/>
    <s v="Female"/>
    <s v="clothing"/>
    <s v="Peter England Trousers"/>
    <n v="3"/>
    <n v="4400"/>
    <n v="0"/>
    <s v="UPI"/>
    <s v="Delivered"/>
    <x v="0"/>
    <n v="13200"/>
    <s v="West"/>
    <x v="0"/>
    <x v="1"/>
    <s v="Female"/>
    <s v="Nov"/>
  </r>
  <r>
    <s v="Pooja Nair"/>
    <n v="42"/>
    <s v="Female"/>
    <s v="Electronics"/>
    <s v="Lenovo Tab M10"/>
    <n v="2"/>
    <n v="18400"/>
    <n v="10"/>
    <s v="Crdit Card"/>
    <s v="Delivered"/>
    <x v="0"/>
    <n v="13248"/>
    <s v="East"/>
    <x v="2"/>
    <x v="0"/>
    <s v="Female"/>
    <s v="May"/>
  </r>
  <r>
    <s v="Null"/>
    <n v="45"/>
    <s v="Other"/>
    <s v="Home &amp; Kitchen"/>
    <s v="Philips Air Fryer"/>
    <n v="2"/>
    <n v="6974"/>
    <n v="5"/>
    <s v="Cash"/>
    <s v="Delivered"/>
    <x v="0"/>
    <n v="13250.6"/>
    <s v="North"/>
    <x v="1"/>
    <x v="3"/>
    <s v="Other"/>
    <s v="Feb"/>
  </r>
  <r>
    <s v="Shweta Ghosh"/>
    <n v="47"/>
    <s v="Female"/>
    <s v="Electronics"/>
    <s v="HP Printer"/>
    <n v="1"/>
    <n v="13300"/>
    <n v="0"/>
    <s v="COD"/>
    <s v="returned"/>
    <x v="1"/>
    <n v="13300"/>
    <s v="West"/>
    <x v="0"/>
    <x v="0"/>
    <s v="Female"/>
    <s v="Dec"/>
  </r>
  <r>
    <s v="Rekha Sinha"/>
    <n v="59"/>
    <s v="Male"/>
    <s v="Electronics"/>
    <s v="Canon DSLR Camera"/>
    <n v="2"/>
    <n v="67000"/>
    <m/>
    <s v="COD"/>
    <s v="Delivered"/>
    <x v="0"/>
    <n v="13400"/>
    <s v="West"/>
    <x v="0"/>
    <x v="0"/>
    <s v="Male"/>
    <s v="Dec"/>
  </r>
  <r>
    <s v="Sanjay Dubey"/>
    <n v="63"/>
    <s v="Female"/>
    <s v="Beauty"/>
    <s v="WOW Vitamin C Serum"/>
    <n v="10"/>
    <n v="1344"/>
    <n v="0"/>
    <s v="Card"/>
    <s v="Delivered"/>
    <x v="0"/>
    <n v="13440"/>
    <s v="North"/>
    <x v="1"/>
    <x v="2"/>
    <s v="Female"/>
    <s v="Null"/>
  </r>
  <r>
    <s v="Rekha Sinha"/>
    <n v="32"/>
    <s v="Female"/>
    <s v="Home &amp; Kitchen"/>
    <s v="Tupperware Set"/>
    <n v="5"/>
    <n v="3369"/>
    <n v="20"/>
    <s v="UPI"/>
    <s v="Delivered"/>
    <x v="0"/>
    <n v="13476"/>
    <s v="North"/>
    <x v="1"/>
    <x v="3"/>
    <s v="Female"/>
    <s v="Aug"/>
  </r>
  <r>
    <s v="Null"/>
    <n v="54"/>
    <s v="Male"/>
    <s v="Home &amp; Kitchen"/>
    <s v="Asian Paints 4L"/>
    <n v="5"/>
    <n v="2697"/>
    <m/>
    <s v="UPI"/>
    <s v="Delivered"/>
    <x v="0"/>
    <n v="13485"/>
    <s v="East"/>
    <x v="2"/>
    <x v="3"/>
    <s v="Male"/>
    <s v="Null"/>
  </r>
  <r>
    <s v="Anjali Srivastava"/>
    <n v="27"/>
    <s v="Female"/>
    <s v="clothing"/>
    <s v="Puma Track Suit"/>
    <n v="3"/>
    <n v="4500"/>
    <n v="0"/>
    <s v="UPI"/>
    <s v="Delivered"/>
    <x v="0"/>
    <n v="13500"/>
    <s v="South"/>
    <x v="3"/>
    <x v="1"/>
    <s v="Female"/>
    <s v="Apr"/>
  </r>
  <r>
    <s v="Ashok Yadav"/>
    <n v="52"/>
    <s v="Mle"/>
    <s v="clothing"/>
    <s v="Puma Track Suit"/>
    <n v="3"/>
    <n v="5300"/>
    <n v="15"/>
    <s v="UPI"/>
    <s v="Delivered"/>
    <x v="0"/>
    <n v="13515"/>
    <s v="North"/>
    <x v="1"/>
    <x v="1"/>
    <s v="Other"/>
    <s v="Nov"/>
  </r>
  <r>
    <s v="Vikas Saxena"/>
    <n v="40"/>
    <s v="Mle"/>
    <s v="Home &amp; Kitchen"/>
    <s v="Asian Paints 4L"/>
    <n v="6"/>
    <n v="2523"/>
    <n v="10"/>
    <s v="COD"/>
    <s v="Returnd"/>
    <x v="1"/>
    <n v="13624.2"/>
    <s v="East"/>
    <x v="2"/>
    <x v="3"/>
    <s v="Other"/>
    <s v="Null"/>
  </r>
  <r>
    <s v="Manoj Chauhan"/>
    <n v="42"/>
    <s v="Female"/>
    <s v="Clthing"/>
    <s v="Puma Track Suit"/>
    <n v="3"/>
    <n v="4800"/>
    <n v="5"/>
    <s v="UPI"/>
    <s v="Delivered"/>
    <x v="0"/>
    <n v="13680"/>
    <s v="East"/>
    <x v="2"/>
    <x v="1"/>
    <s v="Female"/>
    <s v="Oct"/>
  </r>
  <r>
    <s v="Vinod Patil"/>
    <n v="31"/>
    <s v="Female"/>
    <s v="Home &amp; Kitchen"/>
    <s v="Usha Iron"/>
    <n v="7"/>
    <n v="2173"/>
    <n v="10"/>
    <s v="UPI"/>
    <s v="Delivered"/>
    <x v="0"/>
    <n v="13689.9"/>
    <s v="North"/>
    <x v="1"/>
    <x v="3"/>
    <s v="Female"/>
    <s v="Sep"/>
  </r>
  <r>
    <s v="Manoj Chauhan"/>
    <n v="64"/>
    <s v="Male"/>
    <s v="Home &amp; Kitchen"/>
    <s v="Bajaj Mixer Grinder"/>
    <n v="4"/>
    <n v="3456"/>
    <m/>
    <s v="COD"/>
    <s v="Cancelled"/>
    <x v="2"/>
    <n v="13824"/>
    <s v="East"/>
    <x v="2"/>
    <x v="3"/>
    <s v="Male"/>
    <s v="Oct"/>
  </r>
  <r>
    <s v="Pranav Kulkarni"/>
    <n v="59"/>
    <s v="Female"/>
    <s v="Electronics"/>
    <s v="Realme Smartphone"/>
    <n v="1"/>
    <n v="18700"/>
    <n v="25"/>
    <s v="Cash"/>
    <s v="Delivered"/>
    <x v="0"/>
    <n v="14025"/>
    <s v="East"/>
    <x v="2"/>
    <x v="0"/>
    <s v="Female"/>
    <s v="Jan"/>
  </r>
  <r>
    <s v="Pranav Kulkarni"/>
    <n v="59"/>
    <s v="Female"/>
    <s v="Electronics"/>
    <s v="Realme Smartphone"/>
    <n v="1"/>
    <n v="18700"/>
    <n v="25"/>
    <s v="Cash"/>
    <s v="Delivered"/>
    <x v="0"/>
    <n v="14025"/>
    <s v="East"/>
    <x v="2"/>
    <x v="0"/>
    <s v="Female"/>
    <s v="Jan"/>
  </r>
  <r>
    <s v="Pooja Nair"/>
    <n v="53"/>
    <s v="Male"/>
    <s v="clothing"/>
    <s v="Nike Running Shoes"/>
    <n v="3"/>
    <n v="6800"/>
    <n v="30"/>
    <s v="Cash"/>
    <s v="Delivered"/>
    <x v="0"/>
    <n v="14280"/>
    <s v="South"/>
    <x v="3"/>
    <x v="1"/>
    <s v="Male"/>
    <s v="Mar"/>
  </r>
  <r>
    <s v="Manish Agarwal"/>
    <n v="47"/>
    <s v="Female"/>
    <s v="Home &amp; Kitchen"/>
    <s v="Bajaj Mixer Grinder"/>
    <n v="5"/>
    <n v="2723"/>
    <n v="-5"/>
    <s v="UPI"/>
    <s v="Cancelled"/>
    <x v="2"/>
    <n v="14295.75"/>
    <s v="East"/>
    <x v="2"/>
    <x v="3"/>
    <s v="Female"/>
    <s v="Aug"/>
  </r>
  <r>
    <s v="Null"/>
    <n v="25"/>
    <s v="Female"/>
    <s v="Home &amp; Kitchen"/>
    <s v="Usha Iron"/>
    <n v="10"/>
    <n v="1907"/>
    <n v="25"/>
    <s v="Card"/>
    <s v="Cancelled"/>
    <x v="2"/>
    <n v="14302.5"/>
    <s v="North"/>
    <x v="1"/>
    <x v="3"/>
    <s v="Female"/>
    <s v="Jan"/>
  </r>
  <r>
    <s v="Ashok Yadav"/>
    <n v="60"/>
    <s v="Female"/>
    <s v="Beauty"/>
    <s v="Forest Essentials Cream"/>
    <n v="4"/>
    <n v="4225"/>
    <n v="15"/>
    <s v="Card"/>
    <s v="Delivered"/>
    <x v="0"/>
    <n v="14365"/>
    <s v="East"/>
    <x v="2"/>
    <x v="2"/>
    <s v="Female"/>
    <s v="Dec"/>
  </r>
  <r>
    <s v="Rohit Verma"/>
    <n v="27"/>
    <s v="Male"/>
    <s v="clothing"/>
    <s v="Biba Salwar Suit"/>
    <n v="3"/>
    <n v="4800"/>
    <n v="0"/>
    <s v="UPI"/>
    <s v="Cancelled"/>
    <x v="2"/>
    <n v="14400"/>
    <s v="South"/>
    <x v="3"/>
    <x v="1"/>
    <s v="Male"/>
    <s v="Null"/>
  </r>
  <r>
    <s v="Null"/>
    <n v="47"/>
    <s v="Male"/>
    <s v="Home &amp; Kitchen"/>
    <s v="Orient Ceiling Fan"/>
    <n v="7"/>
    <n v="2942"/>
    <n v="30"/>
    <s v="UPI"/>
    <s v="Delivered"/>
    <x v="0"/>
    <n v="14415.8"/>
    <s v="North"/>
    <x v="1"/>
    <x v="3"/>
    <s v="Male"/>
    <s v="Jul"/>
  </r>
  <r>
    <s v="Rekha Sinha"/>
    <n v="26"/>
    <s v="Male"/>
    <s v="Home &amp; Kitchen"/>
    <s v="Hawkins Cookware Set"/>
    <n v="3"/>
    <n v="6012"/>
    <n v="20"/>
    <s v="Card"/>
    <s v="Cancelled"/>
    <x v="2"/>
    <n v="14428.8"/>
    <s v="South"/>
    <x v="3"/>
    <x v="3"/>
    <s v="Male"/>
    <s v="Null"/>
  </r>
  <r>
    <s v="Nikhil Bose"/>
    <n v="46"/>
    <s v="Male"/>
    <s v="Electronics"/>
    <s v="Canon DSLR Camera"/>
    <n v="2"/>
    <n v="76600"/>
    <n v="5"/>
    <s v="Cash"/>
    <s v="Delivered"/>
    <x v="0"/>
    <n v="14554"/>
    <s v="West"/>
    <x v="0"/>
    <x v="0"/>
    <s v="Male"/>
    <s v="Dec"/>
  </r>
  <r>
    <s v="Deepika Rao"/>
    <n v="25"/>
    <s v="Male"/>
    <s v="Electronics"/>
    <s v="HP Printer"/>
    <n v="1"/>
    <n v="14600"/>
    <n v="20"/>
    <s v="Card"/>
    <s v="Delivered"/>
    <x v="0"/>
    <n v="14600"/>
    <s v="North"/>
    <x v="1"/>
    <x v="0"/>
    <s v="Male"/>
    <s v="Sep"/>
  </r>
  <r>
    <s v="Pooja Nair"/>
    <n v="40"/>
    <s v="Male"/>
    <s v="Beauty"/>
    <s v="VLCC Gold Facial Kit"/>
    <n v="10"/>
    <n v="1540"/>
    <n v="5"/>
    <s v="UPI"/>
    <s v="Cancelled"/>
    <x v="2"/>
    <n v="14630"/>
    <s v="West"/>
    <x v="0"/>
    <x v="2"/>
    <s v="Male"/>
    <s v="Sep"/>
  </r>
  <r>
    <s v="Nikhil Bose"/>
    <m/>
    <s v="Female"/>
    <s v="Hme &amp; Kitchen"/>
    <s v="Hawkins Cookware Set"/>
    <n v="4"/>
    <n v="4083"/>
    <n v="10"/>
    <s v="Card"/>
    <s v="Delivered"/>
    <x v="0"/>
    <n v="14698.8"/>
    <s v="North"/>
    <x v="1"/>
    <x v="3"/>
    <s v="Female"/>
    <s v="Oct"/>
  </r>
  <r>
    <s v="Priyanka Choudhary"/>
    <n v="54"/>
    <s v="Female"/>
    <s v="Electronics"/>
    <s v="Sony Headphones"/>
    <n v="1"/>
    <n v="14700"/>
    <n v="0"/>
    <s v="UPI"/>
    <s v="Delivered"/>
    <x v="0"/>
    <n v="14700"/>
    <s v="East"/>
    <x v="2"/>
    <x v="0"/>
    <s v="Female"/>
    <s v="Apr"/>
  </r>
  <r>
    <s v="Meera Nambiar"/>
    <n v="33"/>
    <s v="Male"/>
    <s v="Electronics"/>
    <s v="Dell Laptop i5"/>
    <n v="2"/>
    <n v="73700"/>
    <n v="0"/>
    <s v="Debit Card"/>
    <s v="Delivered"/>
    <x v="0"/>
    <n v="14740"/>
    <s v="South"/>
    <x v="3"/>
    <x v="0"/>
    <s v="Male"/>
    <s v="Mar"/>
  </r>
  <r>
    <s v="Sanjay Dubey"/>
    <n v="32"/>
    <s v="Male"/>
    <s v="clothing"/>
    <s v="Raymond Suit"/>
    <n v="1"/>
    <n v="6150"/>
    <n v="40"/>
    <s v="UPI"/>
    <s v="Delivered"/>
    <x v="0"/>
    <n v="14760"/>
    <s v="North"/>
    <x v="1"/>
    <x v="1"/>
    <s v="Male"/>
    <s v="Oct"/>
  </r>
  <r>
    <s v="Lakshmi Krishnan"/>
    <n v="61"/>
    <s v="Female"/>
    <s v="Home &amp; Kitchen"/>
    <s v="Bajaj Mixer Grinder"/>
    <n v="5"/>
    <n v="4220"/>
    <n v="30"/>
    <s v="Card"/>
    <s v="Cancelled"/>
    <x v="2"/>
    <n v="14770"/>
    <s v="North"/>
    <x v="1"/>
    <x v="3"/>
    <s v="Female"/>
    <s v="Apr"/>
  </r>
  <r>
    <s v="Shweta Ghosh"/>
    <n v="61"/>
    <s v="Female"/>
    <s v="clothing"/>
    <s v="Manyavar Sherwani"/>
    <n v="2"/>
    <n v="7800"/>
    <n v="5"/>
    <s v="Card"/>
    <s v="Delivered"/>
    <x v="0"/>
    <n v="14820"/>
    <s v="West"/>
    <x v="0"/>
    <x v="1"/>
    <s v="Female"/>
    <s v="Feb"/>
  </r>
  <r>
    <s v="Null"/>
    <n v="62"/>
    <s v="Female"/>
    <s v="Home &amp; Kitchen"/>
    <s v="Bajaj Mixer Grinder"/>
    <n v="10"/>
    <n v="2968"/>
    <n v="50"/>
    <s v="COD"/>
    <s v="Delivered"/>
    <x v="0"/>
    <n v="14840"/>
    <s v="East"/>
    <x v="2"/>
    <x v="3"/>
    <s v="Female"/>
    <s v="May"/>
  </r>
  <r>
    <s v="Shweta Ghosh"/>
    <n v="55"/>
    <s v="Female"/>
    <s v="Home &amp; Kitchen"/>
    <s v="Usha Iron"/>
    <n v="10"/>
    <n v="1685"/>
    <n v="10"/>
    <s v="UPI"/>
    <s v="returned"/>
    <x v="1"/>
    <n v="15165"/>
    <s v="East"/>
    <x v="2"/>
    <x v="3"/>
    <s v="Female"/>
    <s v="Sep"/>
  </r>
  <r>
    <s v="Null"/>
    <n v="26"/>
    <s v="Male"/>
    <s v="Electronics"/>
    <s v="iPhone 14"/>
    <n v="2"/>
    <n v="79900"/>
    <n v="5"/>
    <s v="Debit Card"/>
    <s v="Delivered"/>
    <x v="0"/>
    <n v="15181"/>
    <s v="N"/>
    <x v="1"/>
    <x v="0"/>
    <s v="Male"/>
    <s v="Jul"/>
  </r>
  <r>
    <s v="Suresh Joshi"/>
    <n v="62"/>
    <s v="Female"/>
    <s v="Home &amp; Kitchen"/>
    <s v="Usha Iron"/>
    <n v="6"/>
    <n v="2823"/>
    <n v="10"/>
    <s v="Cash"/>
    <s v="Delivered"/>
    <x v="0"/>
    <n v="15244.2"/>
    <s v="Wst"/>
    <x v="0"/>
    <x v="3"/>
    <s v="Female"/>
    <s v="Null"/>
  </r>
  <r>
    <s v="Shweta Ghosh"/>
    <n v="55"/>
    <s v="Male"/>
    <s v="Electronics"/>
    <s v="iPhone 14"/>
    <n v="2"/>
    <n v="84700"/>
    <n v="10"/>
    <s v="U.P.I"/>
    <s v="returned"/>
    <x v="1"/>
    <n v="15246"/>
    <s v="South"/>
    <x v="3"/>
    <x v="0"/>
    <s v="Male"/>
    <s v="Nov"/>
  </r>
  <r>
    <s v="Shweta Ghosh"/>
    <n v="7"/>
    <s v="Male"/>
    <s v="clothing"/>
    <s v="Nike Running Shoes"/>
    <n v="3"/>
    <n v="5750"/>
    <n v="10"/>
    <s v="UPI"/>
    <s v="Cancelled"/>
    <x v="2"/>
    <n v="15525"/>
    <s v="West"/>
    <x v="0"/>
    <x v="1"/>
    <s v="Male"/>
    <s v="Jul"/>
  </r>
  <r>
    <s v="Null"/>
    <n v="31"/>
    <s v="Female"/>
    <s v="Home &amp; Kitchen"/>
    <s v="Asian Paints 4L"/>
    <n v="7"/>
    <n v="2356"/>
    <n v="5"/>
    <s v="UPI"/>
    <s v="returned"/>
    <x v="1"/>
    <n v="15667.4"/>
    <s v="North"/>
    <x v="1"/>
    <x v="3"/>
    <s v="Female"/>
    <s v="Null"/>
  </r>
  <r>
    <s v="Kavya Reddy"/>
    <n v="62"/>
    <s v="Male"/>
    <s v="Electronics"/>
    <s v="Lenovo Tab M10"/>
    <n v="1"/>
    <n v="15900"/>
    <n v="0"/>
    <s v="Cash"/>
    <s v="Cancelled"/>
    <x v="2"/>
    <n v="15900"/>
    <s v="North"/>
    <x v="1"/>
    <x v="0"/>
    <s v="Male"/>
    <s v="Oct"/>
  </r>
  <r>
    <s v="Vikram Mehta"/>
    <n v="61"/>
    <s v="Female"/>
    <s v="clothing"/>
    <s v="Adidas Sneakers"/>
    <n v="3"/>
    <n v="5950"/>
    <n v="10"/>
    <s v="Card"/>
    <s v="Delivered"/>
    <x v="0"/>
    <n v="16065"/>
    <s v="Westt"/>
    <x v="0"/>
    <x v="1"/>
    <s v="Female"/>
    <s v="Jul"/>
  </r>
  <r>
    <s v="Pallavi Deshmukh"/>
    <n v="31"/>
    <s v="Female"/>
    <s v="Electroni cs"/>
    <s v="iPhone 14"/>
    <n v="2"/>
    <n v="80700"/>
    <m/>
    <s v="Card"/>
    <s v="Delivered"/>
    <x v="0"/>
    <n v="16140"/>
    <s v="East"/>
    <x v="2"/>
    <x v="0"/>
    <s v="Female"/>
    <s v="Dec"/>
  </r>
  <r>
    <s v="Null"/>
    <n v="5"/>
    <s v="Female"/>
    <s v="Electronics"/>
    <s v="iPhone 14"/>
    <n v="2"/>
    <n v="80800"/>
    <n v="0"/>
    <s v="Cash"/>
    <s v="Delivered"/>
    <x v="0"/>
    <n v="16160"/>
    <s v="East"/>
    <x v="2"/>
    <x v="0"/>
    <s v="Female"/>
    <s v="Aug"/>
  </r>
  <r>
    <s v="Rahul Gupta"/>
    <n v="38"/>
    <s v="Male"/>
    <s v="Home &amp; Kitchen"/>
    <s v="Usha Iron"/>
    <n v="8"/>
    <n v="2700"/>
    <n v="25"/>
    <s v="Card"/>
    <s v="Delivered"/>
    <x v="0"/>
    <n v="16200"/>
    <s v="East"/>
    <x v="2"/>
    <x v="3"/>
    <s v="Male"/>
    <s v="Null"/>
  </r>
  <r>
    <s v="Sanjay Dubey"/>
    <n v="24"/>
    <s v="Male"/>
    <s v="Electronics"/>
    <s v="Lenovo Tab M10"/>
    <n v="2"/>
    <n v="16200"/>
    <n v="50"/>
    <s v="Card"/>
    <s v="Delivered"/>
    <x v="0"/>
    <n v="16200"/>
    <s v="North"/>
    <x v="1"/>
    <x v="0"/>
    <s v="Male"/>
    <s v="Oct"/>
  </r>
  <r>
    <s v="Null"/>
    <m/>
    <s v="Male"/>
    <s v="Home &amp; Kitchen"/>
    <s v="Nilkamal Plastic Chair"/>
    <n v="9"/>
    <n v="2129"/>
    <n v="15"/>
    <s v="COD"/>
    <s v="Cancelled"/>
    <x v="2"/>
    <n v="16286.85"/>
    <s v="East"/>
    <x v="2"/>
    <x v="3"/>
    <s v="Male"/>
    <s v="Null"/>
  </r>
  <r>
    <s v="Rajesh Tiwari"/>
    <n v="55"/>
    <s v="Male"/>
    <s v="BEUTY"/>
    <s v="Forest Essentials Cream"/>
    <n v="99"/>
    <n v="3301"/>
    <n v="50"/>
    <s v="UPI"/>
    <s v="Delivered"/>
    <x v="0"/>
    <n v="16339.5"/>
    <s v="North"/>
    <x v="1"/>
    <x v="2"/>
    <s v="Male"/>
    <s v="Null"/>
  </r>
  <r>
    <s v="Vikram Mehta"/>
    <n v="24"/>
    <s v="F"/>
    <s v="Home &amp; Kitchen"/>
    <s v="Asian Paints 4L"/>
    <n v="10"/>
    <n v="1730"/>
    <n v="5"/>
    <s v="Card"/>
    <s v="Delivered"/>
    <x v="0"/>
    <n v="16435"/>
    <s v="West"/>
    <x v="0"/>
    <x v="3"/>
    <s v="Female"/>
    <s v="Feb"/>
  </r>
  <r>
    <s v="Sanjay Dubey"/>
    <n v="52"/>
    <s v="Male"/>
    <s v="Electronics"/>
    <s v="iPhone 14"/>
    <n v="2"/>
    <n v="82200"/>
    <n v="0"/>
    <s v="Card"/>
    <s v="Cancelled"/>
    <x v="2"/>
    <n v="16440"/>
    <s v="North"/>
    <x v="1"/>
    <x v="0"/>
    <s v="Male"/>
    <s v="Dec"/>
  </r>
  <r>
    <s v="Rahul Gupta"/>
    <n v="64"/>
    <s v="Male"/>
    <s v="Home &amp; Kitchen"/>
    <s v="Asian Paints 4L"/>
    <n v="10"/>
    <n v="2394"/>
    <n v="30"/>
    <s v="UPI"/>
    <s v="returned"/>
    <x v="1"/>
    <n v="16758"/>
    <s v="South"/>
    <x v="3"/>
    <x v="3"/>
    <s v="Male"/>
    <s v="Null"/>
  </r>
  <r>
    <s v="Tanvi Kulkarni"/>
    <n v="35"/>
    <s v="Female"/>
    <s v="Home &amp; Kitchen"/>
    <s v="Asian Paints 4L"/>
    <n v="9"/>
    <n v="1862"/>
    <n v="0"/>
    <s v="UPI"/>
    <s v="Delivered"/>
    <x v="0"/>
    <n v="16758"/>
    <s v="South"/>
    <x v="3"/>
    <x v="3"/>
    <s v="Female"/>
    <s v="Mar"/>
  </r>
  <r>
    <s v="Arjun Pillai"/>
    <n v="62"/>
    <s v="Male"/>
    <s v="clothing"/>
    <s v="Raymond Suit"/>
    <n v="3"/>
    <n v="7000"/>
    <n v="20"/>
    <s v="Card"/>
    <s v="Delivered"/>
    <x v="0"/>
    <n v="16800"/>
    <s v="North"/>
    <x v="1"/>
    <x v="1"/>
    <s v="Male"/>
    <s v="Jan"/>
  </r>
  <r>
    <s v="Neha Mishra"/>
    <n v="62"/>
    <s v="Mle"/>
    <s v="Home &amp; Kitchen"/>
    <s v="Godrej Almirah"/>
    <n v="2"/>
    <n v="9426"/>
    <n v="10"/>
    <s v="Cash"/>
    <s v="Delivered"/>
    <x v="0"/>
    <n v="16966.8"/>
    <s v="East"/>
    <x v="2"/>
    <x v="3"/>
    <s v="Other"/>
    <s v="Dec"/>
  </r>
  <r>
    <s v="Meera Nambiar"/>
    <n v="50"/>
    <s v="F"/>
    <s v="Electronics"/>
    <s v="Whirlpool Refrigerator"/>
    <n v="1"/>
    <n v="34000"/>
    <n v="50"/>
    <s v="Card"/>
    <s v="Delivered"/>
    <x v="0"/>
    <n v="17000"/>
    <s v="West"/>
    <x v="0"/>
    <x v="0"/>
    <s v="Female"/>
    <s v="Null"/>
  </r>
  <r>
    <s v="Sanjay Dubey"/>
    <n v="64"/>
    <s v="Female"/>
    <s v="Electronics"/>
    <s v="iPhone 14"/>
    <n v="2"/>
    <n v="89700"/>
    <n v="5"/>
    <s v="UPI"/>
    <s v="Cancelled"/>
    <x v="2"/>
    <n v="17043"/>
    <s v="West"/>
    <x v="0"/>
    <x v="0"/>
    <s v="Female"/>
    <s v="Jul"/>
  </r>
  <r>
    <s v="Null"/>
    <n v="63"/>
    <s v="Female"/>
    <s v="Electronics"/>
    <s v="Realme Smartphone"/>
    <n v="1"/>
    <n v="18000"/>
    <n v="5"/>
    <s v="UPI"/>
    <s v="Delivered"/>
    <x v="0"/>
    <n v="17100"/>
    <s v="South"/>
    <x v="3"/>
    <x v="0"/>
    <s v="Female"/>
    <s v="Null"/>
  </r>
  <r>
    <s v="Pooja Nair"/>
    <n v="20"/>
    <s v="F"/>
    <s v="Home &amp; Kitchen"/>
    <s v="Prestige Pressure Cooker"/>
    <n v="4"/>
    <n v="4287"/>
    <n v="0"/>
    <s v="UPI"/>
    <s v="Deliverd"/>
    <x v="0"/>
    <n v="17148"/>
    <s v="West"/>
    <x v="0"/>
    <x v="3"/>
    <s v="Female"/>
    <s v="Oct"/>
  </r>
  <r>
    <s v="Null"/>
    <n v="52"/>
    <s v="Male"/>
    <s v="Home and Kitchen"/>
    <s v="Philips Air Fryer"/>
    <n v="3"/>
    <n v="7155"/>
    <n v="20"/>
    <s v="UPI"/>
    <s v="Cancelled"/>
    <x v="2"/>
    <n v="17172"/>
    <s v="S"/>
    <x v="3"/>
    <x v="3"/>
    <s v="Male"/>
    <s v="Sep"/>
  </r>
  <r>
    <s v="Smita Desai"/>
    <n v="53"/>
    <s v="Female"/>
    <s v="Home &amp; Kitchen"/>
    <s v="Borosil Glass Set"/>
    <n v="8"/>
    <n v="1081"/>
    <n v="50"/>
    <s v="Cash"/>
    <s v="Cancelled"/>
    <x v="2"/>
    <n v="17296"/>
    <s v="North"/>
    <x v="1"/>
    <x v="3"/>
    <s v="Female"/>
    <s v="Nov"/>
  </r>
  <r>
    <s v="Rekha Sinha"/>
    <n v="48"/>
    <s v="Female"/>
    <s v="clothing"/>
    <s v="Raymond Suit"/>
    <n v="1"/>
    <n v="5800"/>
    <n v="0"/>
    <s v="COD"/>
    <s v="Delivered"/>
    <x v="0"/>
    <n v="17400"/>
    <s v="East"/>
    <x v="2"/>
    <x v="1"/>
    <s v="Female"/>
    <s v="Jan"/>
  </r>
  <r>
    <s v="Shweta Ghosh"/>
    <n v="48"/>
    <s v="Male"/>
    <s v="Clthing"/>
    <s v="Raymond Suit"/>
    <n v="3"/>
    <n v="6450"/>
    <n v="10"/>
    <s v="UPI"/>
    <s v="returned"/>
    <x v="1"/>
    <n v="17415"/>
    <s v="West"/>
    <x v="0"/>
    <x v="1"/>
    <s v="Male"/>
    <s v="Nov"/>
  </r>
  <r>
    <s v="Deepika Rao"/>
    <n v="44"/>
    <s v="Female"/>
    <s v="clothing"/>
    <s v="W Ethnic Wear"/>
    <n v="3"/>
    <n v="2150"/>
    <n v="10"/>
    <s v="Cash"/>
    <s v="Cancelled"/>
    <x v="2"/>
    <n v="17415"/>
    <s v="South"/>
    <x v="3"/>
    <x v="1"/>
    <s v="Female"/>
    <s v="Null"/>
  </r>
  <r>
    <s v="Shreya Pandey"/>
    <n v="60"/>
    <s v="Female"/>
    <s v="clothing"/>
    <s v="Adidas Sneakers"/>
    <n v="3"/>
    <n v="5900"/>
    <n v="0"/>
    <s v="Cash"/>
    <s v="Delivered"/>
    <x v="0"/>
    <n v="17700"/>
    <s v="South"/>
    <x v="3"/>
    <x v="1"/>
    <s v="Female"/>
    <s v="Jun"/>
  </r>
  <r>
    <s v="Manish Agarwal"/>
    <n v="51"/>
    <s v="Mle"/>
    <s v="Home &amp; Kitchen"/>
    <s v="Pigeon Induction Cooktop"/>
    <n v="9"/>
    <n v="2193"/>
    <n v="10"/>
    <s v="UPI"/>
    <s v="Delivered"/>
    <x v="0"/>
    <n v="17763.3"/>
    <s v="East"/>
    <x v="2"/>
    <x v="3"/>
    <s v="Other"/>
    <s v="May"/>
  </r>
  <r>
    <s v="Lakshmi Krishnan"/>
    <n v="40"/>
    <s v="Femal"/>
    <s v="Home and Kitchen"/>
    <s v="Bajaj Mixer Grinder"/>
    <n v="8"/>
    <n v="2472"/>
    <n v="10"/>
    <s v="Card"/>
    <s v="Delivered"/>
    <x v="0"/>
    <n v="17798.400000000001"/>
    <s v="South"/>
    <x v="3"/>
    <x v="3"/>
    <s v="Other"/>
    <s v="Null"/>
  </r>
  <r>
    <s v="Neha Mishra"/>
    <n v="52"/>
    <s v="Male"/>
    <s v="Electronics"/>
    <s v="LG Washing Machine"/>
    <n v="1"/>
    <n v="29700"/>
    <n v="40"/>
    <s v="Card"/>
    <s v="Delivered"/>
    <x v="0"/>
    <n v="17820"/>
    <s v="West"/>
    <x v="0"/>
    <x v="0"/>
    <s v="Male"/>
    <s v="Null"/>
  </r>
  <r>
    <s v="Manish Agarwal"/>
    <n v="56"/>
    <s v="Male"/>
    <s v="Home &amp; Kitchen"/>
    <s v="Tupperware Set"/>
    <n v="8"/>
    <n v="2627"/>
    <n v="15"/>
    <s v="Cash"/>
    <s v="Delivered"/>
    <x v="0"/>
    <n v="17863.599999999999"/>
    <s v="East"/>
    <x v="2"/>
    <x v="3"/>
    <s v="Male"/>
    <s v="Sep"/>
  </r>
  <r>
    <s v="Divya Hegde"/>
    <n v="58"/>
    <s v="Female"/>
    <s v="Home &amp; Kitchen"/>
    <s v="Philips Air Fryer"/>
    <n v="3"/>
    <n v="5414"/>
    <n v="-10"/>
    <s v="Card"/>
    <s v="Delivered"/>
    <x v="0"/>
    <n v="17866.2"/>
    <s v="Norht"/>
    <x v="1"/>
    <x v="3"/>
    <s v="Female"/>
    <s v="Apr"/>
  </r>
  <r>
    <s v="Deepika Rao"/>
    <n v="18"/>
    <s v="Male"/>
    <s v="Home &amp; Kitchen"/>
    <s v="Pigeon Induction Cooktop"/>
    <n v="9"/>
    <n v="2206"/>
    <n v="10"/>
    <s v="COD"/>
    <s v="Delivered"/>
    <x v="0"/>
    <n v="17868.599999999999"/>
    <s v="East"/>
    <x v="2"/>
    <x v="3"/>
    <s v="Male"/>
    <s v="Dec"/>
  </r>
  <r>
    <s v="Null"/>
    <n v="62"/>
    <s v="Female"/>
    <s v="Beauty"/>
    <s v="Forest Essentials Cream"/>
    <n v="5"/>
    <n v="3762"/>
    <n v="5"/>
    <s v="UPI"/>
    <s v="Cancelled"/>
    <x v="2"/>
    <n v="17869.5"/>
    <s v="South"/>
    <x v="3"/>
    <x v="2"/>
    <s v="Female"/>
    <s v="Mar"/>
  </r>
  <r>
    <s v="Null"/>
    <n v="27"/>
    <s v="Male"/>
    <s v="Home &amp; Kitchen"/>
    <s v="Prestige Pressure Cooker"/>
    <n v="8"/>
    <n v="2670"/>
    <n v="15"/>
    <s v="UPI"/>
    <s v="Cancelled"/>
    <x v="2"/>
    <n v="18156"/>
    <s v="South"/>
    <x v="3"/>
    <x v="3"/>
    <s v="Male"/>
    <s v="Dec"/>
  </r>
  <r>
    <s v="Lakshmi Krishnan"/>
    <n v="50"/>
    <s v="Male"/>
    <s v="Electronics"/>
    <s v="Lenovo Tab M10"/>
    <n v="1"/>
    <n v="18300"/>
    <n v="0"/>
    <s v="COD"/>
    <s v="Delivered"/>
    <x v="0"/>
    <n v="18300"/>
    <s v="Norht"/>
    <x v="1"/>
    <x v="0"/>
    <s v="Male"/>
    <s v="Jul"/>
  </r>
  <r>
    <s v="Rekha Sinha"/>
    <n v="38"/>
    <s v="Mle"/>
    <s v="Home &amp; Kitchen"/>
    <s v="Usha Iron"/>
    <n v="9"/>
    <n v="2040"/>
    <n v="0"/>
    <s v="UPI"/>
    <s v="Delivered"/>
    <x v="0"/>
    <n v="18360"/>
    <s v="East"/>
    <x v="2"/>
    <x v="3"/>
    <s v="Other"/>
    <s v="Jan"/>
  </r>
  <r>
    <s v="Null"/>
    <n v="47"/>
    <s v="Female"/>
    <s v="Home &amp; Kitchen"/>
    <s v="Usha Iron"/>
    <n v="8"/>
    <n v="2311"/>
    <n v="40"/>
    <s v="Card"/>
    <s v="Cancelled"/>
    <x v="2"/>
    <n v="18488"/>
    <s v="North"/>
    <x v="1"/>
    <x v="3"/>
    <s v="Female"/>
    <s v="Dec"/>
  </r>
  <r>
    <s v="Null"/>
    <n v="56"/>
    <s v="Other"/>
    <s v="Home &amp; Kitchen"/>
    <s v="Bajaj Mixer Grinder"/>
    <n v="5"/>
    <n v="3913"/>
    <n v="5"/>
    <s v="UPI"/>
    <s v="Delivered"/>
    <x v="0"/>
    <n v="18586.75"/>
    <s v="W"/>
    <x v="0"/>
    <x v="3"/>
    <s v="Other"/>
    <s v="Jul"/>
  </r>
  <r>
    <s v="Null"/>
    <n v="28"/>
    <s v="Female"/>
    <s v="Home &amp; Kitchen"/>
    <s v="Hawkins Cookware Set"/>
    <n v="5"/>
    <n v="4994"/>
    <n v="25"/>
    <s v="Cash"/>
    <s v="Delivered"/>
    <x v="0"/>
    <n v="18727.5"/>
    <s v="South"/>
    <x v="3"/>
    <x v="3"/>
    <s v="Female"/>
    <s v="Nov"/>
  </r>
  <r>
    <s v="Deepika Rao"/>
    <n v="28"/>
    <s v="Male"/>
    <s v="Home &amp; Kitchen"/>
    <s v="Prestige Pressure Cooker"/>
    <n v="99"/>
    <n v="3814"/>
    <n v="50"/>
    <s v="UPI"/>
    <s v="Delivered"/>
    <x v="0"/>
    <n v="18793"/>
    <s v="South"/>
    <x v="3"/>
    <x v="3"/>
    <s v="Male"/>
    <s v="Nov"/>
  </r>
  <r>
    <s v="Neha Mishra"/>
    <n v="51"/>
    <s v="Male"/>
    <s v="Electronics"/>
    <s v="Lenovo Tab M10"/>
    <n v="1"/>
    <n v="18900"/>
    <n v="0"/>
    <s v="UPI"/>
    <s v="Deliverd"/>
    <x v="0"/>
    <n v="18900"/>
    <s v="Westt"/>
    <x v="0"/>
    <x v="0"/>
    <s v="Male"/>
    <s v="Jun"/>
  </r>
  <r>
    <s v="Neha Mishra"/>
    <n v="51"/>
    <s v="Male"/>
    <s v="Electronics"/>
    <s v="HP Printer"/>
    <n v="2"/>
    <n v="12700"/>
    <n v="25"/>
    <s v="Card"/>
    <s v="Delivered"/>
    <x v="0"/>
    <n v="19050"/>
    <s v="West"/>
    <x v="0"/>
    <x v="0"/>
    <s v="Male"/>
    <s v="Jan"/>
  </r>
  <r>
    <s v="Arjun Pillai"/>
    <n v="23"/>
    <s v="Male"/>
    <s v="Home &amp; Kitchen"/>
    <s v="Orient Ceiling Fan"/>
    <n v="5"/>
    <n v="4281"/>
    <n v="10"/>
    <s v="Card"/>
    <s v="Delivered"/>
    <x v="0"/>
    <n v="19264.5"/>
    <s v="East"/>
    <x v="2"/>
    <x v="3"/>
    <s v="Male"/>
    <s v="Mar"/>
  </r>
  <r>
    <s v="Null"/>
    <n v="63"/>
    <s v="Male"/>
    <s v="Home &amp; Kitchen"/>
    <s v="Tupperware Set"/>
    <n v="10"/>
    <n v="1938"/>
    <n v="0"/>
    <s v="Cash"/>
    <s v="returned"/>
    <x v="1"/>
    <n v="19380"/>
    <s v="North"/>
    <x v="1"/>
    <x v="3"/>
    <s v="Male"/>
    <s v="Nov"/>
  </r>
  <r>
    <s v="Tanvi Kulkarni"/>
    <n v="42"/>
    <s v="Female"/>
    <s v="Electronics"/>
    <s v="HP Printer"/>
    <n v="2"/>
    <n v="9800"/>
    <n v="0"/>
    <s v="UPI"/>
    <s v="returned"/>
    <x v="1"/>
    <n v="19600"/>
    <s v="South"/>
    <x v="3"/>
    <x v="0"/>
    <s v="Female"/>
    <s v="Null"/>
  </r>
  <r>
    <s v="Pooja Nair"/>
    <m/>
    <s v="Male"/>
    <s v="Home &amp; Kitchen"/>
    <s v="Usha Iron"/>
    <n v="7"/>
    <n v="2805"/>
    <n v="30"/>
    <s v="Cash"/>
    <s v="Delivered"/>
    <x v="0"/>
    <n v="19635"/>
    <s v="West"/>
    <x v="0"/>
    <x v="3"/>
    <s v="Male"/>
    <s v="Null"/>
  </r>
  <r>
    <s v="Pooja Nair"/>
    <n v="53"/>
    <s v="Female"/>
    <s v="Home &amp; Kitchen"/>
    <s v="Orient Ceiling Fan"/>
    <n v="4"/>
    <n v="4941"/>
    <n v="0"/>
    <s v="UPI"/>
    <s v="Delivered"/>
    <x v="0"/>
    <n v="19764"/>
    <s v="West"/>
    <x v="0"/>
    <x v="3"/>
    <s v="Female"/>
    <s v="Null"/>
  </r>
  <r>
    <s v="Geeta Thakur"/>
    <n v="59"/>
    <s v="Female"/>
    <s v="Home &amp; Kitchen"/>
    <s v="Orient Ceiling Fan"/>
    <n v="6"/>
    <n v="3472"/>
    <n v="5"/>
    <s v="Cash"/>
    <s v="Delivered"/>
    <x v="0"/>
    <n v="19790.400000000001"/>
    <s v="West"/>
    <x v="0"/>
    <x v="3"/>
    <s v="Female"/>
    <s v="Aug"/>
  </r>
  <r>
    <s v="Vikram Mehta"/>
    <n v="60"/>
    <s v="Female"/>
    <s v="Clthing"/>
    <s v="Raymond Suit"/>
    <n v="1"/>
    <n v="5250"/>
    <n v="5"/>
    <s v="Card"/>
    <s v="returned"/>
    <x v="1"/>
    <n v="19950"/>
    <s v="Norht"/>
    <x v="1"/>
    <x v="1"/>
    <s v="Female"/>
    <s v="Nov"/>
  </r>
  <r>
    <s v="Pooja Nair"/>
    <m/>
    <s v="Female"/>
    <s v="Electronics"/>
    <s v="iPhone 14"/>
    <n v="2"/>
    <n v="90700"/>
    <n v="-10"/>
    <s v="Cash"/>
    <s v="Delivered"/>
    <x v="0"/>
    <n v="19954"/>
    <s v="West"/>
    <x v="0"/>
    <x v="0"/>
    <s v="Female"/>
    <s v="Null"/>
  </r>
  <r>
    <s v="Karthik Rajan"/>
    <n v="28"/>
    <s v="Male"/>
    <s v="Home &amp; Kitchen"/>
    <s v="Asian Paints 4L"/>
    <n v="9"/>
    <n v="2221"/>
    <m/>
    <s v="UPI"/>
    <s v="Cancelled"/>
    <x v="2"/>
    <n v="19989"/>
    <s v="Westt"/>
    <x v="0"/>
    <x v="3"/>
    <s v="Male"/>
    <s v="Mar"/>
  </r>
  <r>
    <s v="Neha Mishra"/>
    <n v="29"/>
    <s v="Male"/>
    <s v="Home &amp; Kitchen"/>
    <s v="Hawkins Cookware Set"/>
    <n v="4"/>
    <n v="6663"/>
    <n v="25"/>
    <s v="Cash"/>
    <s v="returned"/>
    <x v="1"/>
    <n v="19989"/>
    <s v="South"/>
    <x v="3"/>
    <x v="3"/>
    <s v="Male"/>
    <s v="Sep"/>
  </r>
  <r>
    <s v="Sanjay Dubey"/>
    <n v="18"/>
    <s v="Female"/>
    <s v="Hme &amp; Kitchen"/>
    <s v="Usha Iron"/>
    <n v="9"/>
    <n v="2477"/>
    <n v="10"/>
    <s v="Card"/>
    <s v="Delivered"/>
    <x v="0"/>
    <n v="20063.7"/>
    <s v="West"/>
    <x v="0"/>
    <x v="3"/>
    <s v="Female"/>
    <s v="May"/>
  </r>
  <r>
    <s v="Manish Agarwal"/>
    <n v="50"/>
    <s v="Male"/>
    <s v="clothing"/>
    <s v="Raymond Suit"/>
    <n v="3"/>
    <n v="6750"/>
    <n v="0"/>
    <s v="Card"/>
    <s v="Cancelled"/>
    <x v="2"/>
    <n v="20250"/>
    <s v="North"/>
    <x v="1"/>
    <x v="1"/>
    <s v="Male"/>
    <s v="Null"/>
  </r>
  <r>
    <s v="Shweta Ghosh"/>
    <n v="50"/>
    <s v="Male"/>
    <s v="Electronics"/>
    <s v="Xiaomi Smart TV 32&quot;"/>
    <n v="1"/>
    <n v="24100"/>
    <n v="15"/>
    <s v="COD"/>
    <s v="Delivered"/>
    <x v="0"/>
    <n v="20485"/>
    <s v="North"/>
    <x v="1"/>
    <x v="0"/>
    <s v="Male"/>
    <s v="Null"/>
  </r>
  <r>
    <s v="Aarav Sharma"/>
    <n v="25"/>
    <s v="Female"/>
    <s v="Electronics"/>
    <s v="HP Printer"/>
    <n v="2"/>
    <n v="11400"/>
    <n v="10"/>
    <s v="Cash"/>
    <s v="Delivered"/>
    <x v="0"/>
    <n v="20520"/>
    <s v="South"/>
    <x v="3"/>
    <x v="0"/>
    <s v="Female"/>
    <s v="Nov"/>
  </r>
  <r>
    <s v="Ashok Yadav"/>
    <n v="54"/>
    <s v="Male"/>
    <s v="Home &amp; Kitchen"/>
    <s v="Bajaj Mixer Grinder"/>
    <n v="6"/>
    <n v="4358"/>
    <n v="20"/>
    <s v="Card"/>
    <s v="Delivered"/>
    <x v="0"/>
    <n v="20918.400000000001"/>
    <s v="South"/>
    <x v="3"/>
    <x v="3"/>
    <s v="Male"/>
    <s v="Null"/>
  </r>
  <r>
    <s v="Tanvi Kulkarni"/>
    <n v="42"/>
    <s v="Femal"/>
    <s v="Home &amp; Kitchen"/>
    <s v="Orient Ceiling Fan"/>
    <n v="6"/>
    <n v="3496"/>
    <n v="0"/>
    <s v="Card"/>
    <s v="Deliverd"/>
    <x v="0"/>
    <n v="20976"/>
    <s v="West"/>
    <x v="0"/>
    <x v="3"/>
    <s v="Other"/>
    <s v="Null"/>
  </r>
  <r>
    <s v="Null"/>
    <n v="55"/>
    <s v="Male"/>
    <s v="clothing"/>
    <s v="Manyavar Sherwani"/>
    <n v="3"/>
    <n v="7000"/>
    <n v="0"/>
    <s v="UPI"/>
    <s v="Cancelled"/>
    <x v="2"/>
    <n v="21000"/>
    <s v="Soouth"/>
    <x v="3"/>
    <x v="1"/>
    <s v="Male"/>
    <s v="Jan"/>
  </r>
  <r>
    <s v="Ramesh Naik"/>
    <n v="30"/>
    <s v="Male"/>
    <s v="Electronics"/>
    <s v="Realme Smartphone"/>
    <n v="2"/>
    <n v="17600"/>
    <n v="40"/>
    <s v="Cash"/>
    <s v="Delivered"/>
    <x v="0"/>
    <n v="21120"/>
    <s v="East"/>
    <x v="2"/>
    <x v="0"/>
    <s v="Male"/>
    <s v="Oct"/>
  </r>
  <r>
    <s v="Null"/>
    <n v="19"/>
    <s v="Male"/>
    <s v="Home &amp; Kitchen"/>
    <s v="Bajaj Mixer Grinder"/>
    <n v="8"/>
    <n v="2650"/>
    <n v="0"/>
    <s v="UPI"/>
    <s v="Delivered"/>
    <x v="0"/>
    <n v="21200"/>
    <s v="East"/>
    <x v="2"/>
    <x v="3"/>
    <s v="Male"/>
    <s v="Oct"/>
  </r>
  <r>
    <s v="Null"/>
    <n v="44"/>
    <s v="Female"/>
    <s v="Electronics"/>
    <s v="HP Printer"/>
    <n v="2"/>
    <n v="13300"/>
    <n v="20"/>
    <s v="UPI"/>
    <s v="Delvered"/>
    <x v="0"/>
    <n v="21280"/>
    <s v="N"/>
    <x v="1"/>
    <x v="0"/>
    <s v="Female"/>
    <s v="Nov"/>
  </r>
  <r>
    <s v="Shreya Pandey"/>
    <n v="59"/>
    <s v="Female"/>
    <s v="Beauty"/>
    <s v="Forest Essentials Cream"/>
    <n v="8"/>
    <n v="3352"/>
    <n v="20"/>
    <s v="Card"/>
    <s v="Cancalled"/>
    <x v="2"/>
    <n v="21452.799999999999"/>
    <s v="East"/>
    <x v="2"/>
    <x v="2"/>
    <s v="Female"/>
    <s v="Dec"/>
  </r>
  <r>
    <s v="Kavya Reddy"/>
    <n v="20"/>
    <s v="Male"/>
    <s v="Home &amp; Kitchen"/>
    <s v="Asian Paints 4L"/>
    <n v="8"/>
    <n v="2831"/>
    <n v="5"/>
    <s v="Card"/>
    <s v="Delivered"/>
    <x v="0"/>
    <n v="21515.599999999999"/>
    <s v="Eastt"/>
    <x v="2"/>
    <x v="3"/>
    <s v="Male"/>
    <s v="Sep"/>
  </r>
  <r>
    <s v="Shweta Ghosh"/>
    <n v="22"/>
    <s v="Male"/>
    <s v="Electronics"/>
    <s v="Whirlpool Refrigerator"/>
    <n v="1"/>
    <n v="43200"/>
    <n v="50"/>
    <s v="Card"/>
    <s v="Delivered"/>
    <x v="0"/>
    <n v="21600"/>
    <s v="North"/>
    <x v="1"/>
    <x v="0"/>
    <s v="Male"/>
    <s v="Feb"/>
  </r>
  <r>
    <s v="Manish Agarwal"/>
    <n v="5"/>
    <s v="M"/>
    <s v="clothing"/>
    <s v="Nike Running Shoes"/>
    <n v="3"/>
    <n v="6550"/>
    <n v="-10"/>
    <s v="Cash"/>
    <s v="Delivered"/>
    <x v="0"/>
    <n v="21615"/>
    <s v="West"/>
    <x v="0"/>
    <x v="1"/>
    <s v="Male"/>
    <s v="Mar"/>
  </r>
  <r>
    <s v="Anjali Srivastava"/>
    <n v="35"/>
    <s v="Female"/>
    <s v="clothing"/>
    <s v="Adidas Sneakers"/>
    <n v="3"/>
    <n v="7600"/>
    <n v="5"/>
    <s v="Card"/>
    <s v="Delivered"/>
    <x v="0"/>
    <n v="21660"/>
    <s v="North"/>
    <x v="1"/>
    <x v="1"/>
    <s v="Female"/>
    <s v="Null"/>
  </r>
  <r>
    <s v="Rahul Gupta"/>
    <n v="50"/>
    <s v="Male"/>
    <s v="Electronics"/>
    <s v="Realme Smartphone"/>
    <n v="2"/>
    <n v="18100"/>
    <n v="40"/>
    <s v="UPI"/>
    <s v="Delivered"/>
    <x v="0"/>
    <n v="21720"/>
    <s v="West"/>
    <x v="0"/>
    <x v="0"/>
    <s v="Male"/>
    <s v="Oct"/>
  </r>
  <r>
    <s v="Manish Agarwal"/>
    <n v="21"/>
    <s v="Female"/>
    <s v="clothing"/>
    <s v="Manyavar Sherwani"/>
    <n v="3"/>
    <n v="7250"/>
    <n v="5"/>
    <s v="Cash"/>
    <s v="Delivered"/>
    <x v="0"/>
    <n v="21750"/>
    <s v="West"/>
    <x v="0"/>
    <x v="1"/>
    <s v="Female"/>
    <s v="Apr"/>
  </r>
  <r>
    <s v="Harish Menon"/>
    <n v="60"/>
    <s v="Other"/>
    <s v="Home &amp; Kitchen"/>
    <s v="Pigeon Induction Cooktop"/>
    <n v="9"/>
    <n v="3028"/>
    <n v="20"/>
    <s v="COD"/>
    <s v="Returnd"/>
    <x v="1"/>
    <n v="21801.599999999999"/>
    <s v="South"/>
    <x v="3"/>
    <x v="3"/>
    <s v="Other"/>
    <s v="Aug"/>
  </r>
  <r>
    <s v="Null"/>
    <n v="59"/>
    <s v="Male"/>
    <s v="Home &amp; Kitchen"/>
    <s v="Orient Ceiling Fan"/>
    <n v="8"/>
    <n v="4606"/>
    <n v="40"/>
    <s v="Cash"/>
    <s v="Delivered"/>
    <x v="0"/>
    <n v="22108.799999999999"/>
    <s v="West"/>
    <x v="0"/>
    <x v="3"/>
    <s v="Male"/>
    <s v="Jan"/>
  </r>
  <r>
    <s v="Geeta Thakur"/>
    <n v="38"/>
    <s v="Femle"/>
    <s v="Electronics"/>
    <s v="Realme Smartphone"/>
    <n v="2"/>
    <n v="13100"/>
    <n v="15"/>
    <s v="Card"/>
    <s v="Delivered"/>
    <x v="0"/>
    <n v="22270"/>
    <s v="South"/>
    <x v="3"/>
    <x v="0"/>
    <s v="Other"/>
    <s v="Aug"/>
  </r>
  <r>
    <s v="Manish Agarwal"/>
    <n v="21"/>
    <s v="Male"/>
    <s v="Electronics"/>
    <s v="Xiaomi Smart TV 32&quot;"/>
    <n v="1"/>
    <n v="26200"/>
    <n v="15"/>
    <s v="UPI"/>
    <s v="Cancelled"/>
    <x v="2"/>
    <n v="22270"/>
    <s v="North"/>
    <x v="1"/>
    <x v="0"/>
    <s v="Male"/>
    <s v="Dec"/>
  </r>
  <r>
    <s v="Manoj Chauhan"/>
    <n v="42"/>
    <s v="Female"/>
    <s v="Home &amp; Kitchen"/>
    <s v="Philips Air Fryer"/>
    <n v="3"/>
    <n v="9941"/>
    <n v="25"/>
    <s v="COD"/>
    <s v="Delivered"/>
    <x v="0"/>
    <n v="22367.25"/>
    <s v="W"/>
    <x v="0"/>
    <x v="3"/>
    <s v="Female"/>
    <s v="Nov"/>
  </r>
  <r>
    <s v="Deepika Rao"/>
    <n v="25"/>
    <s v="Female"/>
    <s v="clothing"/>
    <s v="Manyavar Sherwani"/>
    <n v="3"/>
    <n v="7850"/>
    <n v="5"/>
    <s v="Cash"/>
    <s v="Delivered"/>
    <x v="0"/>
    <n v="22372.5"/>
    <s v="West"/>
    <x v="0"/>
    <x v="1"/>
    <s v="Female"/>
    <s v="Jul"/>
  </r>
  <r>
    <s v="Rekha Sinha"/>
    <n v="65"/>
    <s v="Male"/>
    <s v="Home &amp; Kitchen"/>
    <s v="Prestige Pressure Cooker"/>
    <n v="5"/>
    <n v="4487"/>
    <n v="0"/>
    <s v="COD"/>
    <s v="returned"/>
    <x v="1"/>
    <n v="22435"/>
    <s v="East"/>
    <x v="2"/>
    <x v="3"/>
    <s v="Male"/>
    <s v="Jun"/>
  </r>
  <r>
    <s v="Null"/>
    <n v="27"/>
    <s v="Female"/>
    <s v="Electronics"/>
    <s v="Lenovo Tab M10"/>
    <n v="1"/>
    <n v="25000"/>
    <n v="10"/>
    <s v="Card"/>
    <s v="Delivered"/>
    <x v="0"/>
    <n v="22500"/>
    <s v="North"/>
    <x v="1"/>
    <x v="0"/>
    <s v="Female"/>
    <s v="Oct"/>
  </r>
  <r>
    <s v="Vikram Mehta"/>
    <n v="41"/>
    <s v="Female"/>
    <s v="clothing"/>
    <s v="Raymond Suit"/>
    <n v="3"/>
    <n v="7950"/>
    <n v="5"/>
    <s v="UPI"/>
    <s v="Delivered"/>
    <x v="0"/>
    <n v="22657.5"/>
    <s v="West"/>
    <x v="0"/>
    <x v="1"/>
    <s v="Female"/>
    <s v="Nov"/>
  </r>
  <r>
    <s v="Null"/>
    <n v="48"/>
    <s v="Female"/>
    <s v="Electronics"/>
    <s v="Lenovo Tab M10"/>
    <n v="1"/>
    <n v="24000"/>
    <n v="5"/>
    <s v="Card"/>
    <s v="Delivered"/>
    <x v="0"/>
    <n v="22800"/>
    <s v="West"/>
    <x v="0"/>
    <x v="0"/>
    <s v="Female"/>
    <s v="Null"/>
  </r>
  <r>
    <s v="Harish Menon"/>
    <n v="27"/>
    <s v="Male"/>
    <s v="Electronics"/>
    <s v="Xiaomi Smart TV 32&quot;"/>
    <n v="2"/>
    <n v="23000"/>
    <n v="50"/>
    <s v="UPI"/>
    <s v="Delivered"/>
    <x v="0"/>
    <n v="23000"/>
    <s v="East"/>
    <x v="2"/>
    <x v="0"/>
    <s v="Male"/>
    <s v="Aug"/>
  </r>
  <r>
    <s v="Lakshmi Krishnan"/>
    <n v="34"/>
    <s v="Male"/>
    <s v="Home &amp; Kitchen"/>
    <s v="Usha Iron"/>
    <n v="10"/>
    <n v="2320"/>
    <n v="0"/>
    <s v="Card"/>
    <s v="Delivered"/>
    <x v="0"/>
    <n v="23200"/>
    <s v="W"/>
    <x v="0"/>
    <x v="3"/>
    <s v="Male"/>
    <s v="Mar"/>
  </r>
  <r>
    <s v="Arjun Pillai"/>
    <n v="43"/>
    <s v="Female"/>
    <s v="Home &amp; Kitchen"/>
    <s v="Prestige Pressure Cooker"/>
    <n v="10"/>
    <n v="3331"/>
    <n v="30"/>
    <s v="Cash"/>
    <s v="Delivered"/>
    <x v="0"/>
    <n v="23317"/>
    <s v="East"/>
    <x v="2"/>
    <x v="3"/>
    <s v="Female"/>
    <s v="May"/>
  </r>
  <r>
    <s v="Null"/>
    <n v="31"/>
    <s v="Male"/>
    <s v="Hme &amp; Kitchen"/>
    <s v="Asian Paints 4L"/>
    <n v="9"/>
    <n v="2606"/>
    <n v="0"/>
    <s v="UPI"/>
    <s v="Cancelled"/>
    <x v="2"/>
    <n v="23454"/>
    <s v="East"/>
    <x v="2"/>
    <x v="3"/>
    <s v="Male"/>
    <s v="Jan"/>
  </r>
  <r>
    <s v="Null"/>
    <n v="54"/>
    <s v="Female"/>
    <s v="Home &amp; Kitchen"/>
    <s v="Orient Ceiling Fan"/>
    <n v="7"/>
    <n v="4470"/>
    <n v="25"/>
    <s v="Card"/>
    <s v="Cancelled"/>
    <x v="2"/>
    <n v="23467.5"/>
    <s v="Wst"/>
    <x v="0"/>
    <x v="3"/>
    <s v="Female"/>
    <s v="Oct"/>
  </r>
  <r>
    <s v="Sneha Iyer"/>
    <n v="31"/>
    <s v="Male"/>
    <s v="Home &amp; Kitchen"/>
    <s v="Pigeon Induction Cooktop"/>
    <n v="10"/>
    <n v="2498"/>
    <n v="5"/>
    <s v="Card"/>
    <s v="Cancelled"/>
    <x v="2"/>
    <n v="23731"/>
    <s v="North"/>
    <x v="1"/>
    <x v="3"/>
    <s v="Male"/>
    <s v="Oct"/>
  </r>
  <r>
    <s v="Pooja Nair"/>
    <n v="23"/>
    <s v="Male"/>
    <s v="Hme &amp; Kitchen"/>
    <s v="Tupperware Set"/>
    <n v="10"/>
    <n v="2665"/>
    <n v="10"/>
    <s v="Cash"/>
    <s v="Delivered"/>
    <x v="0"/>
    <n v="23985"/>
    <s v="West"/>
    <x v="0"/>
    <x v="3"/>
    <s v="Male"/>
    <s v="Null"/>
  </r>
  <r>
    <s v="Shweta Ghosh"/>
    <n v="58"/>
    <s v="Male"/>
    <s v="Electronics"/>
    <s v="Sony Headphones"/>
    <n v="2"/>
    <n v="15000"/>
    <n v="20"/>
    <s v="COD"/>
    <s v="Delivered"/>
    <x v="0"/>
    <n v="24000"/>
    <s v="West"/>
    <x v="0"/>
    <x v="0"/>
    <s v="Male"/>
    <s v="Jul"/>
  </r>
  <r>
    <s v="Pranav Kulkarni"/>
    <n v="58"/>
    <s v="Male"/>
    <s v="clothing"/>
    <s v="Raymond Suit"/>
    <n v="3"/>
    <n v="8000"/>
    <n v="0"/>
    <s v="Cash"/>
    <s v="Delivered"/>
    <x v="0"/>
    <n v="24000"/>
    <s v="North"/>
    <x v="1"/>
    <x v="1"/>
    <s v="Male"/>
    <s v="Feb"/>
  </r>
  <r>
    <s v="Arjun Pillai"/>
    <n v="64"/>
    <s v="Other"/>
    <s v="Home &amp; Kitchen"/>
    <s v="Philips Air Fryer"/>
    <n v="4"/>
    <n v="8636"/>
    <n v="30"/>
    <s v="Card"/>
    <s v="Delivered"/>
    <x v="0"/>
    <n v="24180.799999999999"/>
    <s v="East"/>
    <x v="2"/>
    <x v="3"/>
    <s v="Other"/>
    <s v="Null"/>
  </r>
  <r>
    <s v="Rekha Sinha"/>
    <n v="42"/>
    <s v="Male"/>
    <s v="Home &amp; Kitchen"/>
    <s v="Pigeon Induction Cooktop"/>
    <n v="10"/>
    <n v="2547"/>
    <n v="5"/>
    <s v="Cash"/>
    <s v="Delivered"/>
    <x v="0"/>
    <n v="24196.5"/>
    <s v="West"/>
    <x v="0"/>
    <x v="3"/>
    <s v="Male"/>
    <s v="Dec"/>
  </r>
  <r>
    <s v="Null"/>
    <n v="64"/>
    <s v="Female"/>
    <s v="Home &amp; Kitchen"/>
    <s v="Asian Paints 4L"/>
    <n v="10"/>
    <n v="2432"/>
    <n v="0"/>
    <s v="Debit Card"/>
    <s v="Delivered"/>
    <x v="0"/>
    <n v="24320"/>
    <s v="East"/>
    <x v="2"/>
    <x v="3"/>
    <s v="Female"/>
    <s v="Sep"/>
  </r>
  <r>
    <s v="Null"/>
    <n v="64"/>
    <s v="Female"/>
    <s v="Home &amp; Kitchen"/>
    <s v="Asian Paints 4L"/>
    <n v="10"/>
    <n v="2432"/>
    <n v="0"/>
    <s v="Debit Card"/>
    <s v="Delivered"/>
    <x v="0"/>
    <n v="24320"/>
    <s v="East"/>
    <x v="2"/>
    <x v="3"/>
    <s v="Female"/>
    <s v="Sep"/>
  </r>
  <r>
    <s v="Pooja Nair"/>
    <n v="26"/>
    <s v="Male"/>
    <s v="Electronics"/>
    <s v="Realme Smartphone"/>
    <n v="2"/>
    <n v="14500"/>
    <n v="15"/>
    <s v="Card"/>
    <s v="Cancelled"/>
    <x v="2"/>
    <n v="24650"/>
    <s v="West"/>
    <x v="0"/>
    <x v="0"/>
    <s v="Male"/>
    <s v="Apr"/>
  </r>
  <r>
    <s v="Suresh Joshi"/>
    <n v="56"/>
    <s v="Female"/>
    <s v="Home &amp; Kitchen"/>
    <s v="Bajaj Mixer Grinder"/>
    <n v="7"/>
    <n v="3708"/>
    <n v="5"/>
    <s v="Card"/>
    <s v="Delivered"/>
    <x v="0"/>
    <n v="24658.2"/>
    <s v="East"/>
    <x v="2"/>
    <x v="3"/>
    <s v="Female"/>
    <s v="Nov"/>
  </r>
  <r>
    <s v="Null"/>
    <n v="45"/>
    <s v="Male"/>
    <s v="Home &amp; Kitchen"/>
    <s v="Orient Ceiling Fan"/>
    <n v="6"/>
    <n v="4336"/>
    <n v="5"/>
    <s v="Cash"/>
    <s v="Delivered"/>
    <x v="0"/>
    <n v="24715.200000000001"/>
    <s v="West"/>
    <x v="0"/>
    <x v="3"/>
    <s v="Male"/>
    <s v="Jun"/>
  </r>
  <r>
    <s v="Aarav Sharma"/>
    <n v="34"/>
    <s v="Female"/>
    <s v="Home &amp; Kitchen"/>
    <s v="Prestige Pressure Cooker"/>
    <n v="7"/>
    <n v="3537"/>
    <n v="0"/>
    <s v="Card"/>
    <s v="Cancelled"/>
    <x v="2"/>
    <n v="24759"/>
    <s v="North"/>
    <x v="1"/>
    <x v="3"/>
    <s v="Female"/>
    <s v="Dec"/>
  </r>
  <r>
    <s v="Tanvi Kulkarni"/>
    <n v="30"/>
    <s v="Male"/>
    <s v="Home &amp; Kitchen"/>
    <s v="Orient Ceiling Fan"/>
    <n v="8"/>
    <n v="3115"/>
    <n v="0"/>
    <s v="Cash"/>
    <s v="Delivered"/>
    <x v="0"/>
    <n v="24920"/>
    <s v="North"/>
    <x v="1"/>
    <x v="3"/>
    <s v="Male"/>
    <s v="Jan"/>
  </r>
  <r>
    <s v="Null"/>
    <n v="48"/>
    <s v="Male"/>
    <s v="Electronics"/>
    <s v="Canon DSLR Camera"/>
    <n v="1"/>
    <n v="49900"/>
    <n v="50"/>
    <s v="UPI"/>
    <s v="Delivered"/>
    <x v="0"/>
    <n v="24950"/>
    <s v="North"/>
    <x v="1"/>
    <x v="0"/>
    <s v="Male"/>
    <s v="May"/>
  </r>
  <r>
    <s v="Meera Nambiar"/>
    <n v="52"/>
    <s v="Male"/>
    <s v="Electronics"/>
    <s v="Xiaomi Smart TV 32&quot;"/>
    <n v="1"/>
    <n v="25100"/>
    <n v="0"/>
    <s v="UPI"/>
    <s v="Delivered"/>
    <x v="0"/>
    <n v="25100"/>
    <s v="West"/>
    <x v="0"/>
    <x v="0"/>
    <s v="Male"/>
    <s v="Jul"/>
  </r>
  <r>
    <s v="Nikhil Bose"/>
    <n v="56"/>
    <s v="Female"/>
    <s v="Home &amp; Kitchen"/>
    <s v="Orient Ceiling Fan"/>
    <n v="9"/>
    <n v="2789"/>
    <n v="0"/>
    <s v="UPI"/>
    <s v="Cancelled"/>
    <x v="2"/>
    <n v="25101"/>
    <s v="West"/>
    <x v="0"/>
    <x v="3"/>
    <s v="Female"/>
    <s v="Null"/>
  </r>
  <r>
    <s v="Manoj Chauhan"/>
    <n v="32"/>
    <s v="Male"/>
    <s v="Electronics"/>
    <s v="Realme Smartphone"/>
    <n v="2"/>
    <n v="14800"/>
    <n v="15"/>
    <s v="UPI"/>
    <s v="Cancelled"/>
    <x v="2"/>
    <n v="25160"/>
    <s v="South"/>
    <x v="3"/>
    <x v="0"/>
    <s v="Male"/>
    <s v="Null"/>
  </r>
  <r>
    <s v="Null"/>
    <n v="47"/>
    <s v="Female"/>
    <s v="Beauty"/>
    <s v="Plum Night Cream"/>
    <n v="6"/>
    <n v="706198"/>
    <n v="40"/>
    <s v="COD"/>
    <s v="Deliverd"/>
    <x v="0"/>
    <n v="25423.8"/>
    <s v="North"/>
    <x v="1"/>
    <x v="2"/>
    <s v="Female"/>
    <s v="Nov"/>
  </r>
  <r>
    <s v="Null"/>
    <m/>
    <s v="Female"/>
    <s v="Home and Kitchen"/>
    <s v="Bajaj Mixer Grinder"/>
    <n v="7"/>
    <n v="3636"/>
    <n v="0"/>
    <s v="Crdit Card"/>
    <s v="Delivered"/>
    <x v="0"/>
    <n v="25452"/>
    <s v="East"/>
    <x v="2"/>
    <x v="3"/>
    <s v="Female"/>
    <s v="Dec"/>
  </r>
  <r>
    <s v="Kiran Malhotra"/>
    <n v="150"/>
    <s v="Other"/>
    <s v="Electronics"/>
    <s v="Whirlpool Refrigerator"/>
    <n v="1"/>
    <n v="42500"/>
    <n v="40"/>
    <s v="Card"/>
    <s v="returned"/>
    <x v="1"/>
    <n v="25500"/>
    <s v="West"/>
    <x v="0"/>
    <x v="0"/>
    <s v="Other"/>
    <s v="Nov"/>
  </r>
  <r>
    <s v="Neha Mishra"/>
    <n v="57"/>
    <s v="Male"/>
    <s v="Beauty"/>
    <s v="Forest Essentials Cream"/>
    <n v="99"/>
    <n v="4294"/>
    <n v="40"/>
    <s v="Card"/>
    <s v="Delivered"/>
    <x v="0"/>
    <n v="25506.6"/>
    <s v="South"/>
    <x v="3"/>
    <x v="2"/>
    <s v="Male"/>
    <s v="Oct"/>
  </r>
  <r>
    <s v="Pranav Kulkarni"/>
    <n v="53"/>
    <s v="Male"/>
    <s v="Home &amp; Kitchen"/>
    <s v="Prestige Pressure Cooker"/>
    <n v="10"/>
    <n v="3645"/>
    <n v="30"/>
    <s v="Debit Card"/>
    <s v="Cancelled"/>
    <x v="2"/>
    <n v="25515"/>
    <s v="South"/>
    <x v="3"/>
    <x v="3"/>
    <s v="Male"/>
    <s v="Nov"/>
  </r>
  <r>
    <s v="Ritu Bhatia"/>
    <n v="25"/>
    <s v="Female"/>
    <s v="Home &amp; Kitchen"/>
    <s v="Orient Ceiling Fan"/>
    <n v="10"/>
    <n v="2695"/>
    <n v="5"/>
    <s v="COD"/>
    <s v="Cancelled"/>
    <x v="2"/>
    <n v="25602.5"/>
    <s v="East"/>
    <x v="2"/>
    <x v="3"/>
    <s v="Female"/>
    <s v="May"/>
  </r>
  <r>
    <s v="Null"/>
    <n v="20"/>
    <s v="Female"/>
    <s v="Electronics"/>
    <s v="Realme Smartphone"/>
    <n v="2"/>
    <n v="13100"/>
    <n v="0"/>
    <s v="UPI"/>
    <s v="returned"/>
    <x v="1"/>
    <n v="26200"/>
    <s v="South"/>
    <x v="3"/>
    <x v="0"/>
    <s v="Female"/>
    <s v="Apr"/>
  </r>
  <r>
    <s v="Null"/>
    <n v="64"/>
    <s v="Female"/>
    <s v="Home &amp; Kitchen"/>
    <s v="Godrej Almirah"/>
    <n v="3"/>
    <n v="8765"/>
    <n v="0"/>
    <s v="Card"/>
    <s v="Delivered"/>
    <x v="0"/>
    <n v="26295"/>
    <s v="Norht"/>
    <x v="1"/>
    <x v="3"/>
    <s v="Female"/>
    <s v="Null"/>
  </r>
  <r>
    <s v="Neha Mishra"/>
    <n v="65"/>
    <s v="Male"/>
    <s v="Electronics"/>
    <s v="LG Washing Machine"/>
    <n v="1"/>
    <n v="31200"/>
    <n v="15"/>
    <s v="C.O.D"/>
    <s v="Delivered"/>
    <x v="0"/>
    <n v="26520"/>
    <s v="North"/>
    <x v="1"/>
    <x v="0"/>
    <s v="Male"/>
    <s v="Dec"/>
  </r>
  <r>
    <s v="Neha Mishra"/>
    <n v="51"/>
    <s v="Mle"/>
    <s v="Electronics"/>
    <s v="Lenovo Tab M10"/>
    <n v="2"/>
    <n v="15600"/>
    <n v="15"/>
    <s v="Cash"/>
    <s v="Delivered"/>
    <x v="0"/>
    <n v="26520"/>
    <s v="South"/>
    <x v="3"/>
    <x v="0"/>
    <s v="Other"/>
    <s v="Aug"/>
  </r>
  <r>
    <s v="Lakshmi Krishnan"/>
    <n v="41"/>
    <s v="Other"/>
    <s v="Home &amp; Kitchen"/>
    <s v="Orient Ceiling Fan"/>
    <n v="9"/>
    <n v="3936"/>
    <n v="25"/>
    <s v="UPI"/>
    <s v="Delivered"/>
    <x v="0"/>
    <n v="26568"/>
    <s v="West"/>
    <x v="0"/>
    <x v="3"/>
    <s v="Other"/>
    <s v="Null"/>
  </r>
  <r>
    <s v="Null"/>
    <n v="26"/>
    <s v="Female"/>
    <s v="Home &amp; Kitchen"/>
    <s v="Hawkins Cookware Set"/>
    <n v="6"/>
    <n v="4685"/>
    <n v="5"/>
    <s v="UPI"/>
    <s v="Delivered"/>
    <x v="0"/>
    <n v="26704.5"/>
    <s v="North"/>
    <x v="1"/>
    <x v="3"/>
    <s v="Female"/>
    <s v="Nov"/>
  </r>
  <r>
    <s v="Pooja Nair"/>
    <n v="23"/>
    <s v="Male"/>
    <s v="Home &amp; Kitchen"/>
    <s v="Bajaj Mixer Grinder"/>
    <n v="6"/>
    <n v="4694"/>
    <n v="5"/>
    <s v="Card"/>
    <s v="Cancelled"/>
    <x v="2"/>
    <n v="26755.8"/>
    <s v="South"/>
    <x v="3"/>
    <x v="3"/>
    <s v="Male"/>
    <s v="Apr"/>
  </r>
  <r>
    <s v="Null"/>
    <n v="44"/>
    <s v="Male"/>
    <s v="Electronics"/>
    <s v="LG Washing Machine"/>
    <n v="1"/>
    <n v="44900"/>
    <n v="40"/>
    <s v="Cash"/>
    <s v="returned"/>
    <x v="1"/>
    <n v="26940"/>
    <s v="East"/>
    <x v="2"/>
    <x v="0"/>
    <s v="Male"/>
    <s v="Dec"/>
  </r>
  <r>
    <s v="Null"/>
    <n v="26"/>
    <s v="Male"/>
    <s v="Electronics"/>
    <s v="Samsung Smart TV 43&quot;"/>
    <n v="1"/>
    <n v="38700"/>
    <n v="30"/>
    <s v="COD"/>
    <s v="Delivered"/>
    <x v="0"/>
    <n v="27090"/>
    <s v="South"/>
    <x v="3"/>
    <x v="0"/>
    <s v="Male"/>
    <s v="Null"/>
  </r>
  <r>
    <s v="Pooja Nair"/>
    <n v="48"/>
    <s v="Female"/>
    <s v="Electronics"/>
    <s v="Xiaomi Smart TV 32&quot;"/>
    <n v="1"/>
    <n v="27100"/>
    <n v="0"/>
    <s v="Card"/>
    <s v="Delivered"/>
    <x v="0"/>
    <n v="27100"/>
    <s v="South"/>
    <x v="3"/>
    <x v="0"/>
    <s v="Female"/>
    <s v="Oct"/>
  </r>
  <r>
    <s v="Null"/>
    <n v="39"/>
    <s v="Male"/>
    <s v="Electronics"/>
    <s v="Whirlpool Refrigerator"/>
    <n v="1"/>
    <n v="55000"/>
    <n v="50"/>
    <s v="Card"/>
    <s v="Delivered"/>
    <x v="0"/>
    <n v="27500"/>
    <s v="East"/>
    <x v="2"/>
    <x v="0"/>
    <s v="Male"/>
    <s v="Null"/>
  </r>
  <r>
    <s v="Shweta Ghosh"/>
    <n v="43"/>
    <s v="Female"/>
    <s v="Electronics"/>
    <s v="Realme Smartphone"/>
    <n v="2"/>
    <n v="13800"/>
    <n v="0"/>
    <s v="UPI"/>
    <s v="returned"/>
    <x v="1"/>
    <n v="27600"/>
    <s v="North"/>
    <x v="1"/>
    <x v="0"/>
    <s v="Female"/>
    <s v="Mar"/>
  </r>
  <r>
    <s v="Smita Desai"/>
    <n v="60"/>
    <s v="Female"/>
    <s v="Home &amp; Kitchen"/>
    <s v="Prestige Pressure Cooker"/>
    <n v="6"/>
    <n v="4901"/>
    <n v="5"/>
    <s v="COD"/>
    <s v="Delivered"/>
    <x v="0"/>
    <n v="27935.7"/>
    <s v="South"/>
    <x v="3"/>
    <x v="3"/>
    <s v="Female"/>
    <s v="Jun"/>
  </r>
  <r>
    <s v="Rahul  Gupta"/>
    <n v="51"/>
    <s v="Other"/>
    <s v="Electronics"/>
    <s v="LG Washing Machine"/>
    <n v="1"/>
    <n v="29600"/>
    <n v="5"/>
    <s v="C.O.D"/>
    <s v="Delivered"/>
    <x v="0"/>
    <n v="28120"/>
    <s v="West"/>
    <x v="0"/>
    <x v="0"/>
    <s v="Other"/>
    <s v="Oct"/>
  </r>
  <r>
    <s v="Gaurav Bansal"/>
    <n v="33"/>
    <s v="Female"/>
    <s v="Electronics"/>
    <s v="LG Washing Machine"/>
    <n v="1"/>
    <n v="28200"/>
    <n v="10"/>
    <s v="Card"/>
    <s v="Delivered"/>
    <x v="0"/>
    <n v="28200"/>
    <s v="West"/>
    <x v="0"/>
    <x v="0"/>
    <s v="Female"/>
    <s v="Aug"/>
  </r>
  <r>
    <s v="Arjun Pillai"/>
    <n v="26"/>
    <s v="Female"/>
    <s v="Electronics"/>
    <s v="LG Washing Machine"/>
    <n v="1"/>
    <n v="29900"/>
    <n v="5"/>
    <s v="Cash"/>
    <s v="Delivered"/>
    <x v="0"/>
    <n v="28405"/>
    <s v="Westt"/>
    <x v="0"/>
    <x v="0"/>
    <s v="Female"/>
    <s v="Apr"/>
  </r>
  <r>
    <s v="Deepika Rao"/>
    <n v="64"/>
    <s v="Female"/>
    <s v="Home &amp; Kitchen"/>
    <s v="Usha Iron"/>
    <n v="10"/>
    <n v="2911"/>
    <n v="25"/>
    <s v="Crdit Card"/>
    <s v="Delivered"/>
    <x v="0"/>
    <n v="29110"/>
    <s v="West"/>
    <x v="0"/>
    <x v="3"/>
    <s v="Female"/>
    <s v="Sep"/>
  </r>
  <r>
    <s v="Geeta Thakur"/>
    <n v="32"/>
    <s v="Female"/>
    <s v="Home and Kitchen"/>
    <s v="Hawkins Cookware Set"/>
    <n v="10"/>
    <n v="3242"/>
    <n v="10"/>
    <s v="Cash"/>
    <s v="Delivered"/>
    <x v="0"/>
    <n v="29178"/>
    <s v="E"/>
    <x v="2"/>
    <x v="3"/>
    <s v="Female"/>
    <s v="Null"/>
  </r>
  <r>
    <s v="Rekha Sinha"/>
    <n v="29"/>
    <s v="Female"/>
    <s v="Home &amp; Kitchen"/>
    <s v="Tupperware Set"/>
    <n v="8"/>
    <n v="3664"/>
    <n v="5"/>
    <s v="Card"/>
    <s v="Cancelled"/>
    <x v="2"/>
    <n v="29312"/>
    <s v="South"/>
    <x v="3"/>
    <x v="3"/>
    <s v="Female"/>
    <s v="Nov"/>
  </r>
  <r>
    <s v="Sneha Iyer"/>
    <n v="54"/>
    <s v="Female"/>
    <s v="Home &amp; Kitchen"/>
    <s v="Hawkins Cookware Set"/>
    <n v="9"/>
    <n v="4106"/>
    <n v="20"/>
    <s v="Card"/>
    <s v="Delivered"/>
    <x v="0"/>
    <n v="29563.200000000001"/>
    <s v="North"/>
    <x v="1"/>
    <x v="3"/>
    <s v="Female"/>
    <s v="Oct"/>
  </r>
  <r>
    <s v="Manoj Chauhan"/>
    <n v="65"/>
    <s v="Male"/>
    <s v="Home &amp; Kitchen"/>
    <s v="Pigeon Induction Cooktop"/>
    <n v="8"/>
    <n v="3724"/>
    <n v="0"/>
    <s v="Cash"/>
    <s v="Delivered"/>
    <x v="0"/>
    <n v="29792"/>
    <s v="East"/>
    <x v="2"/>
    <x v="3"/>
    <s v="Male"/>
    <s v="Apr"/>
  </r>
  <r>
    <s v="Shweta Ghosh"/>
    <n v="41"/>
    <s v="Female"/>
    <s v="Electronics"/>
    <s v="Xiaomi Smart TV 32&quot;"/>
    <n v="2"/>
    <n v="21300"/>
    <n v="30"/>
    <s v="Cash on Delivery"/>
    <s v="returned"/>
    <x v="1"/>
    <n v="29820"/>
    <s v="North"/>
    <x v="1"/>
    <x v="0"/>
    <s v="Female"/>
    <s v="Null"/>
  </r>
  <r>
    <s v="Swati Jain"/>
    <n v="30"/>
    <s v="Mle"/>
    <s v="Electronics"/>
    <s v="OnePlus 11 5G"/>
    <n v="1"/>
    <n v="60100"/>
    <n v="50"/>
    <s v="Card"/>
    <s v="Delivered"/>
    <x v="0"/>
    <n v="30050"/>
    <s v="North"/>
    <x v="1"/>
    <x v="0"/>
    <s v="Other"/>
    <s v="Aug"/>
  </r>
  <r>
    <s v="Gaurav Bansal"/>
    <n v="26"/>
    <s v="Female"/>
    <s v="Beauty"/>
    <s v="VLCC Gold Facial Kit"/>
    <n v="9"/>
    <n v="988"/>
    <n v="15"/>
    <s v="UPI"/>
    <s v="Delivered"/>
    <x v="0"/>
    <n v="30232.799999999999"/>
    <s v="North"/>
    <x v="1"/>
    <x v="2"/>
    <s v="Female"/>
    <s v="Nov"/>
  </r>
  <r>
    <s v="Pranav Kulkarni"/>
    <n v="29"/>
    <s v="Female"/>
    <s v="Home &amp; Kitchen"/>
    <s v="Godrej Almirah"/>
    <n v="3"/>
    <n v="10078"/>
    <n v="0"/>
    <s v="UPI"/>
    <s v="Delvered"/>
    <x v="0"/>
    <n v="30234"/>
    <s v="East"/>
    <x v="2"/>
    <x v="3"/>
    <s v="Female"/>
    <s v="Aug"/>
  </r>
  <r>
    <s v="Vikram Mehta"/>
    <n v="45"/>
    <s v="Female"/>
    <s v="Home &amp; Kitchen"/>
    <s v="Usha Iron"/>
    <n v="4"/>
    <n v="2539"/>
    <n v="25"/>
    <s v="U.P.I"/>
    <s v="Delivered"/>
    <x v="0"/>
    <n v="30468"/>
    <s v="East"/>
    <x v="2"/>
    <x v="3"/>
    <s v="Female"/>
    <s v="Dec"/>
  </r>
  <r>
    <s v="Lakshmi Krishnan"/>
    <n v="19"/>
    <s v="Female"/>
    <s v="Electronics"/>
    <s v="Lenovo Tab M10"/>
    <n v="2"/>
    <n v="17000"/>
    <n v="10"/>
    <s v="Card"/>
    <s v="Cancelled"/>
    <x v="2"/>
    <n v="30600"/>
    <s v="West"/>
    <x v="0"/>
    <x v="0"/>
    <s v="Female"/>
    <s v="Sep"/>
  </r>
  <r>
    <s v="Lakshmi Krishnan"/>
    <n v="61"/>
    <s v="Female"/>
    <s v="Electronics"/>
    <s v="Realme Smartphone"/>
    <n v="2"/>
    <n v="15300"/>
    <n v="0"/>
    <s v="COD"/>
    <s v="Cancelled"/>
    <x v="2"/>
    <n v="30600"/>
    <s v="South"/>
    <x v="3"/>
    <x v="0"/>
    <s v="Female"/>
    <s v="Sep"/>
  </r>
  <r>
    <s v="Priya Patel"/>
    <n v="28"/>
    <s v="Female"/>
    <s v="Home &amp; Kitchen"/>
    <s v="Prestige Pressure Cooker"/>
    <n v="7"/>
    <n v="4923"/>
    <n v="10"/>
    <s v="UPI"/>
    <s v="Delivered"/>
    <x v="0"/>
    <n v="31014.9"/>
    <s v="North"/>
    <x v="1"/>
    <x v="3"/>
    <s v="Female"/>
    <s v="Null"/>
  </r>
  <r>
    <s v="Pooja Nair"/>
    <n v="30"/>
    <s v="Mle"/>
    <s v="Electronics"/>
    <s v="Whirlpool Refrigerator"/>
    <n v="1"/>
    <n v="31400"/>
    <n v="0"/>
    <s v="COD"/>
    <s v="Cancelled"/>
    <x v="2"/>
    <n v="31400"/>
    <s v="South"/>
    <x v="3"/>
    <x v="0"/>
    <s v="Other"/>
    <s v="Oct"/>
  </r>
  <r>
    <s v="Sanjay Dubey"/>
    <n v="46"/>
    <s v="Female"/>
    <s v="Home &amp; Kitchen"/>
    <s v="Orient Ceiling Fan"/>
    <n v="10"/>
    <n v="3317"/>
    <n v="5"/>
    <s v="UPI"/>
    <s v="returned"/>
    <x v="1"/>
    <n v="31511.5"/>
    <s v="East"/>
    <x v="2"/>
    <x v="3"/>
    <s v="Female"/>
    <s v="Oct"/>
  </r>
  <r>
    <s v="Rajan Bhatt"/>
    <n v="32"/>
    <s v="Female"/>
    <s v="Home &amp; Kitchen"/>
    <s v="Philips Air Fryer"/>
    <n v="8"/>
    <n v="5339"/>
    <n v="25"/>
    <s v="Cash"/>
    <s v="returned"/>
    <x v="1"/>
    <n v="32034"/>
    <s v="South"/>
    <x v="3"/>
    <x v="3"/>
    <s v="Female"/>
    <s v="Null"/>
  </r>
  <r>
    <s v="Manoj Chauhan"/>
    <n v="43"/>
    <s v="Female"/>
    <s v="Home &amp; Kitchen"/>
    <s v="Tupperware Set"/>
    <n v="10"/>
    <n v="3817"/>
    <n v="15"/>
    <s v="COD"/>
    <s v="Delivered"/>
    <x v="0"/>
    <n v="32444.5"/>
    <s v="North"/>
    <x v="1"/>
    <x v="3"/>
    <s v="Female"/>
    <s v="Null"/>
  </r>
  <r>
    <s v="Nitin Kapoor"/>
    <n v="37"/>
    <s v="Male"/>
    <s v="Electronics"/>
    <s v="Lenovo Tab M10"/>
    <n v="2"/>
    <n v="17200"/>
    <n v="5"/>
    <s v="UPI"/>
    <s v="Delivered"/>
    <x v="0"/>
    <n v="32680"/>
    <s v="West"/>
    <x v="0"/>
    <x v="0"/>
    <s v="Male"/>
    <s v="Jan"/>
  </r>
  <r>
    <s v="Deepika Rao"/>
    <n v="33"/>
    <s v="Male"/>
    <s v="Home &amp; Kitchen"/>
    <s v="Godrej Almirah"/>
    <n v="5"/>
    <n v="9478"/>
    <n v="30"/>
    <s v="Cash"/>
    <s v="Delivered"/>
    <x v="0"/>
    <n v="33173"/>
    <s v="East"/>
    <x v="2"/>
    <x v="3"/>
    <s v="Male"/>
    <s v="Null"/>
  </r>
  <r>
    <s v="Nikhil Bose"/>
    <n v="58"/>
    <s v="Female"/>
    <s v="Home &amp; Kitchen"/>
    <s v="Philips Air Fryer"/>
    <n v="4"/>
    <n v="9222"/>
    <n v="10"/>
    <s v="Card"/>
    <s v="Delivered"/>
    <x v="0"/>
    <n v="33199.199999999997"/>
    <s v="West"/>
    <x v="0"/>
    <x v="3"/>
    <s v="Female"/>
    <s v="Oct"/>
  </r>
  <r>
    <s v="Arjun Pillai"/>
    <n v="58"/>
    <s v="Female"/>
    <s v="Electronics"/>
    <s v="LG Washing Machine"/>
    <n v="1"/>
    <n v="33400"/>
    <n v="0"/>
    <s v="Card"/>
    <s v="Delivered"/>
    <x v="0"/>
    <n v="33400"/>
    <s v="South"/>
    <x v="3"/>
    <x v="0"/>
    <s v="Female"/>
    <s v="Jun"/>
  </r>
  <r>
    <s v="Null"/>
    <n v="26"/>
    <s v="Female"/>
    <s v="Elctronics"/>
    <s v="Realme Smartphone"/>
    <n v="2"/>
    <n v="16700"/>
    <m/>
    <s v="Card"/>
    <s v="Delivered"/>
    <x v="0"/>
    <n v="33400"/>
    <s v="South"/>
    <x v="3"/>
    <x v="0"/>
    <s v="Female"/>
    <s v="Apr"/>
  </r>
  <r>
    <s v="Null"/>
    <n v="64"/>
    <s v="Female"/>
    <s v="Electronics"/>
    <s v="Xiaomi Smart TV 32&quot;"/>
    <n v="2"/>
    <n v="18600"/>
    <n v="10"/>
    <s v="COD"/>
    <s v="Delivered"/>
    <x v="0"/>
    <n v="33480"/>
    <s v="South"/>
    <x v="3"/>
    <x v="0"/>
    <s v="Female"/>
    <s v="Feb"/>
  </r>
  <r>
    <s v="Pooja Nair"/>
    <n v="43"/>
    <s v="Female"/>
    <s v="Beauty"/>
    <s v="Mamaearth Face Wash"/>
    <n v="99"/>
    <n v="426"/>
    <n v="20"/>
    <s v="UPI"/>
    <s v="returned"/>
    <x v="1"/>
    <n v="33739.199999999997"/>
    <s v="Sout"/>
    <x v="3"/>
    <x v="2"/>
    <s v="Female"/>
    <s v="Sep"/>
  </r>
  <r>
    <s v="Sneha  Iyer"/>
    <n v="28"/>
    <s v="Female"/>
    <s v="Home &amp; Kitchen"/>
    <s v="Godrej Almirah"/>
    <n v="6"/>
    <n v="9379"/>
    <n v="40"/>
    <s v="UPI"/>
    <s v="Delivered"/>
    <x v="0"/>
    <n v="33764.400000000001"/>
    <s v="South"/>
    <x v="3"/>
    <x v="3"/>
    <s v="Female"/>
    <s v="Apr"/>
  </r>
  <r>
    <s v="Null"/>
    <n v="35"/>
    <s v="Female"/>
    <s v="Home &amp; Kitchen"/>
    <s v="Godrej Almirah"/>
    <n v="4"/>
    <n v="8496"/>
    <n v="0"/>
    <s v="Card"/>
    <s v="Delivered"/>
    <x v="0"/>
    <n v="33984"/>
    <s v="North"/>
    <x v="1"/>
    <x v="3"/>
    <s v="Female"/>
    <s v="Jul"/>
  </r>
  <r>
    <s v="Null"/>
    <n v="19"/>
    <s v="Female"/>
    <s v="Beauty"/>
    <s v="Forest Essentials Cream"/>
    <n v="10"/>
    <n v="3787"/>
    <n v="10"/>
    <s v="Cash"/>
    <s v="Delivered"/>
    <x v="0"/>
    <n v="34083"/>
    <s v="East"/>
    <x v="2"/>
    <x v="2"/>
    <s v="Female"/>
    <s v="Oct"/>
  </r>
  <r>
    <s v="Null"/>
    <n v="33"/>
    <s v="Male"/>
    <s v="Electronics"/>
    <s v="Realme Smartphone"/>
    <n v="2"/>
    <n v="18000"/>
    <n v="5"/>
    <s v="COD"/>
    <s v="returned"/>
    <x v="1"/>
    <n v="34200"/>
    <s v="West"/>
    <x v="0"/>
    <x v="0"/>
    <s v="Male"/>
    <s v="Nov"/>
  </r>
  <r>
    <s v="Karthik Rajan"/>
    <n v="22"/>
    <s v="Mle"/>
    <s v="Electronics"/>
    <s v="LG Washing Machine"/>
    <n v="1"/>
    <n v="36100"/>
    <n v="5"/>
    <s v="Card"/>
    <s v="Delivered"/>
    <x v="0"/>
    <n v="34295"/>
    <s v="North"/>
    <x v="1"/>
    <x v="0"/>
    <s v="Other"/>
    <s v="Oct"/>
  </r>
  <r>
    <s v="Smita Desai"/>
    <n v="37"/>
    <s v="M"/>
    <s v="Electronics"/>
    <s v="Lenovo Tab M10"/>
    <n v="2"/>
    <n v="17200"/>
    <m/>
    <s v="UPI"/>
    <s v="Delivered"/>
    <x v="0"/>
    <n v="34400"/>
    <s v="South"/>
    <x v="3"/>
    <x v="0"/>
    <s v="Male"/>
    <s v="Dec"/>
  </r>
  <r>
    <s v="Manish Agarwal"/>
    <n v="36"/>
    <s v="Male"/>
    <s v="Electronics"/>
    <s v="Xiaomi Smart TV 32&quot;"/>
    <n v="2"/>
    <n v="20300"/>
    <n v="15"/>
    <s v="COD"/>
    <s v="Cancelled"/>
    <x v="2"/>
    <n v="34510"/>
    <s v="East"/>
    <x v="2"/>
    <x v="0"/>
    <s v="Male"/>
    <s v="Aug"/>
  </r>
  <r>
    <s v="Shreya Pandey"/>
    <n v="40"/>
    <s v="Male"/>
    <s v="Electronics"/>
    <s v="LG Washing Machine"/>
    <n v="2"/>
    <n v="34700"/>
    <n v="50"/>
    <s v="CashOnDelivery"/>
    <s v="Cancelled"/>
    <x v="2"/>
    <n v="34700"/>
    <s v="North"/>
    <x v="1"/>
    <x v="0"/>
    <s v="Male"/>
    <s v="Null"/>
  </r>
  <r>
    <s v="Rajan Bhatt"/>
    <n v="35"/>
    <s v="Male"/>
    <s v="Electronics"/>
    <s v="Xiaomi Smart TV 32&quot;"/>
    <n v="2"/>
    <n v="19300"/>
    <n v="10"/>
    <s v="UPI"/>
    <s v="Delivered"/>
    <x v="0"/>
    <n v="34740"/>
    <s v="East"/>
    <x v="2"/>
    <x v="0"/>
    <s v="Male"/>
    <s v="Nov"/>
  </r>
  <r>
    <s v="Kiran Malhotra"/>
    <n v="60"/>
    <s v="Female"/>
    <s v="electrnics"/>
    <s v="Samsung Smart TV 43&quot;"/>
    <n v="1"/>
    <n v="49700"/>
    <n v="30"/>
    <s v="Cash"/>
    <s v="Delivered"/>
    <x v="0"/>
    <n v="34790"/>
    <s v="South"/>
    <x v="3"/>
    <x v="0"/>
    <s v="Female"/>
    <s v="Nov"/>
  </r>
  <r>
    <s v="Neha Mishra"/>
    <n v="44"/>
    <s v="Male"/>
    <s v="Hme &amp; Kitchen"/>
    <s v="Hawkins Cookware Set"/>
    <n v="7"/>
    <n v="4984"/>
    <n v="30"/>
    <s v="UPI"/>
    <s v="Delivered"/>
    <x v="0"/>
    <n v="34888"/>
    <s v="South"/>
    <x v="3"/>
    <x v="3"/>
    <s v="Male"/>
    <s v="Dec"/>
  </r>
  <r>
    <s v="Sneha Iyer"/>
    <n v="46"/>
    <s v="Male"/>
    <s v="Electronics"/>
    <s v="Samsung Smart TV 43&quot;"/>
    <n v="1"/>
    <n v="38900"/>
    <n v="10"/>
    <s v="Cash"/>
    <s v="Delivered"/>
    <x v="0"/>
    <n v="35010"/>
    <s v="North"/>
    <x v="1"/>
    <x v="0"/>
    <s v="Male"/>
    <s v="Jan"/>
  </r>
  <r>
    <s v="Pooja Nair"/>
    <n v="29"/>
    <s v="Male"/>
    <s v="Electronics"/>
    <s v="Lenovo Tab M10"/>
    <n v="2"/>
    <n v="22000"/>
    <n v="20"/>
    <s v="UPI"/>
    <s v="Delivered"/>
    <x v="0"/>
    <n v="35200"/>
    <s v="North"/>
    <x v="1"/>
    <x v="0"/>
    <s v="Male"/>
    <s v="Null"/>
  </r>
  <r>
    <s v="Gaurav Bansal"/>
    <n v="200"/>
    <s v="Male"/>
    <s v="Home &amp; Kitchen"/>
    <s v="Bajaj Mixer Grinder"/>
    <n v="9"/>
    <n v="4606"/>
    <n v="15"/>
    <s v="Cash"/>
    <s v="returned"/>
    <x v="1"/>
    <n v="35235.9"/>
    <s v="West"/>
    <x v="0"/>
    <x v="3"/>
    <s v="Male"/>
    <s v="May"/>
  </r>
  <r>
    <s v="Pranav Kulkarni"/>
    <n v="63"/>
    <s v="Male"/>
    <s v="Home &amp; Kitchen"/>
    <s v="Pigeon Induction Cooktop"/>
    <n v="10"/>
    <n v="3775"/>
    <n v="5"/>
    <s v="UPI"/>
    <s v="Delivered"/>
    <x v="0"/>
    <n v="35862.5"/>
    <s v="East"/>
    <x v="2"/>
    <x v="3"/>
    <s v="Male"/>
    <s v="Sep"/>
  </r>
  <r>
    <s v="Shweta Ghosh"/>
    <n v="38"/>
    <s v="Female"/>
    <s v="Home &amp; Kitchen"/>
    <s v="Hawkins Cookware Set"/>
    <n v="6"/>
    <n v="6051"/>
    <n v="0"/>
    <s v="Card"/>
    <s v="returned"/>
    <x v="1"/>
    <n v="36306"/>
    <s v="Norht"/>
    <x v="1"/>
    <x v="3"/>
    <s v="Female"/>
    <s v="May"/>
  </r>
  <r>
    <s v="RAHUL GUPTA"/>
    <n v="34"/>
    <s v="Female"/>
    <s v="Home &amp; Kitchen"/>
    <s v="Philips Air Fryer"/>
    <n v="7"/>
    <n v="6507"/>
    <n v="20"/>
    <s v="Cash"/>
    <s v="Delivered"/>
    <x v="0"/>
    <n v="36439.199999999997"/>
    <s v="North"/>
    <x v="1"/>
    <x v="3"/>
    <s v="Female"/>
    <s v="Nov"/>
  </r>
  <r>
    <s v="Rekha Sinha"/>
    <n v="53"/>
    <s v="Male"/>
    <s v="Electronics"/>
    <s v="LG Washing Machine"/>
    <n v="2"/>
    <n v="26100"/>
    <n v="30"/>
    <s v="Card"/>
    <s v="returned"/>
    <x v="1"/>
    <n v="36540"/>
    <s v="East"/>
    <x v="2"/>
    <x v="0"/>
    <s v="Male"/>
    <s v="Null"/>
  </r>
  <r>
    <s v="Sunita Pandey"/>
    <n v="20"/>
    <s v="Male"/>
    <s v="Electronics"/>
    <s v="Samsung Smart TV 43&quot;"/>
    <n v="1"/>
    <n v="40800"/>
    <n v="10"/>
    <s v="UPI"/>
    <s v="Delivered"/>
    <x v="0"/>
    <n v="36720"/>
    <s v="West"/>
    <x v="0"/>
    <x v="0"/>
    <s v="Male"/>
    <s v="Dec"/>
  </r>
  <r>
    <s v="Pooja Nair"/>
    <n v="44"/>
    <s v="Female"/>
    <s v="Electronics"/>
    <s v="Whirlpool Refrigerator"/>
    <n v="1"/>
    <n v="49100"/>
    <n v="25"/>
    <s v="UPI"/>
    <s v="Delvered"/>
    <x v="0"/>
    <n v="36825"/>
    <s v="West"/>
    <x v="0"/>
    <x v="0"/>
    <s v="Female"/>
    <s v="Null"/>
  </r>
  <r>
    <s v="Geeta Thakur"/>
    <n v="60"/>
    <s v="Male"/>
    <s v="Electronics"/>
    <s v="LG Washing Machine"/>
    <n v="2"/>
    <n v="31600"/>
    <n v="40"/>
    <s v="UPI"/>
    <s v="Delivered"/>
    <x v="0"/>
    <n v="37920"/>
    <s v="North"/>
    <x v="1"/>
    <x v="0"/>
    <s v="Male"/>
    <s v="Null"/>
  </r>
  <r>
    <s v="Null"/>
    <n v="23"/>
    <s v="Other"/>
    <s v="Electronics"/>
    <s v="LG Washing Machine"/>
    <n v="1"/>
    <n v="40200"/>
    <n v="5"/>
    <s v="UPI"/>
    <s v="Delivered"/>
    <x v="0"/>
    <n v="38190"/>
    <s v="North"/>
    <x v="1"/>
    <x v="0"/>
    <s v="Other"/>
    <s v="Mar"/>
  </r>
  <r>
    <s v="Gaurav Bansal"/>
    <n v="37"/>
    <s v="Female"/>
    <s v="Electronics"/>
    <s v="Samsung Smart TV 43&quot;"/>
    <n v="1"/>
    <n v="43200"/>
    <n v="10"/>
    <s v="COD"/>
    <s v="Delivered"/>
    <x v="0"/>
    <n v="38880"/>
    <s v="North"/>
    <x v="1"/>
    <x v="0"/>
    <s v="Female"/>
    <s v="Null"/>
  </r>
  <r>
    <s v="Kavya Reddy"/>
    <n v="27"/>
    <s v="Female"/>
    <s v="Beauty"/>
    <s v="Forest Essentials Cream"/>
    <n v="10"/>
    <n v="4869"/>
    <n v="20"/>
    <s v="COD"/>
    <s v="Delivered"/>
    <x v="0"/>
    <n v="38952"/>
    <s v="South"/>
    <x v="3"/>
    <x v="2"/>
    <s v="Female"/>
    <s v="Feb"/>
  </r>
  <r>
    <s v="Null"/>
    <n v="45"/>
    <s v="Male"/>
    <s v="Electronics"/>
    <s v="Samsung Smart TV 43&quot;"/>
    <n v="1"/>
    <n v="49500"/>
    <n v="20"/>
    <s v="COD"/>
    <s v="Delivered"/>
    <x v="0"/>
    <n v="39600"/>
    <s v="North"/>
    <x v="1"/>
    <x v="0"/>
    <s v="Male"/>
    <s v="Mar"/>
  </r>
  <r>
    <s v="Vikas Saxena"/>
    <n v="30"/>
    <s v="Male"/>
    <s v="Electronics"/>
    <s v="Samsung Smart TV 43&quot;"/>
    <n v="1"/>
    <n v="44200"/>
    <n v="10"/>
    <s v="UPI"/>
    <s v="Cancelled"/>
    <x v="2"/>
    <n v="39780"/>
    <s v="East"/>
    <x v="2"/>
    <x v="0"/>
    <s v="Male"/>
    <s v="Null"/>
  </r>
  <r>
    <s v="Vikram Mehta"/>
    <n v="150"/>
    <s v="Male"/>
    <s v="Electonics"/>
    <s v="Samsung Smart TV 43&quot;"/>
    <n v="1"/>
    <n v="40100"/>
    <n v="0"/>
    <s v="Cash"/>
    <s v="Delivered"/>
    <x v="0"/>
    <n v="40100"/>
    <s v="West"/>
    <x v="0"/>
    <x v="0"/>
    <s v="Male"/>
    <s v="Null"/>
  </r>
  <r>
    <s v="Vikram Mehta"/>
    <n v="44"/>
    <s v="Female"/>
    <s v="Electronics"/>
    <s v="Whirlpool Refrigerator"/>
    <n v="1"/>
    <n v="40500"/>
    <n v="0"/>
    <s v="Cash"/>
    <s v="Delivered"/>
    <x v="0"/>
    <n v="40500"/>
    <s v="South"/>
    <x v="3"/>
    <x v="0"/>
    <s v="Female"/>
    <s v="Mar"/>
  </r>
  <r>
    <s v="Pooja Nair"/>
    <n v="48"/>
    <s v="Female"/>
    <s v="Electronics"/>
    <s v="Canon DSLR Camera"/>
    <n v="1"/>
    <n v="42700"/>
    <n v="5"/>
    <s v="Crdit Card"/>
    <s v="Cancelled"/>
    <x v="2"/>
    <n v="40565"/>
    <s v="North"/>
    <x v="1"/>
    <x v="0"/>
    <s v="Female"/>
    <s v="Null"/>
  </r>
  <r>
    <s v="Karthik Rajan"/>
    <n v="26"/>
    <s v="Female"/>
    <s v="Home &amp; Kitchen"/>
    <s v="Milton Steel Bottles"/>
    <n v="9"/>
    <n v="502590"/>
    <n v="10"/>
    <s v="COD"/>
    <s v="Delivered"/>
    <x v="0"/>
    <n v="40709"/>
    <s v="Nort"/>
    <x v="1"/>
    <x v="3"/>
    <s v="Female"/>
    <s v="Null"/>
  </r>
  <r>
    <s v="Null"/>
    <n v="63"/>
    <s v="Male"/>
    <s v="Electronics"/>
    <s v="Realme Smartphone"/>
    <n v="2"/>
    <n v="21100"/>
    <n v="0"/>
    <s v="Cash"/>
    <s v="Cancled"/>
    <x v="2"/>
    <n v="42200"/>
    <s v="East"/>
    <x v="2"/>
    <x v="0"/>
    <s v="Male"/>
    <s v="Dec"/>
  </r>
  <r>
    <s v="Rajan Bhatt"/>
    <n v="27"/>
    <s v="Female"/>
    <s v="Electronics"/>
    <s v="Xiaomi Smart TV 32&quot;"/>
    <n v="2"/>
    <n v="21300"/>
    <n v="0"/>
    <s v="Card"/>
    <s v="Delivered"/>
    <x v="0"/>
    <n v="42600"/>
    <s v="West"/>
    <x v="0"/>
    <x v="0"/>
    <s v="Female"/>
    <s v="Mar"/>
  </r>
  <r>
    <s v="Null"/>
    <n v="48"/>
    <s v="Female"/>
    <s v="Home &amp; Kitchen"/>
    <s v="Philips Air Fryer"/>
    <n v="8"/>
    <n v="5326"/>
    <n v="10"/>
    <s v="COD"/>
    <s v="Delivered"/>
    <x v="0"/>
    <n v="42608"/>
    <s v="South"/>
    <x v="3"/>
    <x v="3"/>
    <s v="Female"/>
    <s v="Null"/>
  </r>
  <r>
    <s v="Shweta Ghosh"/>
    <n v="47"/>
    <s v="Other"/>
    <s v="Home &amp; Kitchen"/>
    <s v="Prestige Pressure Cooker"/>
    <n v="99"/>
    <n v="4788"/>
    <n v="10"/>
    <s v="UPI"/>
    <s v="Cancelled"/>
    <x v="2"/>
    <n v="42660.800000000003"/>
    <s v="South"/>
    <x v="3"/>
    <x v="3"/>
    <s v="Other"/>
    <s v="Feb"/>
  </r>
  <r>
    <s v="Arjun Pillai"/>
    <n v="43"/>
    <s v="Male"/>
    <s v="Home &amp; Kitchen"/>
    <s v="Orient Ceiling Fan"/>
    <n v="9"/>
    <n v="4831"/>
    <n v="0"/>
    <s v="Card"/>
    <s v="Cancelled"/>
    <x v="2"/>
    <n v="43479"/>
    <s v="South"/>
    <x v="3"/>
    <x v="3"/>
    <s v="Male"/>
    <s v="Nov"/>
  </r>
  <r>
    <s v="Rekha Sinha"/>
    <n v="32"/>
    <s v="Female"/>
    <s v="Home &amp; Kitchen"/>
    <s v="Hawkins Cookware Set"/>
    <n v="9"/>
    <n v="6940"/>
    <n v="30"/>
    <s v="Cash"/>
    <s v="Cancelled"/>
    <x v="2"/>
    <n v="43722"/>
    <s v="South"/>
    <x v="3"/>
    <x v="3"/>
    <s v="Female"/>
    <s v="Nov"/>
  </r>
  <r>
    <s v="Rekha Sinha"/>
    <n v="37"/>
    <s v="Male"/>
    <s v="Home &amp; Kitchen"/>
    <s v="Orient Ceiling Fan"/>
    <n v="6"/>
    <n v="734488"/>
    <n v="0"/>
    <s v="Cash"/>
    <s v="Delivered"/>
    <x v="0"/>
    <n v="44069"/>
    <s v="South"/>
    <x v="3"/>
    <x v="3"/>
    <s v="Male"/>
    <s v="Null"/>
  </r>
  <r>
    <s v="Rekha Sinha"/>
    <n v="29"/>
    <s v="Female"/>
    <s v="Electronics"/>
    <s v="Whirlpool Refrigerator"/>
    <n v="1"/>
    <n v="52000"/>
    <n v="15"/>
    <s v="UPI"/>
    <s v="Delivered"/>
    <x v="0"/>
    <n v="44200"/>
    <s v="West"/>
    <x v="0"/>
    <x v="0"/>
    <s v="Female"/>
    <s v="Oct"/>
  </r>
  <r>
    <s v="Deepika Rao"/>
    <n v="64"/>
    <s v="Female"/>
    <s v="Electronics"/>
    <s v="Lenovo Tab M10"/>
    <n v="2"/>
    <n v="22400"/>
    <n v="0"/>
    <s v="COD"/>
    <s v="Cancelled"/>
    <x v="2"/>
    <n v="44800"/>
    <s v="East"/>
    <x v="2"/>
    <x v="0"/>
    <s v="Female"/>
    <s v="Jun"/>
  </r>
  <r>
    <s v="Shweta Ghosh"/>
    <n v="40"/>
    <s v="Male"/>
    <s v="Home &amp; Kitchen"/>
    <s v="Godrej Almirah"/>
    <n v="7"/>
    <n v="8092"/>
    <n v="20"/>
    <s v="UPI"/>
    <s v="returned"/>
    <x v="1"/>
    <n v="45315.199999999997"/>
    <s v="West"/>
    <x v="0"/>
    <x v="3"/>
    <s v="Male"/>
    <s v="Null"/>
  </r>
  <r>
    <s v="Tanvi Kulkarni"/>
    <n v="36"/>
    <s v="Male"/>
    <s v="Elctronics"/>
    <s v="Lenovo Tab M10"/>
    <n v="2"/>
    <n v="23900"/>
    <n v="5"/>
    <s v="Card"/>
    <s v="Delivered"/>
    <x v="0"/>
    <n v="45410"/>
    <s v="West"/>
    <x v="0"/>
    <x v="0"/>
    <s v="Male"/>
    <s v="Feb"/>
  </r>
  <r>
    <s v="Null"/>
    <n v="19"/>
    <s v="Male"/>
    <s v="Home&amp;Kitchen"/>
    <s v="Godrej Almirah"/>
    <n v="7"/>
    <n v="685509"/>
    <n v="5"/>
    <s v="Card"/>
    <s v="Delivered"/>
    <x v="0"/>
    <n v="45586.85"/>
    <s v="South"/>
    <x v="3"/>
    <x v="3"/>
    <s v="Male"/>
    <s v="Jul"/>
  </r>
  <r>
    <s v="Null"/>
    <n v="63"/>
    <s v="Male"/>
    <s v="Electronics"/>
    <s v="Samsung Smart TV 43&quot;"/>
    <n v="1"/>
    <n v="48100"/>
    <n v="5"/>
    <s v="UPI"/>
    <s v="Delivered"/>
    <x v="0"/>
    <n v="45695"/>
    <s v="West"/>
    <x v="0"/>
    <x v="0"/>
    <s v="Male"/>
    <s v="Jul"/>
  </r>
  <r>
    <s v="Neha Mishra"/>
    <n v="24"/>
    <s v="Male"/>
    <s v="Beauty"/>
    <s v="Forest Essentials Cream"/>
    <n v="10"/>
    <n v="4604"/>
    <n v="0"/>
    <s v="Card"/>
    <s v="Delivered"/>
    <x v="0"/>
    <n v="46040"/>
    <s v="North"/>
    <x v="1"/>
    <x v="2"/>
    <s v="Male"/>
    <s v="Null"/>
  </r>
  <r>
    <s v="Shweta Ghosh"/>
    <n v="19"/>
    <s v="Female"/>
    <s v="clothing"/>
    <s v="Raymond Suit"/>
    <n v="2"/>
    <n v="584495"/>
    <m/>
    <s v="UPI"/>
    <s v="Delivered"/>
    <x v="0"/>
    <n v="46759"/>
    <s v="West"/>
    <x v="0"/>
    <x v="1"/>
    <s v="Female"/>
    <s v="Dec"/>
  </r>
  <r>
    <s v="Meera Nambiar"/>
    <n v="32"/>
    <s v="Female"/>
    <s v="Home &amp; Kitchen"/>
    <s v="Hawkins Cookware Set"/>
    <n v="6"/>
    <n v="7803"/>
    <n v="5"/>
    <s v="Card"/>
    <s v="Delivered"/>
    <x v="0"/>
    <n v="46818"/>
    <s v="Est"/>
    <x v="2"/>
    <x v="3"/>
    <s v="Female"/>
    <s v="Null"/>
  </r>
  <r>
    <s v="Rahull Gupta"/>
    <n v="61"/>
    <s v="Female"/>
    <s v="Home &amp; Kitchen"/>
    <s v="Godrej Almirah"/>
    <n v="6"/>
    <n v="8251"/>
    <n v="5"/>
    <s v="UPI"/>
    <s v="Delivered"/>
    <x v="0"/>
    <n v="47030.7"/>
    <s v="East"/>
    <x v="2"/>
    <x v="3"/>
    <s v="Female"/>
    <s v="Nov"/>
  </r>
  <r>
    <s v="Suresh Joshi"/>
    <n v="34"/>
    <s v="Female"/>
    <s v="Home &amp; Kitchen"/>
    <s v="Prestige Pressure Cooker"/>
    <n v="99"/>
    <n v="4762"/>
    <n v="0"/>
    <s v="Card"/>
    <s v="Delivered"/>
    <x v="0"/>
    <n v="47143"/>
    <s v="North"/>
    <x v="1"/>
    <x v="3"/>
    <s v="Female"/>
    <s v="May"/>
  </r>
  <r>
    <s v="Neha Mishra"/>
    <n v="47"/>
    <s v="Male"/>
    <s v="Electronics"/>
    <s v="boAt Earbuds"/>
    <n v="2"/>
    <n v="473197"/>
    <n v="15"/>
    <s v="COD"/>
    <s v="Returnd"/>
    <x v="1"/>
    <n v="47319"/>
    <s v="West"/>
    <x v="0"/>
    <x v="0"/>
    <s v="Male"/>
    <s v="May"/>
  </r>
  <r>
    <s v="Nikhil Bose"/>
    <m/>
    <s v="Male"/>
    <s v="Electronics"/>
    <s v="Samsung Smart TV 43&quot;"/>
    <n v="1"/>
    <n v="47500"/>
    <n v="0"/>
    <s v="UPI"/>
    <s v="Delivered"/>
    <x v="0"/>
    <n v="47500"/>
    <s v="North"/>
    <x v="1"/>
    <x v="0"/>
    <s v="Male"/>
    <s v="Null"/>
  </r>
  <r>
    <s v="Deepika Rao"/>
    <n v="49"/>
    <s v="Female"/>
    <s v="Electronics"/>
    <s v="Xiaomi Smart TV 32&quot;"/>
    <n v="2"/>
    <n v="25100"/>
    <n v="5"/>
    <s v="COD"/>
    <s v="Delivered"/>
    <x v="0"/>
    <n v="47690"/>
    <s v="South"/>
    <x v="3"/>
    <x v="0"/>
    <s v="Female"/>
    <s v="Nov"/>
  </r>
  <r>
    <s v="Nitin Kapoor"/>
    <n v="60"/>
    <s v="Male"/>
    <s v="Electronics"/>
    <s v="Whirlpool Refrigerator"/>
    <n v="1"/>
    <n v="53000"/>
    <n v="10"/>
    <s v="UPI"/>
    <s v="Delivered"/>
    <x v="0"/>
    <n v="47700"/>
    <s v="South"/>
    <x v="3"/>
    <x v="0"/>
    <s v="Male"/>
    <s v="Null"/>
  </r>
  <r>
    <s v="Null"/>
    <n v="36"/>
    <s v="Male"/>
    <s v="Electronics"/>
    <s v="Whirlpool Refrigerator"/>
    <n v="1"/>
    <n v="47900"/>
    <n v="15"/>
    <s v="Card"/>
    <s v="Delivered"/>
    <x v="0"/>
    <n v="47900"/>
    <s v="North"/>
    <x v="1"/>
    <x v="0"/>
    <s v="Male"/>
    <s v="Nov"/>
  </r>
  <r>
    <s v="Nikhil Bose"/>
    <n v="24"/>
    <s v="Male"/>
    <s v="Electronics"/>
    <s v="Samsung Smart TV 43&quot;"/>
    <n v="1"/>
    <n v="48200"/>
    <n v="0"/>
    <s v="U.P.I"/>
    <s v="Delivered"/>
    <x v="0"/>
    <n v="48200"/>
    <s v="South"/>
    <x v="3"/>
    <x v="0"/>
    <s v="Male"/>
    <s v="Nov"/>
  </r>
  <r>
    <s v="Null"/>
    <n v="41"/>
    <s v="Male"/>
    <s v="Home &amp; Kitchen"/>
    <s v="Godrej Almirah"/>
    <n v="10"/>
    <n v="9793"/>
    <n v="50"/>
    <s v="Cash"/>
    <s v="Delvered"/>
    <x v="0"/>
    <n v="48965"/>
    <s v="East"/>
    <x v="2"/>
    <x v="3"/>
    <s v="Male"/>
    <s v="Null"/>
  </r>
  <r>
    <s v="Geeta Thakur"/>
    <n v="34"/>
    <s v="Male"/>
    <s v="Electronics"/>
    <s v="LG Washing Machine"/>
    <n v="2"/>
    <n v="29000"/>
    <n v="15"/>
    <s v="Cash"/>
    <s v="returned"/>
    <x v="1"/>
    <n v="49300"/>
    <s v="Wst"/>
    <x v="0"/>
    <x v="0"/>
    <s v="Male"/>
    <s v="Jul"/>
  </r>
  <r>
    <s v="Manoj Chauhan"/>
    <n v="60"/>
    <s v="Female"/>
    <s v="Electronics"/>
    <s v="Whirlpool Refrigerator"/>
    <n v="2"/>
    <n v="49600"/>
    <n v="5"/>
    <s v="Cash"/>
    <s v="Delivered"/>
    <x v="0"/>
    <n v="49600"/>
    <s v="West"/>
    <x v="0"/>
    <x v="0"/>
    <s v="Female"/>
    <s v="Mar"/>
  </r>
  <r>
    <s v="Manoj Chauhan"/>
    <m/>
    <s v="Male"/>
    <s v="Elctronics"/>
    <s v="Lenovo Tab M10"/>
    <n v="2"/>
    <n v="24900"/>
    <n v="0"/>
    <s v="COD"/>
    <s v="Delivered"/>
    <x v="0"/>
    <n v="49800"/>
    <s v="South"/>
    <x v="3"/>
    <x v="0"/>
    <s v="Male"/>
    <s v="Null"/>
  </r>
  <r>
    <s v="Sanjay Dubey"/>
    <n v="200"/>
    <s v="Female"/>
    <s v="Electronics"/>
    <s v="LG Washing Machine"/>
    <n v="2"/>
    <n v="28000"/>
    <n v="10"/>
    <s v="Cash"/>
    <s v="Cancelled"/>
    <x v="2"/>
    <n v="50400"/>
    <s v="South"/>
    <x v="3"/>
    <x v="0"/>
    <s v="Female"/>
    <s v="Null"/>
  </r>
  <r>
    <s v="Tanvi Kulkarni"/>
    <n v="60"/>
    <s v="Male"/>
    <s v="Hme &amp; Kitchen"/>
    <s v="Milton Steel Bottles"/>
    <n v="9"/>
    <n v="590057"/>
    <n v="5"/>
    <s v="COD"/>
    <s v="Delivered"/>
    <x v="0"/>
    <n v="50449.35"/>
    <s v="West"/>
    <x v="0"/>
    <x v="3"/>
    <s v="Male"/>
    <s v="Oct"/>
  </r>
  <r>
    <s v="Gaurav Bansal"/>
    <n v="26"/>
    <s v="Femal"/>
    <s v="Electroni cs"/>
    <s v="Samsung Smart TV 43&quot;"/>
    <n v="2"/>
    <n v="50800"/>
    <n v="-10"/>
    <s v="Card"/>
    <s v="Delivered"/>
    <x v="0"/>
    <n v="50800"/>
    <s v="North"/>
    <x v="1"/>
    <x v="0"/>
    <s v="Other"/>
    <s v="Jul"/>
  </r>
  <r>
    <s v="Null"/>
    <n v="43"/>
    <s v="Female"/>
    <s v="Beauty"/>
    <s v="Dove Body Lotion"/>
    <n v="99"/>
    <n v="645"/>
    <n v="20"/>
    <s v="Card"/>
    <s v="Delivered"/>
    <x v="0"/>
    <n v="51084"/>
    <s v="East"/>
    <x v="2"/>
    <x v="2"/>
    <s v="Female"/>
    <s v="Jun"/>
  </r>
  <r>
    <s v="Deepika Rao"/>
    <n v="47"/>
    <s v="Male"/>
    <s v="Home &amp; Kitchen"/>
    <s v="Hawkins Cookware Set"/>
    <n v="10"/>
    <n v="6409"/>
    <n v="20"/>
    <s v="COD"/>
    <s v="Delivered"/>
    <x v="0"/>
    <n v="51272"/>
    <s v="East"/>
    <x v="2"/>
    <x v="3"/>
    <s v="Male"/>
    <s v="Mar"/>
  </r>
  <r>
    <s v="Null"/>
    <n v="36"/>
    <s v="Female"/>
    <s v="Electronics"/>
    <s v="Dell Laptop i5"/>
    <n v="1"/>
    <n v="57000"/>
    <n v="10"/>
    <s v="Cash"/>
    <s v="Delivered"/>
    <x v="0"/>
    <n v="51300"/>
    <s v="South"/>
    <x v="3"/>
    <x v="0"/>
    <s v="Female"/>
    <s v="Null"/>
  </r>
  <r>
    <s v="Null"/>
    <n v="21"/>
    <s v="Female"/>
    <s v="Electronics"/>
    <s v="OnePlus 11 5G"/>
    <n v="1"/>
    <n v="57600"/>
    <n v="10"/>
    <s v="Card"/>
    <s v="Delivered"/>
    <x v="0"/>
    <n v="51840"/>
    <s v="West"/>
    <x v="0"/>
    <x v="0"/>
    <s v="Female"/>
    <s v="Oct"/>
  </r>
  <r>
    <s v="Deepika Rao"/>
    <n v="48"/>
    <s v="Female"/>
    <s v="Home &amp; Kitchen"/>
    <s v="Philips Air Fryer"/>
    <n v="6"/>
    <n v="8703"/>
    <n v="0"/>
    <s v="COD"/>
    <s v="Cancelled"/>
    <x v="2"/>
    <n v="52218"/>
    <s v="South"/>
    <x v="3"/>
    <x v="3"/>
    <s v="Female"/>
    <s v="Mar"/>
  </r>
  <r>
    <s v="Manish Agarwal"/>
    <n v="65"/>
    <s v="Female"/>
    <s v="Home &amp; Kitchen"/>
    <s v="Bajaj Mixer Grinder"/>
    <n v="4"/>
    <n v="3446"/>
    <n v="5"/>
    <s v="Cash"/>
    <s v="Delivered"/>
    <x v="0"/>
    <n v="52379.199999999997"/>
    <s v="North"/>
    <x v="1"/>
    <x v="3"/>
    <s v="Female"/>
    <s v="May"/>
  </r>
  <r>
    <s v="Manish Agarwal"/>
    <n v="21"/>
    <s v="Male"/>
    <s v="Electronics"/>
    <s v="Canon DSLR Camera"/>
    <n v="1"/>
    <n v="53200"/>
    <n v="0"/>
    <s v="UPI"/>
    <s v="Delivered"/>
    <x v="0"/>
    <n v="53200"/>
    <s v="North"/>
    <x v="1"/>
    <x v="0"/>
    <s v="Male"/>
    <s v="Mar"/>
  </r>
  <r>
    <s v="Amit Kumar"/>
    <n v="50"/>
    <s v="Male"/>
    <s v="Electronics"/>
    <s v="OnePlus 11 5G"/>
    <n v="2"/>
    <n v="62400"/>
    <n v="25"/>
    <s v="Card"/>
    <s v="returned"/>
    <x v="1"/>
    <n v="53600"/>
    <s v="North"/>
    <x v="1"/>
    <x v="0"/>
    <s v="Male"/>
    <s v="May"/>
  </r>
  <r>
    <s v="Priya Patel"/>
    <n v="49"/>
    <s v="Mle"/>
    <s v="Electronics"/>
    <s v="Dell Laptop i5"/>
    <n v="1"/>
    <n v="59600"/>
    <n v="10"/>
    <s v="UPI"/>
    <s v="Delivered"/>
    <x v="0"/>
    <n v="53640"/>
    <s v="North"/>
    <x v="1"/>
    <x v="0"/>
    <s v="Other"/>
    <s v="Null"/>
  </r>
  <r>
    <s v="Sanjay Dubey"/>
    <n v="58"/>
    <s v="Male"/>
    <s v="Home &amp; Kitchen"/>
    <s v="Philips Air Fryer"/>
    <n v="8"/>
    <n v="7651"/>
    <n v="10"/>
    <s v="UPI"/>
    <s v="Delivered"/>
    <x v="0"/>
    <n v="55087.199999999997"/>
    <s v="South"/>
    <x v="3"/>
    <x v="3"/>
    <s v="Male"/>
    <s v="May"/>
  </r>
  <r>
    <s v="Null"/>
    <n v="61"/>
    <s v="Male"/>
    <s v="Electronics"/>
    <s v="OnePlus 11 5G"/>
    <n v="1"/>
    <n v="61500"/>
    <n v="10"/>
    <s v="Card"/>
    <s v="Deliverd"/>
    <x v="0"/>
    <n v="55350"/>
    <s v="East"/>
    <x v="2"/>
    <x v="0"/>
    <s v="Male"/>
    <s v="Apr"/>
  </r>
  <r>
    <s v="Rekha Sinha"/>
    <n v="48"/>
    <s v="Female"/>
    <s v="Home &amp; Kitchen"/>
    <s v="Hawkins Cookware Set"/>
    <n v="9"/>
    <n v="7311"/>
    <n v="15"/>
    <s v="Cash"/>
    <s v="Delivered"/>
    <x v="0"/>
    <n v="55929.15"/>
    <s v="North"/>
    <x v="1"/>
    <x v="3"/>
    <s v="Female"/>
    <s v="Jun"/>
  </r>
  <r>
    <s v="Null"/>
    <n v="27"/>
    <s v="Female"/>
    <s v="Electonics"/>
    <s v="Dell Laptop i5"/>
    <n v="1"/>
    <n v="62200"/>
    <n v="10"/>
    <s v="Card"/>
    <s v="Delivered"/>
    <x v="0"/>
    <n v="55980"/>
    <s v="East"/>
    <x v="2"/>
    <x v="0"/>
    <s v="Female"/>
    <s v="Nov"/>
  </r>
  <r>
    <s v="Ritu Bhatia"/>
    <n v="52"/>
    <s v="M"/>
    <s v="Electronics"/>
    <s v="OnePlus 11 5G"/>
    <n v="1"/>
    <n v="59300"/>
    <n v="5"/>
    <s v="UPI"/>
    <s v="Cancelled"/>
    <x v="2"/>
    <n v="56335"/>
    <s v="South"/>
    <x v="3"/>
    <x v="0"/>
    <s v="Male"/>
    <s v="Dec"/>
  </r>
  <r>
    <s v="Deepika Rao"/>
    <n v="40"/>
    <s v="Female"/>
    <s v="Electronics"/>
    <s v="Canon DSLR Camera"/>
    <n v="1"/>
    <n v="70500"/>
    <n v="20"/>
    <s v="UPI"/>
    <s v="Cancelled"/>
    <x v="2"/>
    <n v="56400"/>
    <s v="East"/>
    <x v="2"/>
    <x v="0"/>
    <s v="Female"/>
    <s v="Null"/>
  </r>
  <r>
    <s v="Null"/>
    <n v="26"/>
    <s v="Female"/>
    <s v="Home &amp; Kitchen"/>
    <s v="Godrej Almirah"/>
    <n v="5"/>
    <n v="11386"/>
    <n v="0"/>
    <s v="COD"/>
    <s v="Delivered"/>
    <x v="0"/>
    <n v="56930"/>
    <s v="North"/>
    <x v="1"/>
    <x v="3"/>
    <s v="Female"/>
    <s v="Apr"/>
  </r>
  <r>
    <s v="Null"/>
    <n v="55"/>
    <s v="Male"/>
    <s v="clothing"/>
    <s v="Allen Solly Formal Shirt"/>
    <n v="20"/>
    <n v="3000"/>
    <n v="5"/>
    <s v="COD"/>
    <s v="Delivered"/>
    <x v="0"/>
    <n v="57000"/>
    <s v="West"/>
    <x v="0"/>
    <x v="1"/>
    <s v="Male"/>
    <s v="Jun"/>
  </r>
  <r>
    <s v="Manish Agarwal"/>
    <n v="40"/>
    <s v="Female"/>
    <s v="Electronics"/>
    <s v="OnePlus 11 5G"/>
    <n v="2"/>
    <n v="58300"/>
    <n v="50"/>
    <s v="Card"/>
    <s v="Delvered"/>
    <x v="0"/>
    <n v="58300"/>
    <s v="West"/>
    <x v="0"/>
    <x v="0"/>
    <s v="Female"/>
    <s v="Dec"/>
  </r>
  <r>
    <s v="Shreya Pandey"/>
    <n v="21"/>
    <s v="M"/>
    <s v="Electronics"/>
    <s v="OnePlus 11 5G"/>
    <n v="1"/>
    <n v="59400"/>
    <n v="0"/>
    <s v="Cash"/>
    <s v="Cancelled"/>
    <x v="2"/>
    <n v="59400"/>
    <s v="Westt"/>
    <x v="0"/>
    <x v="0"/>
    <s v="Male"/>
    <s v="Sep"/>
  </r>
  <r>
    <s v="Priya Patel"/>
    <n v="36"/>
    <s v="Female"/>
    <s v="Electronics"/>
    <s v="iPhone 14"/>
    <n v="1"/>
    <n v="85400"/>
    <n v="30"/>
    <s v="UPI"/>
    <s v="Delivered"/>
    <x v="0"/>
    <n v="59780"/>
    <s v="South"/>
    <x v="3"/>
    <x v="0"/>
    <s v="Female"/>
    <s v="Nov"/>
  </r>
  <r>
    <s v="Null"/>
    <n v="21"/>
    <s v="Male"/>
    <s v="Electronics"/>
    <s v="Dell Laptop i5"/>
    <n v="1"/>
    <n v="67000"/>
    <n v="10"/>
    <s v="COD"/>
    <s v="Delivered"/>
    <x v="0"/>
    <n v="60300"/>
    <s v="East"/>
    <x v="2"/>
    <x v="0"/>
    <s v="Male"/>
    <s v="Null"/>
  </r>
  <r>
    <s v="Null"/>
    <n v="64"/>
    <s v="Female"/>
    <s v="Home &amp; Kitchen"/>
    <s v="Philips Air Fryer"/>
    <n v="9"/>
    <n v="6762"/>
    <m/>
    <s v="Cash"/>
    <s v="Delivered"/>
    <x v="0"/>
    <n v="60858"/>
    <s v="North"/>
    <x v="1"/>
    <x v="3"/>
    <s v="Female"/>
    <s v="Oct"/>
  </r>
  <r>
    <s v="Gaurav Bansal"/>
    <n v="47"/>
    <s v="Male"/>
    <s v="Electronics"/>
    <s v="LG Washing Machine"/>
    <n v="2"/>
    <n v="30500"/>
    <n v="0"/>
    <s v="Card"/>
    <s v="Delivered"/>
    <x v="0"/>
    <n v="61000"/>
    <s v="Nort"/>
    <x v="1"/>
    <x v="0"/>
    <s v="Male"/>
    <s v="Apr"/>
  </r>
  <r>
    <s v="Deepika Rao"/>
    <n v="30"/>
    <s v="Male"/>
    <s v="Electronics"/>
    <s v="iPhone 14"/>
    <n v="1"/>
    <n v="88400"/>
    <n v="30"/>
    <s v="Card"/>
    <s v="Delivered"/>
    <x v="0"/>
    <n v="61880"/>
    <s v="North"/>
    <x v="1"/>
    <x v="0"/>
    <s v="Male"/>
    <s v="Mar"/>
  </r>
  <r>
    <s v="Null"/>
    <n v="23"/>
    <s v="Female"/>
    <s v="Electronics"/>
    <s v="Dell Laptop i5"/>
    <n v="2"/>
    <n v="62200"/>
    <n v="50"/>
    <s v="COD"/>
    <s v="Cancelled"/>
    <x v="2"/>
    <n v="62200"/>
    <s v="North"/>
    <x v="1"/>
    <x v="0"/>
    <s v="Female"/>
    <s v="Oct"/>
  </r>
  <r>
    <s v="Deepika Rao"/>
    <n v="62"/>
    <s v="Male"/>
    <s v="Electronics"/>
    <s v="LG Washing Machine"/>
    <n v="2"/>
    <n v="34600"/>
    <n v="10"/>
    <s v="Card"/>
    <s v="returned"/>
    <x v="1"/>
    <n v="62280"/>
    <s v="North"/>
    <x v="1"/>
    <x v="0"/>
    <s v="Male"/>
    <s v="Dec"/>
  </r>
  <r>
    <s v="Manoj Chauhan"/>
    <n v="21"/>
    <s v="Female"/>
    <s v="electrnics"/>
    <s v="Samsung Smart TV 43&quot;"/>
    <n v="2"/>
    <n v="54500"/>
    <n v="15"/>
    <s v="UPI"/>
    <s v="Cancelled"/>
    <x v="2"/>
    <n v="62650"/>
    <s v="East"/>
    <x v="2"/>
    <x v="0"/>
    <s v="Female"/>
    <s v="Nov"/>
  </r>
  <r>
    <s v="Sanjay Dubey"/>
    <n v="55"/>
    <s v="Male"/>
    <s v="Electronics"/>
    <s v="Canon DSLR Camera"/>
    <n v="1"/>
    <n v="70400"/>
    <n v="10"/>
    <s v="COD"/>
    <s v="Delvered"/>
    <x v="0"/>
    <n v="63360"/>
    <s v="West"/>
    <x v="0"/>
    <x v="0"/>
    <s v="Male"/>
    <s v="Aug"/>
  </r>
  <r>
    <s v="Pranav Kulkarni"/>
    <n v="34"/>
    <s v="Female"/>
    <s v="Electronics"/>
    <s v="Samsung Smart TV 43&quot;"/>
    <n v="2"/>
    <n v="53400"/>
    <n v="40"/>
    <s v="COD"/>
    <s v="Cancelled"/>
    <x v="2"/>
    <n v="64080"/>
    <s v="West"/>
    <x v="0"/>
    <x v="0"/>
    <s v="Female"/>
    <s v="Null"/>
  </r>
  <r>
    <s v="Kiran Malhotra"/>
    <n v="55"/>
    <s v="Female"/>
    <s v="Home &amp; Kitchen"/>
    <s v="Hawkins Cookware Set"/>
    <n v="9"/>
    <n v="7153"/>
    <n v="0"/>
    <s v="UPI"/>
    <s v="Cancelled"/>
    <x v="2"/>
    <n v="64377"/>
    <s v="West"/>
    <x v="0"/>
    <x v="3"/>
    <s v="Female"/>
    <s v="Jul"/>
  </r>
  <r>
    <s v="Deepika Rao"/>
    <n v="29"/>
    <s v="Male"/>
    <s v="Home &amp; Kitchen"/>
    <s v="Godrej Almirah"/>
    <n v="5"/>
    <n v="14392"/>
    <n v="10"/>
    <s v="UPI"/>
    <s v="Delivered"/>
    <x v="0"/>
    <n v="64764"/>
    <s v="East"/>
    <x v="2"/>
    <x v="3"/>
    <s v="Male"/>
    <s v="Apr"/>
  </r>
  <r>
    <s v="Ritu Bhatia"/>
    <n v="46"/>
    <s v="Female"/>
    <s v="Electronics"/>
    <s v="Canon DSLR Camera"/>
    <n v="20"/>
    <n v="43700"/>
    <n v="25"/>
    <s v="Csh"/>
    <s v="Delivered"/>
    <x v="0"/>
    <n v="65550"/>
    <s v="South"/>
    <x v="3"/>
    <x v="0"/>
    <s v="Female"/>
    <s v="Apr"/>
  </r>
  <r>
    <s v="Ramesh Naik"/>
    <n v="44"/>
    <s v="Female"/>
    <s v="Electronics"/>
    <s v="Whirlpool Refrigerator"/>
    <n v="2"/>
    <n v="47300"/>
    <n v="30"/>
    <s v="UPI"/>
    <s v="returned"/>
    <x v="1"/>
    <n v="66220"/>
    <s v="West"/>
    <x v="0"/>
    <x v="0"/>
    <s v="Female"/>
    <s v="Nov"/>
  </r>
  <r>
    <s v="Pooja Nair"/>
    <n v="19"/>
    <s v="Male"/>
    <s v="Electronics"/>
    <s v="iPhone 14"/>
    <n v="2"/>
    <n v="86900"/>
    <n v="10"/>
    <s v="Card"/>
    <s v="Delivered"/>
    <x v="0"/>
    <n v="66900"/>
    <s v="East"/>
    <x v="2"/>
    <x v="0"/>
    <s v="Male"/>
    <s v="Dec"/>
  </r>
  <r>
    <s v="Vikram Mehta"/>
    <n v="47"/>
    <s v="Mle"/>
    <s v="Home &amp; Kitchen"/>
    <s v="Borosil Glass Set"/>
    <n v="99"/>
    <n v="1359"/>
    <n v="50"/>
    <s v="Card"/>
    <s v="returned"/>
    <x v="1"/>
    <n v="67270.5"/>
    <s v="North"/>
    <x v="1"/>
    <x v="3"/>
    <s v="Other"/>
    <s v="Null"/>
  </r>
  <r>
    <s v="Null"/>
    <n v="21"/>
    <s v="Male"/>
    <s v="Electronics"/>
    <s v="Samsung Smart TV 43&quot;"/>
    <n v="2"/>
    <n v="51500"/>
    <n v="5"/>
    <s v="UPI"/>
    <s v="Cancelled"/>
    <x v="2"/>
    <n v="67850"/>
    <s v="East"/>
    <x v="2"/>
    <x v="0"/>
    <s v="Male"/>
    <s v="Sep"/>
  </r>
  <r>
    <s v="Neha Mishra"/>
    <n v="21"/>
    <s v="Male"/>
    <s v="Electronics"/>
    <s v="iPhone 14"/>
    <n v="1"/>
    <n v="75800"/>
    <n v="10"/>
    <s v="Cash"/>
    <s v="Delivered"/>
    <x v="0"/>
    <n v="68220"/>
    <s v="South"/>
    <x v="3"/>
    <x v="0"/>
    <s v="Male"/>
    <s v="Mar"/>
  </r>
  <r>
    <s v="Ananya Singh"/>
    <n v="33"/>
    <s v="Male"/>
    <s v="Home &amp; Kitchen"/>
    <s v="Bajaj Mixer Grinder"/>
    <n v="10"/>
    <n v="3667"/>
    <n v="5"/>
    <s v="UPI"/>
    <s v="Delivered"/>
    <x v="0"/>
    <n v="69673"/>
    <s v="East"/>
    <x v="2"/>
    <x v="3"/>
    <s v="Male"/>
    <s v="May"/>
  </r>
  <r>
    <s v="Rekha Sinha"/>
    <n v="48"/>
    <s v="Male"/>
    <s v="Beauty"/>
    <s v="Himalaya Neem Face Pack"/>
    <n v="10"/>
    <n v="781586"/>
    <n v="10"/>
    <s v="Cash"/>
    <s v="Cancelled"/>
    <x v="2"/>
    <n v="70342"/>
    <s v="N"/>
    <x v="1"/>
    <x v="2"/>
    <s v="Male"/>
    <s v="Null"/>
  </r>
  <r>
    <s v="Rekha Sinha"/>
    <n v="48"/>
    <s v="Male"/>
    <s v="Beauty"/>
    <s v="Himalaya Neem Face Pack"/>
    <n v="10"/>
    <n v="781586"/>
    <n v="10"/>
    <s v="Cash"/>
    <s v="Cancelled"/>
    <x v="2"/>
    <n v="70342"/>
    <s v="N"/>
    <x v="1"/>
    <x v="2"/>
    <s v="Male"/>
    <s v="Null"/>
  </r>
  <r>
    <s v="Nikhil Bose"/>
    <n v="35"/>
    <s v="Female"/>
    <s v="Electronics"/>
    <s v="Canon DSLR Camera"/>
    <n v="1"/>
    <n v="70600"/>
    <n v="0"/>
    <s v="COD"/>
    <s v="Delivered"/>
    <x v="0"/>
    <n v="70600"/>
    <s v="East"/>
    <x v="2"/>
    <x v="0"/>
    <s v="Female"/>
    <s v="Null"/>
  </r>
  <r>
    <s v="Manish Agarwal"/>
    <n v="59"/>
    <s v="Male"/>
    <s v="Home &amp; Kitchen"/>
    <s v="Philips Air Fryer"/>
    <n v="6"/>
    <n v="8358"/>
    <n v="25"/>
    <s v="UPI"/>
    <s v="returned"/>
    <x v="1"/>
    <n v="75222"/>
    <s v="North"/>
    <x v="1"/>
    <x v="3"/>
    <s v="Male"/>
    <s v="Nov"/>
  </r>
  <r>
    <s v="Amit Kumar"/>
    <n v="51"/>
    <s v="Female"/>
    <s v="Home &amp; Kitchen"/>
    <s v="Godrej Almirah"/>
    <n v="7"/>
    <n v="10792"/>
    <n v="0"/>
    <s v="Card"/>
    <s v="Delivered"/>
    <x v="0"/>
    <n v="75544"/>
    <s v="West"/>
    <x v="0"/>
    <x v="3"/>
    <s v="Female"/>
    <s v="May"/>
  </r>
  <r>
    <s v="Geeta Thakur"/>
    <n v="58"/>
    <s v="Male"/>
    <s v="Electronics"/>
    <s v="iPhone 14"/>
    <n v="1"/>
    <n v="84900"/>
    <n v="10"/>
    <s v="Cash"/>
    <s v="Delivered"/>
    <x v="0"/>
    <n v="76410"/>
    <s v="South"/>
    <x v="3"/>
    <x v="0"/>
    <s v="Male"/>
    <s v="Mar"/>
  </r>
  <r>
    <s v="Null"/>
    <n v="55"/>
    <s v="Male"/>
    <s v="clothing"/>
    <s v="Adidas Sneakers"/>
    <n v="3"/>
    <n v="8000"/>
    <n v="20"/>
    <s v="UPI"/>
    <s v="Delivered"/>
    <x v="0"/>
    <n v="76800"/>
    <s v="East"/>
    <x v="2"/>
    <x v="1"/>
    <s v="Male"/>
    <s v="Sep"/>
  </r>
  <r>
    <s v="Rekha Sinha"/>
    <n v="20"/>
    <s v="Female"/>
    <s v="Electronics"/>
    <s v="iPhone 14"/>
    <n v="1"/>
    <n v="91100"/>
    <n v="15"/>
    <s v="Cash"/>
    <s v="Delivered"/>
    <x v="0"/>
    <n v="77435"/>
    <s v="North"/>
    <x v="1"/>
    <x v="0"/>
    <s v="Female"/>
    <s v="Sep"/>
  </r>
  <r>
    <s v="Null"/>
    <n v="32"/>
    <s v="Female"/>
    <s v="Electronics"/>
    <s v="Whirlpool Refrigerator"/>
    <n v="2"/>
    <n v="43300"/>
    <n v="10"/>
    <s v="UPI"/>
    <s v="Delivered"/>
    <x v="0"/>
    <n v="77940"/>
    <s v="North"/>
    <x v="1"/>
    <x v="0"/>
    <s v="Female"/>
    <s v="Jul"/>
  </r>
  <r>
    <s v="Null"/>
    <n v="27"/>
    <s v="Male"/>
    <s v="Electronics"/>
    <s v="Samsung Smart TV 43&quot;"/>
    <n v="2"/>
    <n v="52100"/>
    <n v="5"/>
    <s v="UPI"/>
    <s v="Delivered"/>
    <x v="0"/>
    <n v="78990"/>
    <s v="East"/>
    <x v="2"/>
    <x v="0"/>
    <s v="Male"/>
    <s v="Sep"/>
  </r>
  <r>
    <s v="Sanjay Dubey"/>
    <n v="62"/>
    <s v="Male"/>
    <s v="clothing"/>
    <s v="Levi's Jeans"/>
    <n v="20"/>
    <n v="4950"/>
    <n v="20"/>
    <s v="U.P.I"/>
    <s v="Delivered"/>
    <x v="0"/>
    <n v="79200"/>
    <s v="East"/>
    <x v="2"/>
    <x v="1"/>
    <s v="Male"/>
    <s v="Null"/>
  </r>
  <r>
    <s v="Nikhil Bose"/>
    <n v="50"/>
    <s v="Male"/>
    <s v="Electronics"/>
    <s v="Canon DSLR Camera"/>
    <n v="2"/>
    <n v="79800"/>
    <n v="50"/>
    <s v="Card"/>
    <s v="Deliverd"/>
    <x v="0"/>
    <n v="59800"/>
    <s v="East"/>
    <x v="2"/>
    <x v="0"/>
    <s v="Male"/>
    <s v="Oct"/>
  </r>
  <r>
    <s v="Null"/>
    <n v="39"/>
    <s v="Female"/>
    <s v="Electronics"/>
    <s v="iPhone 14"/>
    <n v="1"/>
    <n v="94500"/>
    <n v="15"/>
    <s v="UPI"/>
    <s v="Delivered"/>
    <x v="0"/>
    <n v="60325"/>
    <s v="North"/>
    <x v="1"/>
    <x v="0"/>
    <s v="Female"/>
    <s v="Jan"/>
  </r>
  <r>
    <s v="Null"/>
    <n v="49"/>
    <s v="Male"/>
    <s v="Electronics"/>
    <s v="Canon DSLR Camera"/>
    <n v="2"/>
    <n v="40900"/>
    <n v="0"/>
    <s v="Card"/>
    <s v="Delivered"/>
    <x v="0"/>
    <n v="81800"/>
    <s v="West"/>
    <x v="0"/>
    <x v="0"/>
    <s v="Male"/>
    <s v="Nov"/>
  </r>
  <r>
    <s v="Rahul Gupta"/>
    <n v="7"/>
    <s v="Female"/>
    <s v="Electronics"/>
    <s v="Canon DSLR Camera"/>
    <n v="2"/>
    <n v="68300"/>
    <n v="40"/>
    <s v="COD"/>
    <s v="Delivered"/>
    <x v="0"/>
    <n v="81960"/>
    <s v="South"/>
    <x v="3"/>
    <x v="0"/>
    <s v="Female"/>
    <s v="Sep"/>
  </r>
  <r>
    <s v="Rahul Gupta"/>
    <n v="42"/>
    <s v="Female"/>
    <s v="Electronics"/>
    <s v="Dell Laptop i5"/>
    <n v="1"/>
    <n v="55400"/>
    <n v="50"/>
    <s v="UPI"/>
    <s v="Delivered"/>
    <x v="0"/>
    <n v="83100"/>
    <s v="South"/>
    <x v="3"/>
    <x v="0"/>
    <s v="Female"/>
    <s v="Dec"/>
  </r>
  <r>
    <s v="Gaurav Bansal"/>
    <n v="53"/>
    <s v="Male"/>
    <s v="Home &amp; Kitchen"/>
    <s v="Asian Paints 4L"/>
    <n v="99"/>
    <n v="1650"/>
    <n v="15"/>
    <s v="Card"/>
    <s v="Delivered"/>
    <x v="0"/>
    <n v="83884.5"/>
    <s v="West"/>
    <x v="0"/>
    <x v="3"/>
    <s v="Male"/>
    <s v="Sep"/>
  </r>
  <r>
    <s v="Vikram Mehta"/>
    <m/>
    <s v="Female"/>
    <s v="Electronics"/>
    <s v="iPhone 14"/>
    <n v="1"/>
    <n v="94700"/>
    <n v="10"/>
    <s v="Card"/>
    <s v="Delivered"/>
    <x v="0"/>
    <n v="85230"/>
    <s v="South"/>
    <x v="3"/>
    <x v="0"/>
    <s v="Female"/>
    <s v="Null"/>
  </r>
  <r>
    <s v="Vikas Saxena"/>
    <n v="38"/>
    <s v="Male"/>
    <s v="Home &amp; Kitchen"/>
    <s v="Milton Steel Bottles"/>
    <n v="99"/>
    <n v="862"/>
    <n v="0"/>
    <s v="Cash"/>
    <s v="Delivered"/>
    <x v="0"/>
    <n v="85338"/>
    <s v="West"/>
    <x v="0"/>
    <x v="3"/>
    <s v="Male"/>
    <s v="Jul"/>
  </r>
  <r>
    <s v="Null"/>
    <n v="32"/>
    <s v="Male"/>
    <s v="Electroni cs"/>
    <s v="OnePlus 11 5G"/>
    <n v="2"/>
    <n v="59700"/>
    <n v="25"/>
    <s v="UPI"/>
    <s v="Cancelled"/>
    <x v="2"/>
    <n v="89550"/>
    <s v="South"/>
    <x v="3"/>
    <x v="0"/>
    <s v="Male"/>
    <s v="Null"/>
  </r>
  <r>
    <s v="Sanjay Dubey"/>
    <n v="999"/>
    <s v="Female"/>
    <s v="Home &amp; Kitchen"/>
    <s v="Godrej Almirah"/>
    <n v="10"/>
    <n v="11496"/>
    <n v="10"/>
    <s v="Card"/>
    <s v="Delivered"/>
    <x v="0"/>
    <n v="713464"/>
    <s v="West"/>
    <x v="0"/>
    <x v="3"/>
    <s v="Female"/>
    <s v="Feb"/>
  </r>
  <r>
    <s v="Manish Agarwal"/>
    <n v="60"/>
    <s v="Female"/>
    <s v="Electronics"/>
    <s v="Dell Laptop i5"/>
    <n v="1"/>
    <n v="55400"/>
    <n v="5"/>
    <s v="Cash"/>
    <s v="returned"/>
    <x v="1"/>
    <n v="505260"/>
    <s v="West"/>
    <x v="0"/>
    <x v="0"/>
    <s v="Female"/>
    <s v="Feb"/>
  </r>
  <r>
    <s v="Priya Patel"/>
    <n v="40"/>
    <s v="Female"/>
    <s v="Electronics"/>
    <s v="OnePlus 11 5G"/>
    <n v="2"/>
    <n v="63800"/>
    <n v="15"/>
    <s v="Card"/>
    <s v="returned"/>
    <x v="1"/>
    <n v="108460"/>
    <s v="East"/>
    <x v="2"/>
    <x v="0"/>
    <s v="Female"/>
    <s v="Jul"/>
  </r>
  <r>
    <s v="Shweta Ghosh"/>
    <n v="54"/>
    <s v="Female"/>
    <s v="Home &amp; Kitchen"/>
    <s v="Godrej Almirah"/>
    <n v="8"/>
    <n v="14370"/>
    <n v="0"/>
    <s v="Card"/>
    <s v="returned"/>
    <x v="1"/>
    <n v="114960"/>
    <s v="East"/>
    <x v="2"/>
    <x v="3"/>
    <s v="Female"/>
    <s v="Jan"/>
  </r>
  <r>
    <s v="Shweta Ghosh"/>
    <n v="54"/>
    <s v="Female"/>
    <s v="Home &amp; Kitchen"/>
    <s v="Godrej Almirah"/>
    <n v="8"/>
    <n v="14370"/>
    <n v="0"/>
    <s v="Card"/>
    <s v="returned"/>
    <x v="1"/>
    <n v="114960"/>
    <s v="East"/>
    <x v="2"/>
    <x v="3"/>
    <s v="Female"/>
    <s v="Jan"/>
  </r>
  <r>
    <s v="Gaurav Bansal"/>
    <n v="31"/>
    <s v="Male"/>
    <s v="Electronics"/>
    <s v="OnePlus 11 5G"/>
    <n v="2"/>
    <n v="63900"/>
    <n v="-5"/>
    <s v="COD"/>
    <s v="Delivered"/>
    <x v="0"/>
    <n v="134190"/>
    <s v="North"/>
    <x v="1"/>
    <x v="0"/>
    <s v="Male"/>
    <s v="May"/>
  </r>
  <r>
    <s v="Nikhil Bose"/>
    <n v="58"/>
    <s v="Male"/>
    <s v="Electronics"/>
    <s v="Dell Laptop i5"/>
    <n v="2"/>
    <n v="73300"/>
    <n v="5"/>
    <s v="Card"/>
    <s v="Delivered"/>
    <x v="0"/>
    <n v="139270"/>
    <s v="West"/>
    <x v="0"/>
    <x v="0"/>
    <s v="Male"/>
    <s v="Null"/>
  </r>
  <r>
    <s v="Pranav Kulkarni"/>
    <n v="33"/>
    <s v="Male"/>
    <s v="Electronics"/>
    <s v="iPhone 14"/>
    <n v="2"/>
    <n v="76800"/>
    <n v="5"/>
    <s v="Card"/>
    <s v="Delivered"/>
    <x v="0"/>
    <n v="145920"/>
    <s v="East"/>
    <x v="2"/>
    <x v="0"/>
    <s v="Male"/>
    <s v="Sep"/>
  </r>
  <r>
    <s v="Pallavi Deshmukh"/>
    <n v="34"/>
    <s v="Male"/>
    <s v="Electonics"/>
    <s v="Canon DSLR Camera"/>
    <n v="2"/>
    <n v="77100"/>
    <n v="5"/>
    <s v="UPI"/>
    <s v="Cancelled"/>
    <x v="2"/>
    <n v="146490"/>
    <s v="West"/>
    <x v="0"/>
    <x v="0"/>
    <s v="Male"/>
    <s v="Jun"/>
  </r>
  <r>
    <s v="Geeta Thakur"/>
    <n v="62"/>
    <s v="Female"/>
    <s v="Electroni cs"/>
    <s v="Sony Headphones"/>
    <n v="2"/>
    <m/>
    <n v="30"/>
    <s v="Cash"/>
    <s v="Cancelled"/>
    <x v="2"/>
    <s v="Null"/>
    <s v="South"/>
    <x v="3"/>
    <x v="0"/>
    <s v="Female"/>
    <s v="Aug"/>
  </r>
  <r>
    <s v="Pooja Nair"/>
    <n v="44"/>
    <s v="Female"/>
    <s v="Home &amp; Kitchen"/>
    <s v="Nilkamal Plastic Chair"/>
    <n v="9"/>
    <m/>
    <n v="0"/>
    <s v="Card"/>
    <s v="Delivered"/>
    <x v="0"/>
    <s v="Null"/>
    <s v="North"/>
    <x v="1"/>
    <x v="3"/>
    <s v="Female"/>
    <s v="Nov"/>
  </r>
  <r>
    <s v="Deepika Rao"/>
    <n v="41"/>
    <s v="Male"/>
    <s v="Clthing"/>
    <s v="Allen Solly Formal Shirt"/>
    <n v="1"/>
    <m/>
    <n v="5"/>
    <s v="Card"/>
    <s v="Cancelled"/>
    <x v="2"/>
    <s v="Null"/>
    <s v="East"/>
    <x v="2"/>
    <x v="1"/>
    <s v="Male"/>
    <s v="Dec"/>
  </r>
  <r>
    <s v="Neha Mishra"/>
    <n v="30"/>
    <s v="Male"/>
    <s v="clothing"/>
    <s v="Manyavar Sherwani"/>
    <n v="3"/>
    <m/>
    <n v="10"/>
    <s v="Cash"/>
    <s v="Delivered"/>
    <x v="0"/>
    <s v="Null"/>
    <s v="East"/>
    <x v="2"/>
    <x v="1"/>
    <s v="Male"/>
    <s v="Oct"/>
  </r>
  <r>
    <s v="Meera Nambiar"/>
    <n v="20"/>
    <s v="Female"/>
    <s v="clothing"/>
    <s v="Biba Salwar Suit"/>
    <n v="3"/>
    <m/>
    <n v="25"/>
    <s v="UPI"/>
    <s v="Cancalled"/>
    <x v="2"/>
    <s v="Null"/>
    <s v="North"/>
    <x v="1"/>
    <x v="1"/>
    <s v="Female"/>
    <s v="Null"/>
  </r>
  <r>
    <s v="Shweta Ghosh"/>
    <n v="31"/>
    <s v="Femal"/>
    <s v="clothing"/>
    <s v="Adidas Sneakers"/>
    <n v="1"/>
    <m/>
    <n v="20"/>
    <s v="UPI"/>
    <s v="Delivered"/>
    <x v="0"/>
    <s v="Null"/>
    <s v="East"/>
    <x v="2"/>
    <x v="1"/>
    <s v="Other"/>
    <s v="Null"/>
  </r>
  <r>
    <s v="Manish Agarwal"/>
    <n v="46"/>
    <s v="Female"/>
    <s v="Home &amp; Kitchen"/>
    <s v="Usha Iron"/>
    <n v="3"/>
    <m/>
    <n v="40"/>
    <s v="Cash"/>
    <s v="Cancelled"/>
    <x v="2"/>
    <s v="Null"/>
    <s v="North"/>
    <x v="1"/>
    <x v="3"/>
    <s v="Female"/>
    <s v="Null"/>
  </r>
  <r>
    <s v="Shreya Pandey"/>
    <n v="60"/>
    <s v="Female"/>
    <s v="Home &amp; Kitchen"/>
    <s v="Pigeon Induction Cooktop"/>
    <n v="4"/>
    <m/>
    <n v="5"/>
    <s v="Cash"/>
    <s v="returned"/>
    <x v="1"/>
    <s v="Null"/>
    <s v="Est"/>
    <x v="2"/>
    <x v="3"/>
    <s v="Female"/>
    <s v="Jan"/>
  </r>
  <r>
    <s v="Aarav Sharma"/>
    <n v="19"/>
    <s v="Female"/>
    <s v="Beauty"/>
    <s v="Plum Night Cream"/>
    <n v="9"/>
    <m/>
    <n v="50"/>
    <s v="Card"/>
    <s v="Delivered"/>
    <x v="0"/>
    <s v="Null"/>
    <s v="East"/>
    <x v="2"/>
    <x v="2"/>
    <s v="Female"/>
    <s v="Dec"/>
  </r>
  <r>
    <s v="Gaurav Bansal"/>
    <n v="21"/>
    <s v="Othr"/>
    <s v="Electronics"/>
    <s v="Mi Band 7"/>
    <n v="1"/>
    <m/>
    <n v="20"/>
    <s v="COD"/>
    <s v="Delivered"/>
    <x v="0"/>
    <s v="Null"/>
    <s v="East"/>
    <x v="2"/>
    <x v="0"/>
    <s v="Other"/>
    <s v="Aug"/>
  </r>
  <r>
    <s v="Manoj Chauhan"/>
    <n v="43"/>
    <s v="Male"/>
    <s v="clothing"/>
    <s v="Peter England Trousers"/>
    <n v="1"/>
    <m/>
    <n v="10"/>
    <s v="Card"/>
    <s v="Cancelled"/>
    <x v="2"/>
    <s v="Null"/>
    <s v="Eastt"/>
    <x v="2"/>
    <x v="1"/>
    <s v="Male"/>
    <s v="Mar"/>
  </r>
  <r>
    <s v="Manoj Chauhan"/>
    <n v="59"/>
    <s v="Female"/>
    <s v="Beauty"/>
    <s v="Plum Night Cream"/>
    <n v="2"/>
    <m/>
    <n v="5"/>
    <s v="UPI"/>
    <s v="Delivered"/>
    <x v="0"/>
    <s v="Null"/>
    <s v="East"/>
    <x v="2"/>
    <x v="2"/>
    <s v="Female"/>
    <s v="Null"/>
  </r>
  <r>
    <s v="Pranav Kulkarni"/>
    <n v="48"/>
    <s v="M"/>
    <s v="Home &amp; Kitchen"/>
    <s v="Hawkins Cookware Set"/>
    <n v="8"/>
    <m/>
    <n v="25"/>
    <s v="UPI"/>
    <s v="Cancelled"/>
    <x v="2"/>
    <s v="Null"/>
    <s v="West"/>
    <x v="0"/>
    <x v="3"/>
    <s v="Male"/>
    <s v="Aug"/>
  </r>
  <r>
    <s v="Arjun Pillai"/>
    <n v="21"/>
    <s v="Female"/>
    <s v="Home &amp; Kitchen"/>
    <s v="Tupperware Set"/>
    <n v="7"/>
    <m/>
    <n v="0"/>
    <s v="UPI"/>
    <s v="Delivered"/>
    <x v="0"/>
    <s v="Null"/>
    <s v="East"/>
    <x v="2"/>
    <x v="3"/>
    <s v="Female"/>
    <s v="Null"/>
  </r>
  <r>
    <s v="Manoj Chauhan"/>
    <n v="33"/>
    <s v="Male"/>
    <s v="Home &amp; Kitchen"/>
    <s v="Bajaj Mixer Grinder"/>
    <n v="4"/>
    <m/>
    <n v="10"/>
    <s v="UPI"/>
    <s v="returned"/>
    <x v="1"/>
    <s v="Null"/>
    <s v="East"/>
    <x v="2"/>
    <x v="3"/>
    <s v="Male"/>
    <s v="Jan"/>
  </r>
  <r>
    <s v="Rahul Gupta"/>
    <n v="18"/>
    <s v="Male"/>
    <s v="Home &amp; Kitchen"/>
    <s v="Philips Air Fryer"/>
    <n v="4"/>
    <m/>
    <n v="30"/>
    <s v="Cash"/>
    <s v="Delivered"/>
    <x v="0"/>
    <s v="Null"/>
    <s v="W"/>
    <x v="0"/>
    <x v="3"/>
    <s v="Male"/>
    <s v="Null"/>
  </r>
  <r>
    <s v="Pooja Nair"/>
    <n v="51"/>
    <s v="Female"/>
    <s v="Home &amp; Kitchen"/>
    <s v="Nilkamal Plastic Chair"/>
    <n v="8"/>
    <m/>
    <n v="40"/>
    <s v="COD"/>
    <s v="Delivered"/>
    <x v="0"/>
    <s v="Null"/>
    <s v="South"/>
    <x v="3"/>
    <x v="3"/>
    <s v="Female"/>
    <s v="Null"/>
  </r>
  <r>
    <s v="Pranav Kulkarni"/>
    <n v="40"/>
    <s v="Female"/>
    <s v="Home &amp; Kitchen"/>
    <s v="Orient Ceiling Fan"/>
    <n v="8"/>
    <m/>
    <n v="10"/>
    <s v="Card"/>
    <s v="Cancelled"/>
    <x v="2"/>
    <s v="Null"/>
    <s v="Est"/>
    <x v="2"/>
    <x v="3"/>
    <s v="Female"/>
    <s v="Oct"/>
  </r>
  <r>
    <s v="Gaurav Bansal"/>
    <n v="41"/>
    <s v="Male"/>
    <s v="Home &amp; Kitchen"/>
    <s v="Cello Water Bottle"/>
    <n v="5"/>
    <m/>
    <m/>
    <s v="Card"/>
    <s v="Delivered"/>
    <x v="0"/>
    <s v="Null"/>
    <s v="Est"/>
    <x v="2"/>
    <x v="3"/>
    <s v="Male"/>
    <s v="May"/>
  </r>
  <r>
    <s v="Deepika Rao"/>
    <n v="20"/>
    <s v="Female"/>
    <s v="Beauty"/>
    <s v="WOW Vitamin C Serum"/>
    <n v="10"/>
    <m/>
    <n v="10"/>
    <s v="UPI"/>
    <s v="Delivered"/>
    <x v="0"/>
    <s v="Null"/>
    <s v="North"/>
    <x v="1"/>
    <x v="2"/>
    <s v="Female"/>
    <s v="Null"/>
  </r>
  <r>
    <s v="Rohit Verma"/>
    <n v="38"/>
    <s v="Male"/>
    <s v="clothing"/>
    <s v="Biba Salwar Suit"/>
    <n v="1"/>
    <m/>
    <n v="0"/>
    <s v="UPI"/>
    <s v="Delivered"/>
    <x v="0"/>
    <s v="Null"/>
    <s v="East"/>
    <x v="2"/>
    <x v="1"/>
    <s v="Male"/>
    <s v="Sep"/>
  </r>
  <r>
    <s v="Aarav Sharma"/>
    <n v="32"/>
    <s v="M"/>
    <s v="clothing"/>
    <s v="Puma Track Suit"/>
    <n v="2"/>
    <m/>
    <n v="40"/>
    <s v="Cash"/>
    <s v="Delivered"/>
    <x v="0"/>
    <s v="Null"/>
    <s v="North"/>
    <x v="1"/>
    <x v="1"/>
    <s v="Male"/>
    <s v="Oct"/>
  </r>
  <r>
    <m/>
    <m/>
    <m/>
    <m/>
    <m/>
    <m/>
    <m/>
    <m/>
    <m/>
    <m/>
    <x v="3"/>
    <m/>
    <m/>
    <x v="4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E3B6E-D7EB-4E56-91D5-C1B4944D0C5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11:E16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dataField="1" showAll="0"/>
    <pivotField showAll="0"/>
    <pivotField showAll="0">
      <items count="6">
        <item x="2"/>
        <item x="1"/>
        <item x="3"/>
        <item x="0"/>
        <item x="4"/>
        <item t="default"/>
      </items>
    </pivotField>
    <pivotField axis="axisRow" showAll="0" sortType="descending">
      <items count="6">
        <item x="2"/>
        <item x="1"/>
        <item x="0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4"/>
  </rowFields>
  <rowItems count="5">
    <i>
      <x v="2"/>
    </i>
    <i>
      <x v="3"/>
    </i>
    <i>
      <x v="1"/>
    </i>
    <i>
      <x/>
    </i>
    <i t="grand">
      <x/>
    </i>
  </rowItems>
  <colItems count="1">
    <i/>
  </colItems>
  <pageFields count="1">
    <pageField fld="10" hier="-1"/>
  </pageFields>
  <dataFields count="1">
    <dataField name="Sum of Total_Sales" fld="11" baseField="0" baseItem="0"/>
  </dataFields>
  <chartFormats count="7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7EF3A-BC15-4389-9C8B-233F7430AC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1:B24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8">
        <item x="6"/>
        <item x="2"/>
        <item x="11"/>
        <item x="10"/>
        <item x="14"/>
        <item x="12"/>
        <item x="4"/>
        <item x="1"/>
        <item x="5"/>
        <item x="7"/>
        <item x="9"/>
        <item x="3"/>
        <item x="13"/>
        <item x="0"/>
        <item x="15"/>
        <item x="8"/>
        <item x="16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axis="axisRow" showAll="0">
      <items count="15">
        <item x="9"/>
        <item x="12"/>
        <item x="7"/>
        <item x="11"/>
        <item x="8"/>
        <item x="3"/>
        <item x="10"/>
        <item x="5"/>
        <item x="0"/>
        <item x="6"/>
        <item x="1"/>
        <item x="4"/>
        <item h="1" x="2"/>
        <item h="1" x="13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s" fld="13" baseField="0" baseItem="0"/>
  </dataFields>
  <formats count="1">
    <format dxfId="12">
      <pivotArea dataOnly="0" labelOnly="1" outline="0" axis="axisValues" fieldPosition="0"/>
    </format>
  </formats>
  <chartFormats count="5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018D7-04B5-4D92-BCD5-723298505E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28:G33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8"/>
        <item x="2"/>
        <item x="7"/>
        <item x="5"/>
        <item x="0"/>
        <item x="3"/>
        <item x="6"/>
        <item x="4"/>
        <item x="1"/>
        <item x="9"/>
        <item t="default"/>
      </items>
    </pivotField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dataField="1" showAll="0"/>
    <pivotField showAll="0"/>
    <pivotField axis="axisRow" showAll="0" sortType="ascending">
      <items count="6">
        <item x="2"/>
        <item x="1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5"/>
  </rowFields>
  <rowItems count="5">
    <i>
      <x v="2"/>
    </i>
    <i>
      <x/>
    </i>
    <i>
      <x v="1"/>
    </i>
    <i>
      <x v="3"/>
    </i>
    <i t="grand">
      <x/>
    </i>
  </rowItems>
  <colItems count="1">
    <i/>
  </colItems>
  <pageFields count="1">
    <pageField fld="12" hier="-1"/>
  </pageFields>
  <dataFields count="1">
    <dataField name="Sum of Total_Sales" fld="13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79579-033C-4ABE-9D6E-8A096F6595A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8:D33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showAll="0"/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2" hier="-1"/>
  </pageField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ED9FB-4543-436D-8A4B-3D80A54AFD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8:E2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uantity" fld="7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39D34F-49F2-4BC9-9BF6-8FB5CF1216FE}" autoFormatId="16" applyNumberFormats="0" applyBorderFormats="0" applyFontFormats="0" applyPatternFormats="0" applyAlignmentFormats="0" applyWidthHeightFormats="0">
  <queryTableRefresh nextId="25" unboundColumnsRight="1">
    <queryTableFields count="19">
      <queryTableField id="1" name="Order_ID" tableColumnId="1"/>
      <queryTableField id="2" name="Order_Date" tableColumnId="2"/>
      <queryTableField id="3" name="Customer_Name" tableColumnId="3"/>
      <queryTableField id="4" name="Customer_Age" tableColumnId="4"/>
      <queryTableField id="5" name="Gender" tableColumnId="5"/>
      <queryTableField id="6" name="Product_Category" tableColumnId="6"/>
      <queryTableField id="7" name="Product_Name" tableColumnId="7"/>
      <queryTableField id="8" name="Quantity" tableColumnId="8"/>
      <queryTableField id="9" name="Price" tableColumnId="9"/>
      <queryTableField id="10" name="Discount_%" tableColumnId="10"/>
      <queryTableField id="11" name="Payment_Method" tableColumnId="11"/>
      <queryTableField id="12" name="Order_Status" tableColumnId="12"/>
      <queryTableField id="23" dataBound="0" tableColumnId="23"/>
      <queryTableField id="13" name="Total_Sales" tableColumnId="13"/>
      <queryTableField id="14" name="Region" tableColumnId="14"/>
      <queryTableField id="24" dataBound="0" tableColumnId="24"/>
      <queryTableField id="15" name="Category" tableColumnId="15"/>
      <queryTableField id="16" name="Gender.1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5BA3B8-86D1-4285-8C14-E88C0CFF2CCC}" name="indian_retail_raw_1000" displayName="indian_retail_raw_1000" ref="A1:S1001" tableType="queryTable" totalsRowShown="0">
  <autoFilter ref="A1:S1001" xr:uid="{695BA3B8-86D1-4285-8C14-E88C0CFF2CCC}"/>
  <sortState xmlns:xlrd2="http://schemas.microsoft.com/office/spreadsheetml/2017/richdata2" ref="A2:S1001">
    <sortCondition ref="N1:N1001"/>
  </sortState>
  <tableColumns count="19">
    <tableColumn id="1" xr3:uid="{198DEE40-A92A-439E-B0D4-6A8F50C721DE}" uniqueName="1" name="Order_ID" queryTableFieldId="1" dataDxfId="11"/>
    <tableColumn id="2" xr3:uid="{B0C51681-A149-4A37-BCE9-4E707F928D02}" uniqueName="2" name="Order_Date" queryTableFieldId="2" dataDxfId="10"/>
    <tableColumn id="3" xr3:uid="{D7E97FC8-8F9C-44D9-95E6-8F30EFC4B4A2}" uniqueName="3" name="Customer_Name" queryTableFieldId="3" dataDxfId="9"/>
    <tableColumn id="4" xr3:uid="{43A61BED-AED1-43B1-AAAC-5C57D080E8C2}" uniqueName="4" name="Customer_Age" queryTableFieldId="4"/>
    <tableColumn id="5" xr3:uid="{8B4D8844-A7B1-46A0-8301-E423565D1F60}" uniqueName="5" name="Gender" queryTableFieldId="5" dataDxfId="8"/>
    <tableColumn id="6" xr3:uid="{022A6C7D-ECAD-4D51-A445-5AC4B4E9A16E}" uniqueName="6" name="Product_Category" queryTableFieldId="6" dataDxfId="7"/>
    <tableColumn id="7" xr3:uid="{7F1A02A8-1E89-4465-A5BD-3B29BB84EA66}" uniqueName="7" name="Product_Name" queryTableFieldId="7" dataDxfId="6"/>
    <tableColumn id="8" xr3:uid="{D63B55AB-AB9D-4069-BE6B-CCA4D89700B7}" uniqueName="8" name="Quantity" queryTableFieldId="8"/>
    <tableColumn id="9" xr3:uid="{0A128577-E50D-414C-B8AA-4DBA747B7AB5}" uniqueName="9" name="Price" queryTableFieldId="9"/>
    <tableColumn id="10" xr3:uid="{2C244336-2260-4EE7-A408-CFA66371D2FC}" uniqueName="10" name="Discount_%" queryTableFieldId="10"/>
    <tableColumn id="11" xr3:uid="{D01A69B7-0257-4286-AB8B-C349AC543DC4}" uniqueName="11" name="Payment_Method" queryTableFieldId="11" dataDxfId="5"/>
    <tableColumn id="12" xr3:uid="{AFC8E74B-0024-411E-BCF8-7523CEAFF2C3}" uniqueName="12" name="Order_Status" queryTableFieldId="12" dataDxfId="4"/>
    <tableColumn id="23" xr3:uid="{AAF67E4A-34A0-495C-9502-50651F574A62}" uniqueName="23" name="Order_Status2" queryTableFieldId="23" dataDxfId="3">
      <calculatedColumnFormula>_xlfn.IFS(LEFT(indian_retail_raw_1000[[#This Row],[Order_Status]],1)= "D","Delivered",LEFT(indian_retail_raw_1000[[#This Row],[Order_Status]],1) = "C", "Cancelled",LEFT(indian_retail_raw_1000[[#This Row],[Order_Status]],1)= "R", "Returned")</calculatedColumnFormula>
    </tableColumn>
    <tableColumn id="13" xr3:uid="{F822081A-77FC-4D88-8E22-10F190E1AFA3}" uniqueName="13" name="Total_Sales" queryTableFieldId="13"/>
    <tableColumn id="14" xr3:uid="{A3D4E353-3396-416F-910B-575845BE4B16}" uniqueName="14" name="x" queryTableFieldId="14" dataDxfId="2"/>
    <tableColumn id="24" xr3:uid="{1E9BDE14-EF79-44E0-8930-666404827A59}" uniqueName="24" name="Region2" queryTableFieldId="24" dataDxfId="1">
      <calculatedColumnFormula>_xlfn.IFS(LEFT(indian_retail_raw_1000[[#This Row],[x]],1)="W", "West",LEFT(indian_retail_raw_1000[[#This Row],[x]],1)= "E","East",LEFT(O2,1) = "S", "South",LEFT(O2,1) = "N", "North")</calculatedColumnFormula>
    </tableColumn>
    <tableColumn id="15" xr3:uid="{D0D83E4B-BDD2-4715-A6D2-83FDE593CFC2}" uniqueName="15" name="Category" queryTableFieldId="15"/>
    <tableColumn id="16" xr3:uid="{43EA92F0-107E-4042-AADB-39746CA0803D}" uniqueName="16" name="Gender.1" queryTableFieldId="16"/>
    <tableColumn id="17" xr3:uid="{CE3DC733-50D9-4D2D-8F52-3E1FEF9B35DD}" uniqueName="17" name="Month" queryTableFieldId="17" dataDxfId="0">
      <calculatedColumnFormula>TEXT(indian_retail_raw_1000[[#This Row],[Order_Date]],"MMM")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C204-B137-45AE-8423-FA18E9A00ED7}">
  <dimension ref="A1:N18"/>
  <sheetViews>
    <sheetView showGridLines="0" tabSelected="1" topLeftCell="A6" zoomScale="93" zoomScaleNormal="85" workbookViewId="0">
      <selection activeCell="O10" sqref="O10"/>
    </sheetView>
  </sheetViews>
  <sheetFormatPr defaultRowHeight="15" outlineLevelRow="1" x14ac:dyDescent="0.25"/>
  <cols>
    <col min="1" max="2" width="9.140625" style="7"/>
    <col min="3" max="3" width="21.140625" style="7" bestFit="1" customWidth="1"/>
    <col min="4" max="4" width="9.28515625" style="7" customWidth="1"/>
    <col min="5" max="6" width="9.140625" style="7"/>
    <col min="7" max="7" width="10.5703125" style="7" bestFit="1" customWidth="1"/>
    <col min="8" max="9" width="9.140625" style="7"/>
    <col min="10" max="10" width="16" style="7" bestFit="1" customWidth="1"/>
    <col min="11" max="16384" width="9.140625" style="7"/>
  </cols>
  <sheetData>
    <row r="1" spans="1:14" ht="23.25" x14ac:dyDescent="0.2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3.25" outlineLevel="1" x14ac:dyDescent="0.25">
      <c r="A2" s="10"/>
      <c r="B2" s="10"/>
      <c r="C2" s="11" t="s">
        <v>1393</v>
      </c>
      <c r="D2" s="9"/>
      <c r="E2" s="10"/>
      <c r="F2" s="10"/>
      <c r="G2" s="11" t="s">
        <v>1392</v>
      </c>
      <c r="H2" s="10"/>
      <c r="I2" s="10"/>
      <c r="J2" s="11"/>
      <c r="K2" s="10"/>
      <c r="L2" s="10"/>
      <c r="M2" s="10"/>
      <c r="N2" s="10"/>
    </row>
    <row r="3" spans="1:14" ht="18.75" outlineLevel="1" x14ac:dyDescent="0.25">
      <c r="A3" s="17"/>
      <c r="B3" s="10"/>
      <c r="C3" s="12"/>
      <c r="D3" s="10"/>
      <c r="E3" s="10"/>
      <c r="F3" s="10"/>
      <c r="G3" s="13"/>
      <c r="H3" s="10"/>
      <c r="I3" s="10"/>
      <c r="J3" s="14"/>
      <c r="K3" s="10"/>
      <c r="L3" s="10"/>
      <c r="M3" s="10"/>
      <c r="N3" s="10"/>
    </row>
    <row r="5" spans="1:14" x14ac:dyDescent="0.25">
      <c r="L5" s="7" t="s">
        <v>1393</v>
      </c>
    </row>
    <row r="9" spans="1:14" x14ac:dyDescent="0.25">
      <c r="M9" s="8"/>
    </row>
    <row r="18" spans="13:13" x14ac:dyDescent="0.25">
      <c r="M18" s="7" t="s">
        <v>1394</v>
      </c>
    </row>
  </sheetData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EF09-5A1C-4B06-A4D3-D952E6F08720}">
  <dimension ref="A1:R25"/>
  <sheetViews>
    <sheetView showGridLines="0" topLeftCell="A4" zoomScaleNormal="100" workbookViewId="0">
      <selection activeCell="Q19" sqref="Q19"/>
    </sheetView>
  </sheetViews>
  <sheetFormatPr defaultRowHeight="15" x14ac:dyDescent="0.25"/>
  <sheetData>
    <row r="1" spans="1:18" x14ac:dyDescent="0.25">
      <c r="A1" s="18"/>
      <c r="B1" s="18" t="s">
        <v>1395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  <c r="Q1" s="19"/>
      <c r="R1" s="19"/>
    </row>
    <row r="2" spans="1:18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19" spans="2:9" x14ac:dyDescent="0.25">
      <c r="B19" s="16" t="s">
        <v>1396</v>
      </c>
      <c r="I19" s="15"/>
    </row>
    <row r="20" spans="2:9" x14ac:dyDescent="0.25">
      <c r="B20" t="s">
        <v>1400</v>
      </c>
    </row>
    <row r="21" spans="2:9" x14ac:dyDescent="0.25">
      <c r="B21" t="s">
        <v>1402</v>
      </c>
    </row>
    <row r="24" spans="2:9" x14ac:dyDescent="0.25">
      <c r="B24" s="16" t="s">
        <v>1398</v>
      </c>
    </row>
    <row r="25" spans="2:9" x14ac:dyDescent="0.25">
      <c r="B25" t="s">
        <v>1399</v>
      </c>
      <c r="C25" s="16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A40D-29D6-4ED2-B390-251FBA82B276}">
  <dimension ref="A1:H129"/>
  <sheetViews>
    <sheetView showGridLines="0" topLeftCell="A13" workbookViewId="0">
      <selection activeCell="I27" sqref="I27"/>
    </sheetView>
  </sheetViews>
  <sheetFormatPr defaultRowHeight="15" x14ac:dyDescent="0.25"/>
  <cols>
    <col min="1" max="1" width="13.140625" bestFit="1" customWidth="1"/>
    <col min="2" max="2" width="17.85546875" style="4" bestFit="1" customWidth="1"/>
    <col min="3" max="4" width="15.42578125" bestFit="1" customWidth="1"/>
    <col min="5" max="5" width="17.85546875" bestFit="1" customWidth="1"/>
    <col min="6" max="6" width="13.7109375" bestFit="1" customWidth="1"/>
    <col min="7" max="7" width="17.85546875" bestFit="1" customWidth="1"/>
    <col min="8" max="8" width="19.28515625" bestFit="1" customWidth="1"/>
  </cols>
  <sheetData>
    <row r="1" spans="1:5" x14ac:dyDescent="0.25">
      <c r="B1"/>
    </row>
    <row r="2" spans="1:5" x14ac:dyDescent="0.25">
      <c r="B2"/>
    </row>
    <row r="3" spans="1:5" x14ac:dyDescent="0.25">
      <c r="B3"/>
    </row>
    <row r="4" spans="1:5" x14ac:dyDescent="0.25">
      <c r="B4"/>
    </row>
    <row r="5" spans="1:5" x14ac:dyDescent="0.25">
      <c r="B5"/>
    </row>
    <row r="6" spans="1:5" x14ac:dyDescent="0.25">
      <c r="B6"/>
    </row>
    <row r="7" spans="1:5" x14ac:dyDescent="0.25">
      <c r="B7"/>
    </row>
    <row r="8" spans="1:5" x14ac:dyDescent="0.25">
      <c r="B8"/>
    </row>
    <row r="9" spans="1:5" x14ac:dyDescent="0.25">
      <c r="B9"/>
      <c r="D9" s="2" t="s">
        <v>1391</v>
      </c>
      <c r="E9" t="s">
        <v>20</v>
      </c>
    </row>
    <row r="11" spans="1:5" x14ac:dyDescent="0.25">
      <c r="A11" s="2" t="s">
        <v>1337</v>
      </c>
      <c r="B11" t="s">
        <v>1339</v>
      </c>
      <c r="D11" s="2" t="s">
        <v>1337</v>
      </c>
      <c r="E11" t="s">
        <v>1339</v>
      </c>
    </row>
    <row r="12" spans="1:5" x14ac:dyDescent="0.25">
      <c r="A12" s="3" t="s">
        <v>1344</v>
      </c>
      <c r="B12">
        <v>687524.95</v>
      </c>
      <c r="D12" s="3" t="s">
        <v>54</v>
      </c>
      <c r="E12">
        <v>4416722.3</v>
      </c>
    </row>
    <row r="13" spans="1:5" x14ac:dyDescent="0.25">
      <c r="A13" s="3" t="s">
        <v>1345</v>
      </c>
      <c r="B13">
        <v>1622617.7000000004</v>
      </c>
      <c r="D13" s="3" t="s">
        <v>30</v>
      </c>
      <c r="E13">
        <v>3945121.0000000009</v>
      </c>
    </row>
    <row r="14" spans="1:5" x14ac:dyDescent="0.25">
      <c r="A14" s="3" t="s">
        <v>1346</v>
      </c>
      <c r="B14">
        <v>922868.04999999993</v>
      </c>
      <c r="D14" s="3" t="s">
        <v>17</v>
      </c>
      <c r="E14">
        <v>1409968.2</v>
      </c>
    </row>
    <row r="15" spans="1:5" x14ac:dyDescent="0.25">
      <c r="A15" s="3" t="s">
        <v>1347</v>
      </c>
      <c r="B15">
        <v>740852.29999999993</v>
      </c>
      <c r="D15" s="3" t="s">
        <v>35</v>
      </c>
      <c r="E15">
        <v>593398.99999999988</v>
      </c>
    </row>
    <row r="16" spans="1:5" x14ac:dyDescent="0.25">
      <c r="A16" s="3" t="s">
        <v>1348</v>
      </c>
      <c r="B16">
        <v>1031166</v>
      </c>
      <c r="D16" s="3" t="s">
        <v>1338</v>
      </c>
      <c r="E16">
        <v>10365210.5</v>
      </c>
    </row>
    <row r="17" spans="1:7" x14ac:dyDescent="0.25">
      <c r="A17" s="3" t="s">
        <v>1349</v>
      </c>
      <c r="B17">
        <v>651685.19999999995</v>
      </c>
    </row>
    <row r="18" spans="1:7" x14ac:dyDescent="0.25">
      <c r="A18" s="3" t="s">
        <v>1350</v>
      </c>
      <c r="B18">
        <v>854771.5</v>
      </c>
      <c r="D18" s="2" t="s">
        <v>1337</v>
      </c>
      <c r="E18" t="s">
        <v>1390</v>
      </c>
    </row>
    <row r="19" spans="1:7" x14ac:dyDescent="0.25">
      <c r="A19" s="3" t="s">
        <v>1351</v>
      </c>
      <c r="B19">
        <v>501159.95</v>
      </c>
      <c r="D19" s="3" t="s">
        <v>35</v>
      </c>
      <c r="E19">
        <v>202</v>
      </c>
    </row>
    <row r="20" spans="1:7" x14ac:dyDescent="0.25">
      <c r="A20" s="3" t="s">
        <v>1352</v>
      </c>
      <c r="B20">
        <v>1195860.55</v>
      </c>
      <c r="D20" s="3" t="s">
        <v>17</v>
      </c>
      <c r="E20">
        <v>281</v>
      </c>
    </row>
    <row r="21" spans="1:7" x14ac:dyDescent="0.25">
      <c r="A21" s="3" t="s">
        <v>1353</v>
      </c>
      <c r="B21">
        <v>971824.35</v>
      </c>
      <c r="D21" s="3" t="s">
        <v>54</v>
      </c>
      <c r="E21">
        <v>212</v>
      </c>
    </row>
    <row r="22" spans="1:7" x14ac:dyDescent="0.25">
      <c r="A22" s="3" t="s">
        <v>1354</v>
      </c>
      <c r="B22">
        <v>1510730.25</v>
      </c>
      <c r="D22" s="3" t="s">
        <v>30</v>
      </c>
      <c r="E22">
        <v>305</v>
      </c>
    </row>
    <row r="23" spans="1:7" x14ac:dyDescent="0.25">
      <c r="A23" s="3" t="s">
        <v>1355</v>
      </c>
      <c r="B23">
        <v>1154317.7000000004</v>
      </c>
      <c r="D23" s="3" t="s">
        <v>1338</v>
      </c>
      <c r="E23">
        <v>1000</v>
      </c>
    </row>
    <row r="24" spans="1:7" x14ac:dyDescent="0.25">
      <c r="A24" s="3" t="s">
        <v>1338</v>
      </c>
      <c r="B24">
        <v>11845378.500000002</v>
      </c>
    </row>
    <row r="25" spans="1:7" x14ac:dyDescent="0.25">
      <c r="B25"/>
    </row>
    <row r="26" spans="1:7" x14ac:dyDescent="0.25">
      <c r="B26"/>
      <c r="C26" s="2" t="s">
        <v>1391</v>
      </c>
      <c r="D26" t="s">
        <v>20</v>
      </c>
      <c r="F26" s="2" t="s">
        <v>1391</v>
      </c>
      <c r="G26" t="s">
        <v>20</v>
      </c>
    </row>
    <row r="27" spans="1:7" x14ac:dyDescent="0.25">
      <c r="B27"/>
    </row>
    <row r="28" spans="1:7" x14ac:dyDescent="0.25">
      <c r="B28"/>
      <c r="C28" s="2" t="s">
        <v>1337</v>
      </c>
      <c r="D28" t="s">
        <v>1341</v>
      </c>
      <c r="F28" s="2" t="s">
        <v>1337</v>
      </c>
      <c r="G28" t="s">
        <v>1339</v>
      </c>
    </row>
    <row r="29" spans="1:7" x14ac:dyDescent="0.25">
      <c r="B29"/>
      <c r="C29" s="3" t="s">
        <v>35</v>
      </c>
      <c r="D29">
        <v>981</v>
      </c>
      <c r="F29" s="3" t="s">
        <v>21</v>
      </c>
      <c r="G29">
        <v>2003394.5999999999</v>
      </c>
    </row>
    <row r="30" spans="1:7" x14ac:dyDescent="0.25">
      <c r="B30"/>
      <c r="C30" s="3" t="s">
        <v>17</v>
      </c>
      <c r="D30">
        <v>515</v>
      </c>
      <c r="F30" s="3" t="s">
        <v>45</v>
      </c>
      <c r="G30">
        <v>2514678.15</v>
      </c>
    </row>
    <row r="31" spans="1:7" x14ac:dyDescent="0.25">
      <c r="B31"/>
      <c r="C31" s="3" t="s">
        <v>54</v>
      </c>
      <c r="D31">
        <v>238</v>
      </c>
      <c r="F31" s="3" t="s">
        <v>38</v>
      </c>
      <c r="G31">
        <v>2605090.9999999995</v>
      </c>
    </row>
    <row r="32" spans="1:7" x14ac:dyDescent="0.25">
      <c r="B32"/>
      <c r="C32" s="3" t="s">
        <v>30</v>
      </c>
      <c r="D32">
        <v>1499</v>
      </c>
      <c r="F32" s="3" t="s">
        <v>26</v>
      </c>
      <c r="G32">
        <v>3242046.7500000009</v>
      </c>
    </row>
    <row r="33" spans="2:8" x14ac:dyDescent="0.25">
      <c r="B33"/>
      <c r="C33" s="3" t="s">
        <v>1338</v>
      </c>
      <c r="D33">
        <v>3233</v>
      </c>
      <c r="F33" s="3" t="s">
        <v>1338</v>
      </c>
      <c r="G33">
        <v>10365210.5</v>
      </c>
    </row>
    <row r="34" spans="2:8" x14ac:dyDescent="0.25">
      <c r="B34"/>
    </row>
    <row r="35" spans="2:8" x14ac:dyDescent="0.25">
      <c r="B35"/>
    </row>
    <row r="36" spans="2:8" x14ac:dyDescent="0.25">
      <c r="B36"/>
      <c r="H36" t="s">
        <v>1392</v>
      </c>
    </row>
    <row r="37" spans="2:8" x14ac:dyDescent="0.25">
      <c r="B37"/>
    </row>
    <row r="38" spans="2:8" x14ac:dyDescent="0.25">
      <c r="B38"/>
    </row>
    <row r="39" spans="2:8" x14ac:dyDescent="0.25">
      <c r="B39"/>
    </row>
    <row r="40" spans="2:8" x14ac:dyDescent="0.25">
      <c r="B40"/>
    </row>
    <row r="41" spans="2:8" x14ac:dyDescent="0.25">
      <c r="B41"/>
    </row>
    <row r="42" spans="2:8" x14ac:dyDescent="0.25">
      <c r="B42"/>
    </row>
    <row r="43" spans="2:8" x14ac:dyDescent="0.25">
      <c r="B43"/>
    </row>
    <row r="44" spans="2:8" x14ac:dyDescent="0.25">
      <c r="B44"/>
    </row>
    <row r="45" spans="2:8" x14ac:dyDescent="0.25">
      <c r="B45"/>
    </row>
    <row r="46" spans="2:8" x14ac:dyDescent="0.25">
      <c r="B46"/>
    </row>
    <row r="47" spans="2:8" x14ac:dyDescent="0.25">
      <c r="B47"/>
    </row>
    <row r="48" spans="2:8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3D3D-574A-4DA0-B5BD-7B0464307FBA}">
  <dimension ref="A1:V1001"/>
  <sheetViews>
    <sheetView workbookViewId="0">
      <selection activeCell="S1" sqref="S1:S1048576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8.85546875" bestFit="1" customWidth="1"/>
    <col min="4" max="4" width="16.42578125" bestFit="1" customWidth="1"/>
    <col min="5" max="5" width="10" hidden="1" customWidth="1"/>
    <col min="6" max="6" width="19.140625" hidden="1" customWidth="1"/>
    <col min="7" max="7" width="24.28515625" hidden="1" customWidth="1"/>
    <col min="8" max="8" width="11" bestFit="1" customWidth="1"/>
    <col min="9" max="9" width="7.7109375" bestFit="1" customWidth="1"/>
    <col min="10" max="10" width="13.5703125" bestFit="1" customWidth="1"/>
    <col min="11" max="11" width="19.5703125" hidden="1" customWidth="1"/>
    <col min="12" max="12" width="14.85546875" hidden="1" customWidth="1"/>
    <col min="13" max="13" width="14.85546875" customWidth="1"/>
    <col min="14" max="14" width="13.28515625" bestFit="1" customWidth="1"/>
    <col min="15" max="15" width="9.42578125" hidden="1" customWidth="1"/>
    <col min="16" max="16" width="9.42578125" customWidth="1"/>
    <col min="17" max="17" width="15.42578125" bestFit="1" customWidth="1"/>
    <col min="18" max="18" width="11.5703125" bestFit="1" customWidth="1"/>
    <col min="19" max="19" width="9.140625" customWidth="1"/>
    <col min="22" max="22" width="11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1391</v>
      </c>
      <c r="N1" t="s">
        <v>12</v>
      </c>
      <c r="O1" t="s">
        <v>1401</v>
      </c>
      <c r="P1" t="s">
        <v>1397</v>
      </c>
      <c r="Q1" t="s">
        <v>1340</v>
      </c>
      <c r="R1" t="s">
        <v>1342</v>
      </c>
      <c r="S1" t="s">
        <v>1343</v>
      </c>
    </row>
    <row r="2" spans="1:22" x14ac:dyDescent="0.25">
      <c r="A2" t="s">
        <v>178</v>
      </c>
      <c r="B2" s="1">
        <v>45184</v>
      </c>
      <c r="C2" t="s">
        <v>179</v>
      </c>
      <c r="D2">
        <v>64</v>
      </c>
      <c r="E2" t="s">
        <v>23</v>
      </c>
      <c r="F2" t="s">
        <v>54</v>
      </c>
      <c r="G2" t="s">
        <v>180</v>
      </c>
      <c r="H2">
        <v>1</v>
      </c>
      <c r="I2">
        <v>25800</v>
      </c>
      <c r="J2">
        <v>0</v>
      </c>
      <c r="K2" t="s">
        <v>25</v>
      </c>
      <c r="L2" t="s">
        <v>20</v>
      </c>
      <c r="M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">
        <v>-25800</v>
      </c>
      <c r="O2" t="s">
        <v>26</v>
      </c>
      <c r="P2" t="str">
        <f>_xlfn.IFS(LEFT(indian_retail_raw_1000[[#This Row],[x]],1)="W", "West",LEFT(indian_retail_raw_1000[[#This Row],[x]],1)= "E","East",LEFT(O2,1) = "S", "South",LEFT(O2,1) = "N", "North")</f>
        <v>West</v>
      </c>
      <c r="Q2" t="s">
        <v>54</v>
      </c>
      <c r="R2" t="s">
        <v>23</v>
      </c>
      <c r="S2" t="str">
        <f>TEXT(indian_retail_raw_1000[[#This Row],[Order_Date]],"MMM")</f>
        <v>Sep</v>
      </c>
      <c r="V2" s="6"/>
    </row>
    <row r="3" spans="1:22" x14ac:dyDescent="0.25">
      <c r="A3" t="s">
        <v>1016</v>
      </c>
      <c r="B3" s="1">
        <v>45253</v>
      </c>
      <c r="C3" t="s">
        <v>128</v>
      </c>
      <c r="D3">
        <v>25</v>
      </c>
      <c r="E3" t="s">
        <v>16</v>
      </c>
      <c r="F3" t="s">
        <v>54</v>
      </c>
      <c r="G3" t="s">
        <v>77</v>
      </c>
      <c r="H3">
        <v>2</v>
      </c>
      <c r="I3">
        <v>18100</v>
      </c>
      <c r="J3">
        <v>40</v>
      </c>
      <c r="K3" t="s">
        <v>41</v>
      </c>
      <c r="L3" t="s">
        <v>20</v>
      </c>
      <c r="M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">
        <v>-21720</v>
      </c>
      <c r="O3" t="s">
        <v>38</v>
      </c>
      <c r="P3" t="str">
        <f>_xlfn.IFS(LEFT(indian_retail_raw_1000[[#This Row],[x]],1)="W", "West",LEFT(indian_retail_raw_1000[[#This Row],[x]],1)= "E","East",LEFT(O3,1) = "S", "South",LEFT(O3,1) = "N", "North")</f>
        <v>North</v>
      </c>
      <c r="Q3" t="s">
        <v>54</v>
      </c>
      <c r="R3" t="s">
        <v>16</v>
      </c>
      <c r="S3" t="str">
        <f>TEXT(indian_retail_raw_1000[[#This Row],[Order_Date]],"MMM")</f>
        <v>Nov</v>
      </c>
    </row>
    <row r="4" spans="1:22" x14ac:dyDescent="0.25">
      <c r="A4" t="s">
        <v>513</v>
      </c>
      <c r="B4" s="1">
        <v>45254</v>
      </c>
      <c r="C4" t="s">
        <v>217</v>
      </c>
      <c r="D4">
        <v>60</v>
      </c>
      <c r="E4" t="s">
        <v>138</v>
      </c>
      <c r="F4" t="s">
        <v>438</v>
      </c>
      <c r="G4" t="s">
        <v>80</v>
      </c>
      <c r="H4">
        <v>3</v>
      </c>
      <c r="I4">
        <v>5900</v>
      </c>
      <c r="J4">
        <v>10</v>
      </c>
      <c r="K4" t="s">
        <v>41</v>
      </c>
      <c r="L4" t="s">
        <v>20</v>
      </c>
      <c r="M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">
        <v>-15930</v>
      </c>
      <c r="O4" t="s">
        <v>45</v>
      </c>
      <c r="P4" t="str">
        <f>_xlfn.IFS(LEFT(indian_retail_raw_1000[[#This Row],[x]],1)="W", "West",LEFT(indian_retail_raw_1000[[#This Row],[x]],1)= "E","East",LEFT(O4,1) = "S", "South",LEFT(O4,1) = "N", "North")</f>
        <v>East</v>
      </c>
      <c r="Q4" t="s">
        <v>17</v>
      </c>
      <c r="R4" t="s">
        <v>138</v>
      </c>
      <c r="S4" t="str">
        <f>TEXT(indian_retail_raw_1000[[#This Row],[Order_Date]],"MMM")</f>
        <v>Nov</v>
      </c>
    </row>
    <row r="5" spans="1:22" x14ac:dyDescent="0.25">
      <c r="A5" t="s">
        <v>1137</v>
      </c>
      <c r="B5" s="1" t="s">
        <v>1336</v>
      </c>
      <c r="C5" t="s">
        <v>1336</v>
      </c>
      <c r="D5">
        <v>30</v>
      </c>
      <c r="E5" t="s">
        <v>16</v>
      </c>
      <c r="F5" t="s">
        <v>433</v>
      </c>
      <c r="G5" t="s">
        <v>492</v>
      </c>
      <c r="H5">
        <v>3</v>
      </c>
      <c r="I5">
        <v>3750</v>
      </c>
      <c r="J5">
        <v>-10</v>
      </c>
      <c r="K5" t="s">
        <v>115</v>
      </c>
      <c r="L5" t="s">
        <v>204</v>
      </c>
      <c r="M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">
        <v>-12375</v>
      </c>
      <c r="O5" t="s">
        <v>38</v>
      </c>
      <c r="P5" t="str">
        <f>_xlfn.IFS(LEFT(indian_retail_raw_1000[[#This Row],[x]],1)="W", "West",LEFT(indian_retail_raw_1000[[#This Row],[x]],1)= "E","East",LEFT(O5,1) = "S", "South",LEFT(O5,1) = "N", "North")</f>
        <v>North</v>
      </c>
      <c r="Q5" t="s">
        <v>17</v>
      </c>
      <c r="R5" t="s">
        <v>16</v>
      </c>
      <c r="S5" t="str">
        <f>TEXT(indian_retail_raw_1000[[#This Row],[Order_Date]],"MMM")</f>
        <v>Null</v>
      </c>
    </row>
    <row r="6" spans="1:22" x14ac:dyDescent="0.25">
      <c r="A6" t="s">
        <v>602</v>
      </c>
      <c r="B6" s="1" t="s">
        <v>1336</v>
      </c>
      <c r="C6" t="s">
        <v>62</v>
      </c>
      <c r="D6">
        <v>31</v>
      </c>
      <c r="E6" t="s">
        <v>23</v>
      </c>
      <c r="F6" t="s">
        <v>35</v>
      </c>
      <c r="G6" t="s">
        <v>203</v>
      </c>
      <c r="H6">
        <v>9</v>
      </c>
      <c r="I6">
        <v>1447</v>
      </c>
      <c r="J6">
        <v>5</v>
      </c>
      <c r="K6" t="s">
        <v>41</v>
      </c>
      <c r="L6" t="s">
        <v>20</v>
      </c>
      <c r="M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">
        <v>-12371.85</v>
      </c>
      <c r="O6" t="s">
        <v>21</v>
      </c>
      <c r="P6" t="str">
        <f>_xlfn.IFS(LEFT(indian_retail_raw_1000[[#This Row],[x]],1)="W", "West",LEFT(indian_retail_raw_1000[[#This Row],[x]],1)= "E","East",LEFT(O6,1) = "S", "South",LEFT(O6,1) = "N", "North")</f>
        <v>South</v>
      </c>
      <c r="Q6" t="s">
        <v>35</v>
      </c>
      <c r="R6" t="s">
        <v>23</v>
      </c>
      <c r="S6" t="str">
        <f>TEXT(indian_retail_raw_1000[[#This Row],[Order_Date]],"MMM")</f>
        <v>Null</v>
      </c>
    </row>
    <row r="7" spans="1:22" x14ac:dyDescent="0.25">
      <c r="A7" t="s">
        <v>200</v>
      </c>
      <c r="B7" s="1">
        <v>45083</v>
      </c>
      <c r="C7" t="s">
        <v>48</v>
      </c>
      <c r="D7">
        <v>26</v>
      </c>
      <c r="E7" t="s">
        <v>16</v>
      </c>
      <c r="F7" t="s">
        <v>54</v>
      </c>
      <c r="G7" t="s">
        <v>92</v>
      </c>
      <c r="H7">
        <v>1</v>
      </c>
      <c r="I7">
        <v>12000</v>
      </c>
      <c r="J7">
        <v>0</v>
      </c>
      <c r="K7" t="s">
        <v>50</v>
      </c>
      <c r="L7" t="s">
        <v>20</v>
      </c>
      <c r="M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">
        <v>-12000</v>
      </c>
      <c r="O7" t="s">
        <v>38</v>
      </c>
      <c r="P7" t="str">
        <f>_xlfn.IFS(LEFT(indian_retail_raw_1000[[#This Row],[x]],1)="W", "West",LEFT(indian_retail_raw_1000[[#This Row],[x]],1)= "E","East",LEFT(O7,1) = "S", "South",LEFT(O7,1) = "N", "North")</f>
        <v>North</v>
      </c>
      <c r="Q7" t="s">
        <v>54</v>
      </c>
      <c r="R7" t="s">
        <v>16</v>
      </c>
      <c r="S7" t="str">
        <f>TEXT(indian_retail_raw_1000[[#This Row],[Order_Date]],"MMM")</f>
        <v>Jun</v>
      </c>
    </row>
    <row r="8" spans="1:22" x14ac:dyDescent="0.25">
      <c r="A8" t="s">
        <v>246</v>
      </c>
      <c r="B8" s="1">
        <v>45289</v>
      </c>
      <c r="C8" t="s">
        <v>1336</v>
      </c>
      <c r="D8">
        <v>23</v>
      </c>
      <c r="E8" t="s">
        <v>23</v>
      </c>
      <c r="F8" t="s">
        <v>17</v>
      </c>
      <c r="G8" t="s">
        <v>80</v>
      </c>
      <c r="H8">
        <v>-1</v>
      </c>
      <c r="I8">
        <v>7550</v>
      </c>
      <c r="J8">
        <v>0</v>
      </c>
      <c r="K8" t="s">
        <v>25</v>
      </c>
      <c r="L8" t="s">
        <v>20</v>
      </c>
      <c r="M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">
        <v>-7550</v>
      </c>
      <c r="O8" t="s">
        <v>26</v>
      </c>
      <c r="P8" t="str">
        <f>_xlfn.IFS(LEFT(indian_retail_raw_1000[[#This Row],[x]],1)="W", "West",LEFT(indian_retail_raw_1000[[#This Row],[x]],1)= "E","East",LEFT(O8,1) = "S", "South",LEFT(O8,1) = "N", "North")</f>
        <v>West</v>
      </c>
      <c r="Q8" t="s">
        <v>17</v>
      </c>
      <c r="R8" t="s">
        <v>23</v>
      </c>
      <c r="S8" t="str">
        <f>TEXT(indian_retail_raw_1000[[#This Row],[Order_Date]],"MMM")</f>
        <v>Dec</v>
      </c>
    </row>
    <row r="9" spans="1:22" x14ac:dyDescent="0.25">
      <c r="A9" t="s">
        <v>655</v>
      </c>
      <c r="B9" s="1" t="s">
        <v>1336</v>
      </c>
      <c r="C9" t="s">
        <v>207</v>
      </c>
      <c r="D9">
        <v>23</v>
      </c>
      <c r="E9" t="s">
        <v>16</v>
      </c>
      <c r="F9" t="s">
        <v>70</v>
      </c>
      <c r="G9" t="s">
        <v>124</v>
      </c>
      <c r="H9">
        <v>-1</v>
      </c>
      <c r="I9">
        <v>7450</v>
      </c>
      <c r="J9">
        <v>5</v>
      </c>
      <c r="K9" t="s">
        <v>657</v>
      </c>
      <c r="L9" t="s">
        <v>658</v>
      </c>
      <c r="M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">
        <v>-7077.5</v>
      </c>
      <c r="O9" t="s">
        <v>21</v>
      </c>
      <c r="P9" t="str">
        <f>_xlfn.IFS(LEFT(indian_retail_raw_1000[[#This Row],[x]],1)="W", "West",LEFT(indian_retail_raw_1000[[#This Row],[x]],1)= "E","East",LEFT(O9,1) = "S", "South",LEFT(O9,1) = "N", "North")</f>
        <v>South</v>
      </c>
      <c r="Q9" t="s">
        <v>17</v>
      </c>
      <c r="R9" t="s">
        <v>16</v>
      </c>
      <c r="S9" t="str">
        <f>TEXT(indian_retail_raw_1000[[#This Row],[Order_Date]],"MMM")</f>
        <v>Null</v>
      </c>
    </row>
    <row r="10" spans="1:22" x14ac:dyDescent="0.25">
      <c r="A10" t="s">
        <v>1173</v>
      </c>
      <c r="B10" s="1" t="s">
        <v>1336</v>
      </c>
      <c r="C10" t="s">
        <v>87</v>
      </c>
      <c r="D10">
        <v>58</v>
      </c>
      <c r="E10" t="s">
        <v>171</v>
      </c>
      <c r="F10" t="s">
        <v>35</v>
      </c>
      <c r="G10" t="s">
        <v>139</v>
      </c>
      <c r="H10">
        <v>10</v>
      </c>
      <c r="I10">
        <v>432</v>
      </c>
      <c r="J10">
        <v>0</v>
      </c>
      <c r="K10" t="s">
        <v>19</v>
      </c>
      <c r="L10" t="s">
        <v>20</v>
      </c>
      <c r="M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">
        <v>-4320</v>
      </c>
      <c r="O10" t="s">
        <v>38</v>
      </c>
      <c r="P10" t="str">
        <f>_xlfn.IFS(LEFT(indian_retail_raw_1000[[#This Row],[x]],1)="W", "West",LEFT(indian_retail_raw_1000[[#This Row],[x]],1)= "E","East",LEFT(O10,1) = "S", "South",LEFT(O10,1) = "N", "North")</f>
        <v>North</v>
      </c>
      <c r="Q10" t="s">
        <v>35</v>
      </c>
      <c r="R10" t="s">
        <v>138</v>
      </c>
      <c r="S10" t="str">
        <f>TEXT(indian_retail_raw_1000[[#This Row],[Order_Date]],"MMM")</f>
        <v>Null</v>
      </c>
    </row>
    <row r="11" spans="1:22" x14ac:dyDescent="0.25">
      <c r="A11" t="s">
        <v>486</v>
      </c>
      <c r="B11" s="1">
        <v>45193</v>
      </c>
      <c r="C11" t="s">
        <v>156</v>
      </c>
      <c r="D11">
        <v>25</v>
      </c>
      <c r="E11" t="s">
        <v>443</v>
      </c>
      <c r="F11" t="s">
        <v>30</v>
      </c>
      <c r="G11" t="s">
        <v>195</v>
      </c>
      <c r="H11">
        <v>-1</v>
      </c>
      <c r="I11">
        <v>4453</v>
      </c>
      <c r="J11">
        <v>15</v>
      </c>
      <c r="K11" t="s">
        <v>487</v>
      </c>
      <c r="L11" t="s">
        <v>51</v>
      </c>
      <c r="M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1">
        <v>-3785.05</v>
      </c>
      <c r="O11" t="s">
        <v>45</v>
      </c>
      <c r="P11" t="str">
        <f>_xlfn.IFS(LEFT(indian_retail_raw_1000[[#This Row],[x]],1)="W", "West",LEFT(indian_retail_raw_1000[[#This Row],[x]],1)= "E","East",LEFT(O11,1) = "S", "South",LEFT(O11,1) = "N", "North")</f>
        <v>East</v>
      </c>
      <c r="Q11" t="s">
        <v>30</v>
      </c>
      <c r="R11" t="s">
        <v>23</v>
      </c>
      <c r="S11" t="str">
        <f>TEXT(indian_retail_raw_1000[[#This Row],[Order_Date]],"MMM")</f>
        <v>Sep</v>
      </c>
    </row>
    <row r="12" spans="1:22" x14ac:dyDescent="0.25">
      <c r="A12" t="s">
        <v>1316</v>
      </c>
      <c r="B12" s="1" t="s">
        <v>1336</v>
      </c>
      <c r="C12" t="s">
        <v>1336</v>
      </c>
      <c r="D12">
        <v>63</v>
      </c>
      <c r="E12" t="s">
        <v>16</v>
      </c>
      <c r="F12" t="s">
        <v>220</v>
      </c>
      <c r="G12" t="s">
        <v>195</v>
      </c>
      <c r="H12">
        <v>-1</v>
      </c>
      <c r="I12">
        <v>3572</v>
      </c>
      <c r="J12">
        <v>25</v>
      </c>
      <c r="K12" t="s">
        <v>50</v>
      </c>
      <c r="L12" t="s">
        <v>20</v>
      </c>
      <c r="M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">
        <v>-2679</v>
      </c>
      <c r="O12" t="s">
        <v>21</v>
      </c>
      <c r="P12" t="str">
        <f>_xlfn.IFS(LEFT(indian_retail_raw_1000[[#This Row],[x]],1)="W", "West",LEFT(indian_retail_raw_1000[[#This Row],[x]],1)= "E","East",LEFT(O12,1) = "S", "South",LEFT(O12,1) = "N", "North")</f>
        <v>South</v>
      </c>
      <c r="Q12" t="s">
        <v>30</v>
      </c>
      <c r="R12" t="s">
        <v>16</v>
      </c>
      <c r="S12" t="str">
        <f>TEXT(indian_retail_raw_1000[[#This Row],[Order_Date]],"MMM")</f>
        <v>Null</v>
      </c>
    </row>
    <row r="13" spans="1:22" x14ac:dyDescent="0.25">
      <c r="A13" t="s">
        <v>979</v>
      </c>
      <c r="B13" s="1">
        <v>45167</v>
      </c>
      <c r="C13" t="s">
        <v>79</v>
      </c>
      <c r="D13">
        <v>45</v>
      </c>
      <c r="E13" t="s">
        <v>23</v>
      </c>
      <c r="F13" t="s">
        <v>17</v>
      </c>
      <c r="G13" t="s">
        <v>189</v>
      </c>
      <c r="H13">
        <v>-1</v>
      </c>
      <c r="I13">
        <v>2750</v>
      </c>
      <c r="J13">
        <v>20</v>
      </c>
      <c r="K13" t="s">
        <v>19</v>
      </c>
      <c r="L13" t="s">
        <v>51</v>
      </c>
      <c r="M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3">
        <v>-2200</v>
      </c>
      <c r="O13" t="s">
        <v>894</v>
      </c>
      <c r="P13" t="str">
        <f>_xlfn.IFS(LEFT(indian_retail_raw_1000[[#This Row],[x]],1)="W", "West",LEFT(indian_retail_raw_1000[[#This Row],[x]],1)= "E","East",LEFT(O13,1) = "S", "South",LEFT(O13,1) = "N", "North")</f>
        <v>North</v>
      </c>
      <c r="Q13" t="s">
        <v>17</v>
      </c>
      <c r="R13" t="s">
        <v>23</v>
      </c>
      <c r="S13" t="str">
        <f>TEXT(indian_retail_raw_1000[[#This Row],[Order_Date]],"MMM")</f>
        <v>Aug</v>
      </c>
    </row>
    <row r="14" spans="1:22" x14ac:dyDescent="0.25">
      <c r="A14" t="s">
        <v>951</v>
      </c>
      <c r="B14" s="1">
        <v>45090</v>
      </c>
      <c r="C14" t="s">
        <v>28</v>
      </c>
      <c r="D14">
        <v>60</v>
      </c>
      <c r="E14" t="s">
        <v>23</v>
      </c>
      <c r="F14" t="s">
        <v>17</v>
      </c>
      <c r="G14" t="s">
        <v>186</v>
      </c>
      <c r="H14">
        <v>1</v>
      </c>
      <c r="I14">
        <v>2400</v>
      </c>
      <c r="J14">
        <v>10</v>
      </c>
      <c r="K14" t="s">
        <v>369</v>
      </c>
      <c r="L14" t="s">
        <v>449</v>
      </c>
      <c r="M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">
        <v>-2160</v>
      </c>
      <c r="O14" t="s">
        <v>409</v>
      </c>
      <c r="P14" t="str">
        <f>_xlfn.IFS(LEFT(indian_retail_raw_1000[[#This Row],[x]],1)="W", "West",LEFT(indian_retail_raw_1000[[#This Row],[x]],1)= "E","East",LEFT(O14,1) = "S", "South",LEFT(O14,1) = "N", "North")</f>
        <v>South</v>
      </c>
      <c r="Q14" t="s">
        <v>17</v>
      </c>
      <c r="R14" t="s">
        <v>23</v>
      </c>
      <c r="S14" t="str">
        <f>TEXT(indian_retail_raw_1000[[#This Row],[Order_Date]],"MMM")</f>
        <v>Jun</v>
      </c>
    </row>
    <row r="15" spans="1:22" x14ac:dyDescent="0.25">
      <c r="A15" t="s">
        <v>293</v>
      </c>
      <c r="B15" s="1">
        <v>45203</v>
      </c>
      <c r="C15" t="s">
        <v>1336</v>
      </c>
      <c r="D15">
        <v>61</v>
      </c>
      <c r="E15" t="s">
        <v>16</v>
      </c>
      <c r="F15" t="s">
        <v>30</v>
      </c>
      <c r="G15" t="s">
        <v>294</v>
      </c>
      <c r="H15">
        <v>5</v>
      </c>
      <c r="I15">
        <v>675</v>
      </c>
      <c r="J15">
        <v>40</v>
      </c>
      <c r="K15" t="s">
        <v>19</v>
      </c>
      <c r="L15" t="s">
        <v>20</v>
      </c>
      <c r="M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">
        <v>-2025</v>
      </c>
      <c r="O15" t="s">
        <v>295</v>
      </c>
      <c r="P15" t="str">
        <f>_xlfn.IFS(LEFT(indian_retail_raw_1000[[#This Row],[x]],1)="W", "West",LEFT(indian_retail_raw_1000[[#This Row],[x]],1)= "E","East",LEFT(O15,1) = "S", "South",LEFT(O15,1) = "N", "North")</f>
        <v>East</v>
      </c>
      <c r="Q15" t="s">
        <v>30</v>
      </c>
      <c r="R15" t="s">
        <v>16</v>
      </c>
      <c r="S15" t="str">
        <f>TEXT(indian_retail_raw_1000[[#This Row],[Order_Date]],"MMM")</f>
        <v>Oct</v>
      </c>
    </row>
    <row r="16" spans="1:22" x14ac:dyDescent="0.25">
      <c r="A16" t="s">
        <v>516</v>
      </c>
      <c r="B16" s="1" t="s">
        <v>1336</v>
      </c>
      <c r="C16" t="s">
        <v>170</v>
      </c>
      <c r="D16">
        <v>62</v>
      </c>
      <c r="E16" t="s">
        <v>73</v>
      </c>
      <c r="F16" t="s">
        <v>17</v>
      </c>
      <c r="G16" t="s">
        <v>18</v>
      </c>
      <c r="H16">
        <v>1</v>
      </c>
      <c r="I16">
        <v>2200</v>
      </c>
      <c r="J16">
        <v>15</v>
      </c>
      <c r="K16" t="s">
        <v>19</v>
      </c>
      <c r="L16" t="s">
        <v>20</v>
      </c>
      <c r="M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">
        <v>-1870</v>
      </c>
      <c r="O16" t="s">
        <v>21</v>
      </c>
      <c r="P16" t="str">
        <f>_xlfn.IFS(LEFT(indian_retail_raw_1000[[#This Row],[x]],1)="W", "West",LEFT(indian_retail_raw_1000[[#This Row],[x]],1)= "E","East",LEFT(O16,1) = "S", "South",LEFT(O16,1) = "N", "North")</f>
        <v>South</v>
      </c>
      <c r="Q16" t="s">
        <v>17</v>
      </c>
      <c r="R16" t="s">
        <v>23</v>
      </c>
      <c r="S16" t="str">
        <f>TEXT(indian_retail_raw_1000[[#This Row],[Order_Date]],"MMM")</f>
        <v>Null</v>
      </c>
    </row>
    <row r="17" spans="1:19" x14ac:dyDescent="0.25">
      <c r="A17" t="s">
        <v>289</v>
      </c>
      <c r="B17" s="1">
        <v>45276</v>
      </c>
      <c r="C17" t="s">
        <v>1336</v>
      </c>
      <c r="D17">
        <v>59</v>
      </c>
      <c r="E17" t="s">
        <v>23</v>
      </c>
      <c r="F17" t="s">
        <v>30</v>
      </c>
      <c r="G17" t="s">
        <v>130</v>
      </c>
      <c r="H17">
        <v>-1</v>
      </c>
      <c r="I17">
        <v>1814</v>
      </c>
      <c r="J17">
        <v>0</v>
      </c>
      <c r="K17" t="s">
        <v>41</v>
      </c>
      <c r="L17" t="s">
        <v>20</v>
      </c>
      <c r="M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">
        <v>-1814</v>
      </c>
      <c r="O17" t="s">
        <v>26</v>
      </c>
      <c r="P17" t="str">
        <f>_xlfn.IFS(LEFT(indian_retail_raw_1000[[#This Row],[x]],1)="W", "West",LEFT(indian_retail_raw_1000[[#This Row],[x]],1)= "E","East",LEFT(O17,1) = "S", "South",LEFT(O17,1) = "N", "North")</f>
        <v>West</v>
      </c>
      <c r="Q17" t="s">
        <v>30</v>
      </c>
      <c r="R17" t="s">
        <v>23</v>
      </c>
      <c r="S17" t="str">
        <f>TEXT(indian_retail_raw_1000[[#This Row],[Order_Date]],"MMM")</f>
        <v>Dec</v>
      </c>
    </row>
    <row r="18" spans="1:19" x14ac:dyDescent="0.25">
      <c r="A18" t="s">
        <v>1335</v>
      </c>
      <c r="B18" s="1">
        <v>45012</v>
      </c>
      <c r="C18" t="s">
        <v>87</v>
      </c>
      <c r="D18">
        <v>20</v>
      </c>
      <c r="E18" t="s">
        <v>23</v>
      </c>
      <c r="F18" t="s">
        <v>35</v>
      </c>
      <c r="G18" t="s">
        <v>271</v>
      </c>
      <c r="H18">
        <v>6</v>
      </c>
      <c r="I18">
        <v>319</v>
      </c>
      <c r="J18">
        <v>40</v>
      </c>
      <c r="K18" t="s">
        <v>19</v>
      </c>
      <c r="L18" t="s">
        <v>20</v>
      </c>
      <c r="M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">
        <v>-1148.4000000000001</v>
      </c>
      <c r="O18" t="s">
        <v>45</v>
      </c>
      <c r="P18" t="str">
        <f>_xlfn.IFS(LEFT(indian_retail_raw_1000[[#This Row],[x]],1)="W", "West",LEFT(indian_retail_raw_1000[[#This Row],[x]],1)= "E","East",LEFT(O18,1) = "S", "South",LEFT(O18,1) = "N", "North")</f>
        <v>East</v>
      </c>
      <c r="Q18" t="s">
        <v>35</v>
      </c>
      <c r="R18" t="s">
        <v>23</v>
      </c>
      <c r="S18" t="str">
        <f>TEXT(indian_retail_raw_1000[[#This Row],[Order_Date]],"MMM")</f>
        <v>Mar</v>
      </c>
    </row>
    <row r="19" spans="1:19" x14ac:dyDescent="0.25">
      <c r="A19" t="s">
        <v>916</v>
      </c>
      <c r="B19" s="1">
        <v>45092</v>
      </c>
      <c r="C19" t="s">
        <v>66</v>
      </c>
      <c r="D19">
        <v>51</v>
      </c>
      <c r="E19" t="s">
        <v>16</v>
      </c>
      <c r="F19" t="s">
        <v>35</v>
      </c>
      <c r="G19" t="s">
        <v>111</v>
      </c>
      <c r="H19">
        <v>2</v>
      </c>
      <c r="I19">
        <v>473</v>
      </c>
      <c r="J19">
        <v>15</v>
      </c>
      <c r="K19" t="s">
        <v>105</v>
      </c>
      <c r="L19" t="s">
        <v>20</v>
      </c>
      <c r="M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">
        <v>-804.1</v>
      </c>
      <c r="O19" t="s">
        <v>45</v>
      </c>
      <c r="P19" t="str">
        <f>_xlfn.IFS(LEFT(indian_retail_raw_1000[[#This Row],[x]],1)="W", "West",LEFT(indian_retail_raw_1000[[#This Row],[x]],1)= "E","East",LEFT(O19,1) = "S", "South",LEFT(O19,1) = "N", "North")</f>
        <v>East</v>
      </c>
      <c r="Q19" t="s">
        <v>35</v>
      </c>
      <c r="R19" t="s">
        <v>16</v>
      </c>
      <c r="S19" t="str">
        <f>TEXT(indian_retail_raw_1000[[#This Row],[Order_Date]],"MMM")</f>
        <v>Jun</v>
      </c>
    </row>
    <row r="20" spans="1:19" x14ac:dyDescent="0.25">
      <c r="A20" t="s">
        <v>698</v>
      </c>
      <c r="B20" s="1" t="s">
        <v>1336</v>
      </c>
      <c r="C20" t="s">
        <v>156</v>
      </c>
      <c r="D20">
        <v>47</v>
      </c>
      <c r="E20" t="s">
        <v>23</v>
      </c>
      <c r="F20" t="s">
        <v>35</v>
      </c>
      <c r="G20" t="s">
        <v>126</v>
      </c>
      <c r="H20">
        <v>2</v>
      </c>
      <c r="I20">
        <v>400</v>
      </c>
      <c r="J20">
        <v>5</v>
      </c>
      <c r="K20" t="s">
        <v>41</v>
      </c>
      <c r="L20" t="s">
        <v>51</v>
      </c>
      <c r="M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0">
        <v>-760</v>
      </c>
      <c r="O20" t="s">
        <v>26</v>
      </c>
      <c r="P20" t="str">
        <f>_xlfn.IFS(LEFT(indian_retail_raw_1000[[#This Row],[x]],1)="W", "West",LEFT(indian_retail_raw_1000[[#This Row],[x]],1)= "E","East",LEFT(O20,1) = "S", "South",LEFT(O20,1) = "N", "North")</f>
        <v>West</v>
      </c>
      <c r="Q20" t="s">
        <v>35</v>
      </c>
      <c r="R20" t="s">
        <v>23</v>
      </c>
      <c r="S20" t="str">
        <f>TEXT(indian_retail_raw_1000[[#This Row],[Order_Date]],"MMM")</f>
        <v>Null</v>
      </c>
    </row>
    <row r="21" spans="1:19" x14ac:dyDescent="0.25">
      <c r="A21" t="s">
        <v>1264</v>
      </c>
      <c r="B21" s="1" t="s">
        <v>1336</v>
      </c>
      <c r="C21" t="s">
        <v>170</v>
      </c>
      <c r="D21">
        <v>19</v>
      </c>
      <c r="E21" t="s">
        <v>138</v>
      </c>
      <c r="F21" t="s">
        <v>35</v>
      </c>
      <c r="G21" t="s">
        <v>111</v>
      </c>
      <c r="H21">
        <v>3</v>
      </c>
      <c r="I21">
        <v>493</v>
      </c>
      <c r="J21">
        <v>50</v>
      </c>
      <c r="K21" t="s">
        <v>25</v>
      </c>
      <c r="L21" t="s">
        <v>56</v>
      </c>
      <c r="M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1">
        <v>-739.5</v>
      </c>
      <c r="O21" t="s">
        <v>26</v>
      </c>
      <c r="P21" t="str">
        <f>_xlfn.IFS(LEFT(indian_retail_raw_1000[[#This Row],[x]],1)="W", "West",LEFT(indian_retail_raw_1000[[#This Row],[x]],1)= "E","East",LEFT(O21,1) = "S", "South",LEFT(O21,1) = "N", "North")</f>
        <v>West</v>
      </c>
      <c r="Q21" t="s">
        <v>35</v>
      </c>
      <c r="R21" t="s">
        <v>138</v>
      </c>
      <c r="S21" t="str">
        <f>TEXT(indian_retail_raw_1000[[#This Row],[Order_Date]],"MMM")</f>
        <v>Null</v>
      </c>
    </row>
    <row r="22" spans="1:19" x14ac:dyDescent="0.25">
      <c r="A22" t="s">
        <v>844</v>
      </c>
      <c r="B22" s="1" t="s">
        <v>1336</v>
      </c>
      <c r="C22" t="s">
        <v>165</v>
      </c>
      <c r="E22" t="s">
        <v>16</v>
      </c>
      <c r="F22" t="s">
        <v>54</v>
      </c>
      <c r="G22" t="s">
        <v>311</v>
      </c>
      <c r="H22">
        <v>1</v>
      </c>
      <c r="I22">
        <v>3900</v>
      </c>
      <c r="J22">
        <v>110</v>
      </c>
      <c r="K22" t="s">
        <v>19</v>
      </c>
      <c r="L22" t="s">
        <v>20</v>
      </c>
      <c r="M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">
        <v>-390</v>
      </c>
      <c r="O22" t="s">
        <v>33</v>
      </c>
      <c r="P22" t="str">
        <f>_xlfn.IFS(LEFT(indian_retail_raw_1000[[#This Row],[x]],1)="W", "West",LEFT(indian_retail_raw_1000[[#This Row],[x]],1)= "E","East",LEFT(O22,1) = "S", "South",LEFT(O22,1) = "N", "North")</f>
        <v>West</v>
      </c>
      <c r="Q22" t="s">
        <v>54</v>
      </c>
      <c r="R22" t="s">
        <v>16</v>
      </c>
      <c r="S22" t="str">
        <f>TEXT(indian_retail_raw_1000[[#This Row],[Order_Date]],"MMM")</f>
        <v>Null</v>
      </c>
    </row>
    <row r="23" spans="1:19" x14ac:dyDescent="0.25">
      <c r="A23" t="s">
        <v>708</v>
      </c>
      <c r="B23" s="1">
        <v>45177</v>
      </c>
      <c r="C23" t="s">
        <v>152</v>
      </c>
      <c r="D23">
        <v>38</v>
      </c>
      <c r="E23" t="s">
        <v>16</v>
      </c>
      <c r="F23" t="s">
        <v>35</v>
      </c>
      <c r="G23" t="s">
        <v>331</v>
      </c>
      <c r="H23">
        <v>-1</v>
      </c>
      <c r="I23">
        <v>289</v>
      </c>
      <c r="J23">
        <v>30</v>
      </c>
      <c r="K23" t="s">
        <v>25</v>
      </c>
      <c r="L23" t="s">
        <v>20</v>
      </c>
      <c r="M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">
        <v>-202.3</v>
      </c>
      <c r="O23" t="s">
        <v>21</v>
      </c>
      <c r="P23" t="str">
        <f>_xlfn.IFS(LEFT(indian_retail_raw_1000[[#This Row],[x]],1)="W", "West",LEFT(indian_retail_raw_1000[[#This Row],[x]],1)= "E","East",LEFT(O23,1) = "S", "South",LEFT(O23,1) = "N", "North")</f>
        <v>South</v>
      </c>
      <c r="Q23" t="s">
        <v>35</v>
      </c>
      <c r="R23" t="s">
        <v>16</v>
      </c>
      <c r="S23" t="str">
        <f>TEXT(indian_retail_raw_1000[[#This Row],[Order_Date]],"MMM")</f>
        <v>Sep</v>
      </c>
    </row>
    <row r="24" spans="1:19" x14ac:dyDescent="0.25">
      <c r="A24" t="s">
        <v>804</v>
      </c>
      <c r="B24" s="1">
        <v>45291</v>
      </c>
      <c r="C24" t="s">
        <v>358</v>
      </c>
      <c r="D24">
        <v>22</v>
      </c>
      <c r="E24" t="s">
        <v>16</v>
      </c>
      <c r="F24" t="s">
        <v>17</v>
      </c>
      <c r="G24" t="s">
        <v>24</v>
      </c>
      <c r="H24">
        <v>2</v>
      </c>
      <c r="I24">
        <v>6</v>
      </c>
      <c r="J24">
        <v>10</v>
      </c>
      <c r="K24" t="s">
        <v>19</v>
      </c>
      <c r="L24" t="s">
        <v>20</v>
      </c>
      <c r="M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">
        <v>-10.8</v>
      </c>
      <c r="O24" t="s">
        <v>45</v>
      </c>
      <c r="P24" t="str">
        <f>_xlfn.IFS(LEFT(indian_retail_raw_1000[[#This Row],[x]],1)="W", "West",LEFT(indian_retail_raw_1000[[#This Row],[x]],1)= "E","East",LEFT(O24,1) = "S", "South",LEFT(O24,1) = "N", "North")</f>
        <v>East</v>
      </c>
      <c r="Q24" t="s">
        <v>17</v>
      </c>
      <c r="R24" t="s">
        <v>16</v>
      </c>
      <c r="S24" t="str">
        <f>TEXT(indian_retail_raw_1000[[#This Row],[Order_Date]],"MMM")</f>
        <v>Dec</v>
      </c>
    </row>
    <row r="25" spans="1:19" x14ac:dyDescent="0.25">
      <c r="A25" t="s">
        <v>233</v>
      </c>
      <c r="B25" s="1">
        <v>45210</v>
      </c>
      <c r="C25" t="s">
        <v>160</v>
      </c>
      <c r="D25">
        <v>29</v>
      </c>
      <c r="E25" t="s">
        <v>23</v>
      </c>
      <c r="F25" t="s">
        <v>17</v>
      </c>
      <c r="G25" t="s">
        <v>186</v>
      </c>
      <c r="H25">
        <v>0</v>
      </c>
      <c r="I25">
        <v>1250</v>
      </c>
      <c r="J25">
        <v>40</v>
      </c>
      <c r="K25" t="s">
        <v>19</v>
      </c>
      <c r="L25" t="s">
        <v>51</v>
      </c>
      <c r="M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5">
        <v>0</v>
      </c>
      <c r="O25" t="s">
        <v>38</v>
      </c>
      <c r="P25" t="str">
        <f>_xlfn.IFS(LEFT(indian_retail_raw_1000[[#This Row],[x]],1)="W", "West",LEFT(indian_retail_raw_1000[[#This Row],[x]],1)= "E","East",LEFT(O25,1) = "S", "South",LEFT(O25,1) = "N", "North")</f>
        <v>North</v>
      </c>
      <c r="Q25" t="s">
        <v>17</v>
      </c>
      <c r="R25" t="s">
        <v>23</v>
      </c>
      <c r="S25" t="str">
        <f>TEXT(indian_retail_raw_1000[[#This Row],[Order_Date]],"MMM")</f>
        <v>Oct</v>
      </c>
    </row>
    <row r="26" spans="1:19" x14ac:dyDescent="0.25">
      <c r="A26" t="s">
        <v>403</v>
      </c>
      <c r="B26" s="1">
        <v>45213</v>
      </c>
      <c r="C26" t="s">
        <v>170</v>
      </c>
      <c r="D26">
        <v>42</v>
      </c>
      <c r="E26" t="s">
        <v>23</v>
      </c>
      <c r="F26" t="s">
        <v>17</v>
      </c>
      <c r="G26" t="s">
        <v>189</v>
      </c>
      <c r="H26">
        <v>0</v>
      </c>
      <c r="I26">
        <v>3600</v>
      </c>
      <c r="J26">
        <v>25</v>
      </c>
      <c r="K26" t="s">
        <v>50</v>
      </c>
      <c r="L26" t="s">
        <v>51</v>
      </c>
      <c r="M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6">
        <v>0</v>
      </c>
      <c r="O26" t="s">
        <v>352</v>
      </c>
      <c r="P26" t="str">
        <f>_xlfn.IFS(LEFT(indian_retail_raw_1000[[#This Row],[x]],1)="W", "West",LEFT(indian_retail_raw_1000[[#This Row],[x]],1)= "E","East",LEFT(O26,1) = "S", "South",LEFT(O26,1) = "N", "North")</f>
        <v>East</v>
      </c>
      <c r="Q26" t="s">
        <v>17</v>
      </c>
      <c r="R26" t="s">
        <v>23</v>
      </c>
      <c r="S26" t="str">
        <f>TEXT(indian_retail_raw_1000[[#This Row],[Order_Date]],"MMM")</f>
        <v>Oct</v>
      </c>
    </row>
    <row r="27" spans="1:19" x14ac:dyDescent="0.25">
      <c r="A27" t="s">
        <v>544</v>
      </c>
      <c r="B27" s="1">
        <v>45096</v>
      </c>
      <c r="C27" t="s">
        <v>62</v>
      </c>
      <c r="D27">
        <v>52</v>
      </c>
      <c r="E27" t="s">
        <v>29</v>
      </c>
      <c r="F27" t="s">
        <v>54</v>
      </c>
      <c r="G27" t="s">
        <v>92</v>
      </c>
      <c r="H27">
        <v>0</v>
      </c>
      <c r="I27">
        <v>13500</v>
      </c>
      <c r="J27">
        <v>50</v>
      </c>
      <c r="K27" t="s">
        <v>41</v>
      </c>
      <c r="L27" t="s">
        <v>20</v>
      </c>
      <c r="M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">
        <v>0</v>
      </c>
      <c r="O27" t="s">
        <v>122</v>
      </c>
      <c r="P27" t="str">
        <f>_xlfn.IFS(LEFT(indian_retail_raw_1000[[#This Row],[x]],1)="W", "West",LEFT(indian_retail_raw_1000[[#This Row],[x]],1)= "E","East",LEFT(O27,1) = "S", "South",LEFT(O27,1) = "N", "North")</f>
        <v>East</v>
      </c>
      <c r="Q27" t="s">
        <v>54</v>
      </c>
      <c r="R27" t="s">
        <v>16</v>
      </c>
      <c r="S27" t="str">
        <f>TEXT(indian_retail_raw_1000[[#This Row],[Order_Date]],"MMM")</f>
        <v>Jun</v>
      </c>
    </row>
    <row r="28" spans="1:19" x14ac:dyDescent="0.25">
      <c r="A28" t="s">
        <v>612</v>
      </c>
      <c r="B28" s="1">
        <v>45246</v>
      </c>
      <c r="C28" t="s">
        <v>152</v>
      </c>
      <c r="D28">
        <v>29</v>
      </c>
      <c r="E28" t="s">
        <v>490</v>
      </c>
      <c r="F28" t="s">
        <v>17</v>
      </c>
      <c r="G28" t="s">
        <v>80</v>
      </c>
      <c r="H28">
        <v>0</v>
      </c>
      <c r="I28">
        <v>7850</v>
      </c>
      <c r="J28">
        <v>20</v>
      </c>
      <c r="K28" t="s">
        <v>25</v>
      </c>
      <c r="L28" t="s">
        <v>20</v>
      </c>
      <c r="M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">
        <v>0</v>
      </c>
      <c r="O28" t="s">
        <v>26</v>
      </c>
      <c r="P28" t="str">
        <f>_xlfn.IFS(LEFT(indian_retail_raw_1000[[#This Row],[x]],1)="W", "West",LEFT(indian_retail_raw_1000[[#This Row],[x]],1)= "E","East",LEFT(O28,1) = "S", "South",LEFT(O28,1) = "N", "North")</f>
        <v>West</v>
      </c>
      <c r="Q28" t="s">
        <v>17</v>
      </c>
      <c r="R28" t="s">
        <v>16</v>
      </c>
      <c r="S28" t="str">
        <f>TEXT(indian_retail_raw_1000[[#This Row],[Order_Date]],"MMM")</f>
        <v>Nov</v>
      </c>
    </row>
    <row r="29" spans="1:19" x14ac:dyDescent="0.25">
      <c r="A29" t="s">
        <v>694</v>
      </c>
      <c r="B29" s="1">
        <v>45244</v>
      </c>
      <c r="C29" t="s">
        <v>128</v>
      </c>
      <c r="D29">
        <v>18</v>
      </c>
      <c r="E29" t="s">
        <v>23</v>
      </c>
      <c r="F29" t="s">
        <v>35</v>
      </c>
      <c r="G29" t="s">
        <v>257</v>
      </c>
      <c r="H29">
        <v>0</v>
      </c>
      <c r="I29">
        <v>847</v>
      </c>
      <c r="J29">
        <v>30</v>
      </c>
      <c r="K29" t="s">
        <v>41</v>
      </c>
      <c r="L29" t="s">
        <v>20</v>
      </c>
      <c r="M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">
        <v>0</v>
      </c>
      <c r="O29" t="s">
        <v>21</v>
      </c>
      <c r="P29" t="str">
        <f>_xlfn.IFS(LEFT(indian_retail_raw_1000[[#This Row],[x]],1)="W", "West",LEFT(indian_retail_raw_1000[[#This Row],[x]],1)= "E","East",LEFT(O29,1) = "S", "South",LEFT(O29,1) = "N", "North")</f>
        <v>South</v>
      </c>
      <c r="Q29" t="s">
        <v>35</v>
      </c>
      <c r="R29" t="s">
        <v>23</v>
      </c>
      <c r="S29" t="str">
        <f>TEXT(indian_retail_raw_1000[[#This Row],[Order_Date]],"MMM")</f>
        <v>Nov</v>
      </c>
    </row>
    <row r="30" spans="1:19" x14ac:dyDescent="0.25">
      <c r="A30" t="s">
        <v>891</v>
      </c>
      <c r="B30" s="1">
        <v>45054</v>
      </c>
      <c r="C30" t="s">
        <v>170</v>
      </c>
      <c r="D30">
        <v>64</v>
      </c>
      <c r="E30" t="s">
        <v>443</v>
      </c>
      <c r="F30" t="s">
        <v>35</v>
      </c>
      <c r="G30" t="s">
        <v>147</v>
      </c>
      <c r="H30">
        <v>0</v>
      </c>
      <c r="I30">
        <v>358</v>
      </c>
      <c r="J30">
        <v>30</v>
      </c>
      <c r="K30" t="s">
        <v>25</v>
      </c>
      <c r="L30" t="s">
        <v>51</v>
      </c>
      <c r="M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0">
        <v>0</v>
      </c>
      <c r="O30" t="s">
        <v>38</v>
      </c>
      <c r="P30" t="str">
        <f>_xlfn.IFS(LEFT(indian_retail_raw_1000[[#This Row],[x]],1)="W", "West",LEFT(indian_retail_raw_1000[[#This Row],[x]],1)= "E","East",LEFT(O30,1) = "S", "South",LEFT(O30,1) = "N", "North")</f>
        <v>North</v>
      </c>
      <c r="Q30" t="s">
        <v>35</v>
      </c>
      <c r="R30" t="s">
        <v>23</v>
      </c>
      <c r="S30" t="str">
        <f>TEXT(indian_retail_raw_1000[[#This Row],[Order_Date]],"MMM")</f>
        <v>May</v>
      </c>
    </row>
    <row r="31" spans="1:19" x14ac:dyDescent="0.25">
      <c r="A31" t="s">
        <v>906</v>
      </c>
      <c r="B31" s="1">
        <v>45249</v>
      </c>
      <c r="C31" t="s">
        <v>176</v>
      </c>
      <c r="D31">
        <v>42</v>
      </c>
      <c r="E31" t="s">
        <v>23</v>
      </c>
      <c r="F31" t="s">
        <v>30</v>
      </c>
      <c r="G31" t="s">
        <v>135</v>
      </c>
      <c r="H31">
        <v>0</v>
      </c>
      <c r="I31">
        <v>13365</v>
      </c>
      <c r="J31">
        <v>30</v>
      </c>
      <c r="K31" t="s">
        <v>50</v>
      </c>
      <c r="L31" t="s">
        <v>20</v>
      </c>
      <c r="M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">
        <v>0</v>
      </c>
      <c r="O31" t="s">
        <v>349</v>
      </c>
      <c r="P31" t="str">
        <f>_xlfn.IFS(LEFT(indian_retail_raw_1000[[#This Row],[x]],1)="W", "West",LEFT(indian_retail_raw_1000[[#This Row],[x]],1)= "E","East",LEFT(O31,1) = "S", "South",LEFT(O31,1) = "N", "North")</f>
        <v>South</v>
      </c>
      <c r="Q31" t="s">
        <v>30</v>
      </c>
      <c r="R31" t="s">
        <v>23</v>
      </c>
      <c r="S31" t="str">
        <f>TEXT(indian_retail_raw_1000[[#This Row],[Order_Date]],"MMM")</f>
        <v>Nov</v>
      </c>
    </row>
    <row r="32" spans="1:19" x14ac:dyDescent="0.25">
      <c r="A32" t="s">
        <v>891</v>
      </c>
      <c r="B32" s="1">
        <v>45054</v>
      </c>
      <c r="C32" t="s">
        <v>170</v>
      </c>
      <c r="D32">
        <v>64</v>
      </c>
      <c r="E32" t="s">
        <v>443</v>
      </c>
      <c r="F32" t="s">
        <v>35</v>
      </c>
      <c r="G32" t="s">
        <v>147</v>
      </c>
      <c r="H32">
        <v>0</v>
      </c>
      <c r="I32">
        <v>358</v>
      </c>
      <c r="J32">
        <v>30</v>
      </c>
      <c r="K32" t="s">
        <v>25</v>
      </c>
      <c r="L32" t="s">
        <v>51</v>
      </c>
      <c r="M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2">
        <v>0</v>
      </c>
      <c r="O32" t="s">
        <v>38</v>
      </c>
      <c r="P32" t="str">
        <f>_xlfn.IFS(LEFT(indian_retail_raw_1000[[#This Row],[x]],1)="W", "West",LEFT(indian_retail_raw_1000[[#This Row],[x]],1)= "E","East",LEFT(O32,1) = "S", "South",LEFT(O32,1) = "N", "North")</f>
        <v>North</v>
      </c>
      <c r="Q32" t="s">
        <v>35</v>
      </c>
      <c r="R32" t="s">
        <v>23</v>
      </c>
      <c r="S32" t="str">
        <f>TEXT(indian_retail_raw_1000[[#This Row],[Order_Date]],"MMM")</f>
        <v>May</v>
      </c>
    </row>
    <row r="33" spans="1:19" x14ac:dyDescent="0.25">
      <c r="A33" t="s">
        <v>952</v>
      </c>
      <c r="B33" s="1">
        <v>45049</v>
      </c>
      <c r="C33" t="s">
        <v>1336</v>
      </c>
      <c r="D33">
        <v>56</v>
      </c>
      <c r="E33" t="s">
        <v>16</v>
      </c>
      <c r="F33" t="s">
        <v>953</v>
      </c>
      <c r="G33" t="s">
        <v>126</v>
      </c>
      <c r="H33">
        <v>0</v>
      </c>
      <c r="I33">
        <v>432</v>
      </c>
      <c r="J33">
        <v>15</v>
      </c>
      <c r="K33" t="s">
        <v>25</v>
      </c>
      <c r="L33" t="s">
        <v>20</v>
      </c>
      <c r="M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3">
        <v>0</v>
      </c>
      <c r="O33" t="s">
        <v>26</v>
      </c>
      <c r="P33" t="str">
        <f>_xlfn.IFS(LEFT(indian_retail_raw_1000[[#This Row],[x]],1)="W", "West",LEFT(indian_retail_raw_1000[[#This Row],[x]],1)= "E","East",LEFT(O33,1) = "S", "South",LEFT(O33,1) = "N", "North")</f>
        <v>West</v>
      </c>
      <c r="Q33" t="s">
        <v>35</v>
      </c>
      <c r="R33" t="s">
        <v>16</v>
      </c>
      <c r="S33" t="str">
        <f>TEXT(indian_retail_raw_1000[[#This Row],[Order_Date]],"MMM")</f>
        <v>May</v>
      </c>
    </row>
    <row r="34" spans="1:19" x14ac:dyDescent="0.25">
      <c r="A34" t="s">
        <v>994</v>
      </c>
      <c r="B34" s="1">
        <v>44937</v>
      </c>
      <c r="C34" t="s">
        <v>1336</v>
      </c>
      <c r="D34">
        <v>30</v>
      </c>
      <c r="E34" t="s">
        <v>16</v>
      </c>
      <c r="F34" t="s">
        <v>17</v>
      </c>
      <c r="G34" t="s">
        <v>297</v>
      </c>
      <c r="H34">
        <v>0</v>
      </c>
      <c r="I34">
        <v>5650</v>
      </c>
      <c r="J34">
        <v>40</v>
      </c>
      <c r="K34" t="s">
        <v>41</v>
      </c>
      <c r="L34" t="s">
        <v>20</v>
      </c>
      <c r="M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">
        <v>0</v>
      </c>
      <c r="O34" t="s">
        <v>45</v>
      </c>
      <c r="P34" t="str">
        <f>_xlfn.IFS(LEFT(indian_retail_raw_1000[[#This Row],[x]],1)="W", "West",LEFT(indian_retail_raw_1000[[#This Row],[x]],1)= "E","East",LEFT(O34,1) = "S", "South",LEFT(O34,1) = "N", "North")</f>
        <v>East</v>
      </c>
      <c r="Q34" t="s">
        <v>17</v>
      </c>
      <c r="R34" t="s">
        <v>16</v>
      </c>
      <c r="S34" t="str">
        <f>TEXT(indian_retail_raw_1000[[#This Row],[Order_Date]],"MMM")</f>
        <v>Jan</v>
      </c>
    </row>
    <row r="35" spans="1:19" x14ac:dyDescent="0.25">
      <c r="A35" t="s">
        <v>999</v>
      </c>
      <c r="B35" s="1">
        <v>45272</v>
      </c>
      <c r="C35" t="s">
        <v>1336</v>
      </c>
      <c r="D35">
        <v>65</v>
      </c>
      <c r="E35" t="s">
        <v>16</v>
      </c>
      <c r="F35" t="s">
        <v>35</v>
      </c>
      <c r="G35" t="s">
        <v>271</v>
      </c>
      <c r="H35">
        <v>0</v>
      </c>
      <c r="I35">
        <v>514</v>
      </c>
      <c r="J35">
        <v>10</v>
      </c>
      <c r="K35" t="s">
        <v>531</v>
      </c>
      <c r="L35" t="s">
        <v>20</v>
      </c>
      <c r="M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">
        <v>0</v>
      </c>
      <c r="O35" t="s">
        <v>21</v>
      </c>
      <c r="P35" t="str">
        <f>_xlfn.IFS(LEFT(indian_retail_raw_1000[[#This Row],[x]],1)="W", "West",LEFT(indian_retail_raw_1000[[#This Row],[x]],1)= "E","East",LEFT(O35,1) = "S", "South",LEFT(O35,1) = "N", "North")</f>
        <v>South</v>
      </c>
      <c r="Q35" t="s">
        <v>35</v>
      </c>
      <c r="R35" t="s">
        <v>16</v>
      </c>
      <c r="S35" t="str">
        <f>TEXT(indian_retail_raw_1000[[#This Row],[Order_Date]],"MMM")</f>
        <v>Dec</v>
      </c>
    </row>
    <row r="36" spans="1:19" x14ac:dyDescent="0.25">
      <c r="A36" t="s">
        <v>1013</v>
      </c>
      <c r="B36" s="1">
        <v>45259</v>
      </c>
      <c r="C36" t="s">
        <v>128</v>
      </c>
      <c r="D36">
        <v>29</v>
      </c>
      <c r="E36" t="s">
        <v>16</v>
      </c>
      <c r="F36" t="s">
        <v>54</v>
      </c>
      <c r="G36" t="s">
        <v>180</v>
      </c>
      <c r="H36">
        <v>0</v>
      </c>
      <c r="I36">
        <v>24600</v>
      </c>
      <c r="J36">
        <v>25</v>
      </c>
      <c r="K36" t="s">
        <v>19</v>
      </c>
      <c r="L36" t="s">
        <v>20</v>
      </c>
      <c r="M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">
        <v>0</v>
      </c>
      <c r="O36" t="s">
        <v>21</v>
      </c>
      <c r="P36" t="str">
        <f>_xlfn.IFS(LEFT(indian_retail_raw_1000[[#This Row],[x]],1)="W", "West",LEFT(indian_retail_raw_1000[[#This Row],[x]],1)= "E","East",LEFT(O36,1) = "S", "South",LEFT(O36,1) = "N", "North")</f>
        <v>South</v>
      </c>
      <c r="Q36" t="s">
        <v>54</v>
      </c>
      <c r="R36" t="s">
        <v>16</v>
      </c>
      <c r="S36" t="str">
        <f>TEXT(indian_retail_raw_1000[[#This Row],[Order_Date]],"MMM")</f>
        <v>Nov</v>
      </c>
    </row>
    <row r="37" spans="1:19" x14ac:dyDescent="0.25">
      <c r="A37" t="s">
        <v>1106</v>
      </c>
      <c r="B37" s="1" t="s">
        <v>1336</v>
      </c>
      <c r="C37" t="s">
        <v>1336</v>
      </c>
      <c r="D37">
        <v>22</v>
      </c>
      <c r="E37" t="s">
        <v>16</v>
      </c>
      <c r="F37" t="s">
        <v>54</v>
      </c>
      <c r="G37" t="s">
        <v>55</v>
      </c>
      <c r="H37">
        <v>0</v>
      </c>
      <c r="I37">
        <v>40900</v>
      </c>
      <c r="J37">
        <v>10</v>
      </c>
      <c r="K37" t="s">
        <v>25</v>
      </c>
      <c r="L37" t="s">
        <v>20</v>
      </c>
      <c r="M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7">
        <v>0</v>
      </c>
      <c r="O37" t="s">
        <v>38</v>
      </c>
      <c r="P37" t="str">
        <f>_xlfn.IFS(LEFT(indian_retail_raw_1000[[#This Row],[x]],1)="W", "West",LEFT(indian_retail_raw_1000[[#This Row],[x]],1)= "E","East",LEFT(O37,1) = "S", "South",LEFT(O37,1) = "N", "North")</f>
        <v>North</v>
      </c>
      <c r="Q37" t="s">
        <v>54</v>
      </c>
      <c r="R37" t="s">
        <v>16</v>
      </c>
      <c r="S37" t="str">
        <f>TEXT(indian_retail_raw_1000[[#This Row],[Order_Date]],"MMM")</f>
        <v>Null</v>
      </c>
    </row>
    <row r="38" spans="1:19" x14ac:dyDescent="0.25">
      <c r="A38" t="s">
        <v>1159</v>
      </c>
      <c r="B38" s="1">
        <v>44938</v>
      </c>
      <c r="C38" t="s">
        <v>170</v>
      </c>
      <c r="D38">
        <v>57</v>
      </c>
      <c r="E38" t="s">
        <v>16</v>
      </c>
      <c r="F38" t="s">
        <v>347</v>
      </c>
      <c r="G38" t="s">
        <v>237</v>
      </c>
      <c r="H38">
        <v>0</v>
      </c>
      <c r="I38">
        <v>44300</v>
      </c>
      <c r="J38">
        <v>0</v>
      </c>
      <c r="K38" t="s">
        <v>41</v>
      </c>
      <c r="L38" t="s">
        <v>56</v>
      </c>
      <c r="M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8">
        <v>0</v>
      </c>
      <c r="O38" t="s">
        <v>26</v>
      </c>
      <c r="P38" t="str">
        <f>_xlfn.IFS(LEFT(indian_retail_raw_1000[[#This Row],[x]],1)="W", "West",LEFT(indian_retail_raw_1000[[#This Row],[x]],1)= "E","East",LEFT(O38,1) = "S", "South",LEFT(O38,1) = "N", "North")</f>
        <v>West</v>
      </c>
      <c r="Q38" t="s">
        <v>54</v>
      </c>
      <c r="R38" t="s">
        <v>16</v>
      </c>
      <c r="S38" t="str">
        <f>TEXT(indian_retail_raw_1000[[#This Row],[Order_Date]],"MMM")</f>
        <v>Jan</v>
      </c>
    </row>
    <row r="39" spans="1:19" x14ac:dyDescent="0.25">
      <c r="A39" t="s">
        <v>1229</v>
      </c>
      <c r="B39" s="1">
        <v>45239</v>
      </c>
      <c r="C39" t="s">
        <v>192</v>
      </c>
      <c r="D39">
        <v>26</v>
      </c>
      <c r="E39" t="s">
        <v>16</v>
      </c>
      <c r="F39" t="s">
        <v>30</v>
      </c>
      <c r="G39" t="s">
        <v>540</v>
      </c>
      <c r="H39">
        <v>0</v>
      </c>
      <c r="I39">
        <v>4331</v>
      </c>
      <c r="J39">
        <v>30</v>
      </c>
      <c r="K39" t="s">
        <v>19</v>
      </c>
      <c r="L39" t="s">
        <v>20</v>
      </c>
      <c r="M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">
        <v>0</v>
      </c>
      <c r="O39" t="s">
        <v>38</v>
      </c>
      <c r="P39" t="str">
        <f>_xlfn.IFS(LEFT(indian_retail_raw_1000[[#This Row],[x]],1)="W", "West",LEFT(indian_retail_raw_1000[[#This Row],[x]],1)= "E","East",LEFT(O39,1) = "S", "South",LEFT(O39,1) = "N", "North")</f>
        <v>North</v>
      </c>
      <c r="Q39" t="s">
        <v>30</v>
      </c>
      <c r="R39" t="s">
        <v>16</v>
      </c>
      <c r="S39" t="str">
        <f>TEXT(indian_retail_raw_1000[[#This Row],[Order_Date]],"MMM")</f>
        <v>Nov</v>
      </c>
    </row>
    <row r="40" spans="1:19" x14ac:dyDescent="0.25">
      <c r="A40" t="s">
        <v>777</v>
      </c>
      <c r="B40" s="1">
        <v>45122</v>
      </c>
      <c r="C40" t="s">
        <v>76</v>
      </c>
      <c r="D40">
        <v>37</v>
      </c>
      <c r="E40" t="s">
        <v>16</v>
      </c>
      <c r="F40" t="s">
        <v>17</v>
      </c>
      <c r="G40" t="s">
        <v>124</v>
      </c>
      <c r="H40">
        <v>1</v>
      </c>
      <c r="I40">
        <v>4</v>
      </c>
      <c r="J40">
        <v>50</v>
      </c>
      <c r="K40" t="s">
        <v>41</v>
      </c>
      <c r="L40" t="s">
        <v>20</v>
      </c>
      <c r="M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0">
        <v>2</v>
      </c>
      <c r="O40" t="s">
        <v>45</v>
      </c>
      <c r="P40" t="str">
        <f>_xlfn.IFS(LEFT(indian_retail_raw_1000[[#This Row],[x]],1)="W", "West",LEFT(indian_retail_raw_1000[[#This Row],[x]],1)= "E","East",LEFT(O40,1) = "S", "South",LEFT(O40,1) = "N", "North")</f>
        <v>East</v>
      </c>
      <c r="Q40" t="s">
        <v>17</v>
      </c>
      <c r="R40" t="s">
        <v>16</v>
      </c>
      <c r="S40" t="str">
        <f>TEXT(indian_retail_raw_1000[[#This Row],[Order_Date]],"MMM")</f>
        <v>Jul</v>
      </c>
    </row>
    <row r="41" spans="1:19" x14ac:dyDescent="0.25">
      <c r="A41" t="s">
        <v>1183</v>
      </c>
      <c r="B41" s="1">
        <v>45197</v>
      </c>
      <c r="C41" t="s">
        <v>165</v>
      </c>
      <c r="D41">
        <v>26</v>
      </c>
      <c r="E41" t="s">
        <v>16</v>
      </c>
      <c r="F41" t="s">
        <v>54</v>
      </c>
      <c r="G41" t="s">
        <v>114</v>
      </c>
      <c r="H41">
        <v>2</v>
      </c>
      <c r="I41">
        <v>2</v>
      </c>
      <c r="J41">
        <v>30</v>
      </c>
      <c r="K41" t="s">
        <v>19</v>
      </c>
      <c r="L41" t="s">
        <v>20</v>
      </c>
      <c r="M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">
        <v>2.8</v>
      </c>
      <c r="O41" t="s">
        <v>375</v>
      </c>
      <c r="P41" t="str">
        <f>_xlfn.IFS(LEFT(indian_retail_raw_1000[[#This Row],[x]],1)="W", "West",LEFT(indian_retail_raw_1000[[#This Row],[x]],1)= "E","East",LEFT(O41,1) = "S", "South",LEFT(O41,1) = "N", "North")</f>
        <v>North</v>
      </c>
      <c r="Q41" t="s">
        <v>54</v>
      </c>
      <c r="R41" t="s">
        <v>16</v>
      </c>
      <c r="S41" t="str">
        <f>TEXT(indian_retail_raw_1000[[#This Row],[Order_Date]],"MMM")</f>
        <v>Sep</v>
      </c>
    </row>
    <row r="42" spans="1:19" x14ac:dyDescent="0.25">
      <c r="A42" t="s">
        <v>46</v>
      </c>
      <c r="B42" s="1" t="s">
        <v>1336</v>
      </c>
      <c r="C42" t="s">
        <v>48</v>
      </c>
      <c r="D42">
        <v>45</v>
      </c>
      <c r="E42" t="s">
        <v>16</v>
      </c>
      <c r="F42" t="s">
        <v>17</v>
      </c>
      <c r="G42" t="s">
        <v>49</v>
      </c>
      <c r="H42">
        <v>3</v>
      </c>
      <c r="I42">
        <v>2</v>
      </c>
      <c r="J42">
        <v>0</v>
      </c>
      <c r="K42" t="s">
        <v>50</v>
      </c>
      <c r="L42" t="s">
        <v>51</v>
      </c>
      <c r="M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2">
        <v>6</v>
      </c>
      <c r="O42" t="s">
        <v>45</v>
      </c>
      <c r="P42" t="str">
        <f>_xlfn.IFS(LEFT(indian_retail_raw_1000[[#This Row],[x]],1)="W", "West",LEFT(indian_retail_raw_1000[[#This Row],[x]],1)= "E","East",LEFT(O42,1) = "S", "South",LEFT(O42,1) = "N", "North")</f>
        <v>East</v>
      </c>
      <c r="Q42" t="s">
        <v>17</v>
      </c>
      <c r="R42" t="s">
        <v>16</v>
      </c>
      <c r="S42" t="str">
        <f>TEXT(indian_retail_raw_1000[[#This Row],[Order_Date]],"MMM")</f>
        <v>Null</v>
      </c>
    </row>
    <row r="43" spans="1:19" x14ac:dyDescent="0.25">
      <c r="A43" t="s">
        <v>997</v>
      </c>
      <c r="B43" s="1">
        <v>44989</v>
      </c>
      <c r="C43" t="s">
        <v>160</v>
      </c>
      <c r="D43">
        <v>39</v>
      </c>
      <c r="E43" t="s">
        <v>23</v>
      </c>
      <c r="F43" t="s">
        <v>35</v>
      </c>
      <c r="G43" t="s">
        <v>213</v>
      </c>
      <c r="H43">
        <v>2</v>
      </c>
      <c r="I43">
        <v>4</v>
      </c>
      <c r="J43">
        <v>0</v>
      </c>
      <c r="K43" t="s">
        <v>19</v>
      </c>
      <c r="L43" t="s">
        <v>204</v>
      </c>
      <c r="M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">
        <v>8</v>
      </c>
      <c r="O43" t="s">
        <v>38</v>
      </c>
      <c r="P43" t="str">
        <f>_xlfn.IFS(LEFT(indian_retail_raw_1000[[#This Row],[x]],1)="W", "West",LEFT(indian_retail_raw_1000[[#This Row],[x]],1)= "E","East",LEFT(O43,1) = "S", "South",LEFT(O43,1) = "N", "North")</f>
        <v>North</v>
      </c>
      <c r="Q43" t="s">
        <v>35</v>
      </c>
      <c r="R43" t="s">
        <v>23</v>
      </c>
      <c r="S43" t="str">
        <f>TEXT(indian_retail_raw_1000[[#This Row],[Order_Date]],"MMM")</f>
        <v>Mar</v>
      </c>
    </row>
    <row r="44" spans="1:19" x14ac:dyDescent="0.25">
      <c r="A44" t="s">
        <v>1192</v>
      </c>
      <c r="B44" s="1" t="s">
        <v>1336</v>
      </c>
      <c r="C44" t="s">
        <v>265</v>
      </c>
      <c r="D44">
        <v>54</v>
      </c>
      <c r="E44" t="s">
        <v>16</v>
      </c>
      <c r="F44" t="s">
        <v>54</v>
      </c>
      <c r="G44" t="s">
        <v>237</v>
      </c>
      <c r="H44">
        <v>2</v>
      </c>
      <c r="I44">
        <v>5</v>
      </c>
      <c r="J44">
        <v>15</v>
      </c>
      <c r="K44" t="s">
        <v>41</v>
      </c>
      <c r="L44" t="s">
        <v>20</v>
      </c>
      <c r="M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">
        <v>8.5</v>
      </c>
      <c r="O44" t="s">
        <v>38</v>
      </c>
      <c r="P44" t="str">
        <f>_xlfn.IFS(LEFT(indian_retail_raw_1000[[#This Row],[x]],1)="W", "West",LEFT(indian_retail_raw_1000[[#This Row],[x]],1)= "E","East",LEFT(O44,1) = "S", "South",LEFT(O44,1) = "N", "North")</f>
        <v>North</v>
      </c>
      <c r="Q44" t="s">
        <v>54</v>
      </c>
      <c r="R44" t="s">
        <v>16</v>
      </c>
      <c r="S44" t="str">
        <f>TEXT(indian_retail_raw_1000[[#This Row],[Order_Date]],"MMM")</f>
        <v>Null</v>
      </c>
    </row>
    <row r="45" spans="1:19" x14ac:dyDescent="0.25">
      <c r="A45" t="s">
        <v>779</v>
      </c>
      <c r="B45" s="1">
        <v>45195</v>
      </c>
      <c r="C45" t="s">
        <v>28</v>
      </c>
      <c r="D45">
        <v>30</v>
      </c>
      <c r="E45" t="s">
        <v>23</v>
      </c>
      <c r="F45" t="s">
        <v>17</v>
      </c>
      <c r="G45" t="s">
        <v>297</v>
      </c>
      <c r="H45">
        <v>3</v>
      </c>
      <c r="I45">
        <v>4</v>
      </c>
      <c r="J45">
        <v>15</v>
      </c>
      <c r="K45" t="s">
        <v>19</v>
      </c>
      <c r="L45" t="s">
        <v>20</v>
      </c>
      <c r="M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">
        <v>10.199999999999999</v>
      </c>
      <c r="O45" t="s">
        <v>45</v>
      </c>
      <c r="P45" t="str">
        <f>_xlfn.IFS(LEFT(indian_retail_raw_1000[[#This Row],[x]],1)="W", "West",LEFT(indian_retail_raw_1000[[#This Row],[x]],1)= "E","East",LEFT(O45,1) = "S", "South",LEFT(O45,1) = "N", "North")</f>
        <v>East</v>
      </c>
      <c r="Q45" t="s">
        <v>17</v>
      </c>
      <c r="R45" t="s">
        <v>23</v>
      </c>
      <c r="S45" t="str">
        <f>TEXT(indian_retail_raw_1000[[#This Row],[Order_Date]],"MMM")</f>
        <v>Sep</v>
      </c>
    </row>
    <row r="46" spans="1:19" x14ac:dyDescent="0.25">
      <c r="A46" t="s">
        <v>559</v>
      </c>
      <c r="B46" s="1">
        <v>45119</v>
      </c>
      <c r="C46" t="s">
        <v>152</v>
      </c>
      <c r="D46">
        <v>41</v>
      </c>
      <c r="E46" t="s">
        <v>29</v>
      </c>
      <c r="F46" t="s">
        <v>17</v>
      </c>
      <c r="G46" t="s">
        <v>297</v>
      </c>
      <c r="H46">
        <v>3</v>
      </c>
      <c r="I46">
        <v>4</v>
      </c>
      <c r="J46">
        <v>10</v>
      </c>
      <c r="K46" t="s">
        <v>381</v>
      </c>
      <c r="L46" t="s">
        <v>449</v>
      </c>
      <c r="M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">
        <v>10.8</v>
      </c>
      <c r="O46" t="s">
        <v>26</v>
      </c>
      <c r="P46" t="str">
        <f>_xlfn.IFS(LEFT(indian_retail_raw_1000[[#This Row],[x]],1)="W", "West",LEFT(indian_retail_raw_1000[[#This Row],[x]],1)= "E","East",LEFT(O46,1) = "S", "South",LEFT(O46,1) = "N", "North")</f>
        <v>West</v>
      </c>
      <c r="Q46" t="s">
        <v>17</v>
      </c>
      <c r="R46" t="s">
        <v>16</v>
      </c>
      <c r="S46" t="str">
        <f>TEXT(indian_retail_raw_1000[[#This Row],[Order_Date]],"MMM")</f>
        <v>Jul</v>
      </c>
    </row>
    <row r="47" spans="1:19" x14ac:dyDescent="0.25">
      <c r="A47" t="s">
        <v>127</v>
      </c>
      <c r="B47" s="1">
        <v>45246</v>
      </c>
      <c r="C47" t="s">
        <v>128</v>
      </c>
      <c r="D47">
        <v>21</v>
      </c>
      <c r="E47" t="s">
        <v>16</v>
      </c>
      <c r="F47" t="s">
        <v>129</v>
      </c>
      <c r="G47" t="s">
        <v>130</v>
      </c>
      <c r="H47">
        <v>3</v>
      </c>
      <c r="I47">
        <v>9</v>
      </c>
      <c r="J47">
        <v>50</v>
      </c>
      <c r="K47" t="s">
        <v>115</v>
      </c>
      <c r="L47" t="s">
        <v>20</v>
      </c>
      <c r="M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">
        <v>13.5</v>
      </c>
      <c r="O47" t="s">
        <v>26</v>
      </c>
      <c r="P47" t="str">
        <f>_xlfn.IFS(LEFT(indian_retail_raw_1000[[#This Row],[x]],1)="W", "West",LEFT(indian_retail_raw_1000[[#This Row],[x]],1)= "E","East",LEFT(O47,1) = "S", "South",LEFT(O47,1) = "N", "North")</f>
        <v>West</v>
      </c>
      <c r="Q47" t="s">
        <v>30</v>
      </c>
      <c r="R47" t="s">
        <v>16</v>
      </c>
      <c r="S47" t="str">
        <f>TEXT(indian_retail_raw_1000[[#This Row],[Order_Date]],"MMM")</f>
        <v>Nov</v>
      </c>
    </row>
    <row r="48" spans="1:19" x14ac:dyDescent="0.25">
      <c r="A48" t="s">
        <v>1102</v>
      </c>
      <c r="B48" s="1">
        <v>45028</v>
      </c>
      <c r="C48" t="s">
        <v>1336</v>
      </c>
      <c r="D48">
        <v>21</v>
      </c>
      <c r="E48" t="s">
        <v>16</v>
      </c>
      <c r="F48" t="s">
        <v>35</v>
      </c>
      <c r="G48" t="s">
        <v>166</v>
      </c>
      <c r="H48">
        <v>3</v>
      </c>
      <c r="I48">
        <v>9</v>
      </c>
      <c r="J48">
        <v>50</v>
      </c>
      <c r="K48" t="s">
        <v>19</v>
      </c>
      <c r="L48" t="s">
        <v>20</v>
      </c>
      <c r="M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">
        <v>13.5</v>
      </c>
      <c r="O48" t="s">
        <v>45</v>
      </c>
      <c r="P48" t="str">
        <f>_xlfn.IFS(LEFT(indian_retail_raw_1000[[#This Row],[x]],1)="W", "West",LEFT(indian_retail_raw_1000[[#This Row],[x]],1)= "E","East",LEFT(O48,1) = "S", "South",LEFT(O48,1) = "N", "North")</f>
        <v>East</v>
      </c>
      <c r="Q48" t="s">
        <v>35</v>
      </c>
      <c r="R48" t="s">
        <v>16</v>
      </c>
      <c r="S48" t="str">
        <f>TEXT(indian_retail_raw_1000[[#This Row],[Order_Date]],"MMM")</f>
        <v>Apr</v>
      </c>
    </row>
    <row r="49" spans="1:19" x14ac:dyDescent="0.25">
      <c r="A49" t="s">
        <v>590</v>
      </c>
      <c r="B49" s="1">
        <v>45238</v>
      </c>
      <c r="C49" t="s">
        <v>28</v>
      </c>
      <c r="D49">
        <v>52</v>
      </c>
      <c r="E49" t="s">
        <v>16</v>
      </c>
      <c r="F49" t="s">
        <v>30</v>
      </c>
      <c r="G49" t="s">
        <v>294</v>
      </c>
      <c r="H49">
        <v>9</v>
      </c>
      <c r="I49">
        <v>2</v>
      </c>
      <c r="J49">
        <v>15</v>
      </c>
      <c r="K49" t="s">
        <v>89</v>
      </c>
      <c r="L49" t="s">
        <v>51</v>
      </c>
      <c r="M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9">
        <v>15.3</v>
      </c>
      <c r="O49" t="s">
        <v>21</v>
      </c>
      <c r="P49" t="str">
        <f>_xlfn.IFS(LEFT(indian_retail_raw_1000[[#This Row],[x]],1)="W", "West",LEFT(indian_retail_raw_1000[[#This Row],[x]],1)= "E","East",LEFT(O49,1) = "S", "South",LEFT(O49,1) = "N", "North")</f>
        <v>South</v>
      </c>
      <c r="Q49" t="s">
        <v>30</v>
      </c>
      <c r="R49" t="s">
        <v>16</v>
      </c>
      <c r="S49" t="str">
        <f>TEXT(indian_retail_raw_1000[[#This Row],[Order_Date]],"MMM")</f>
        <v>Nov</v>
      </c>
    </row>
    <row r="50" spans="1:19" x14ac:dyDescent="0.25">
      <c r="A50" t="s">
        <v>1199</v>
      </c>
      <c r="B50" s="1">
        <v>44936</v>
      </c>
      <c r="C50" t="s">
        <v>173</v>
      </c>
      <c r="D50">
        <v>26</v>
      </c>
      <c r="E50" t="s">
        <v>138</v>
      </c>
      <c r="F50" t="s">
        <v>54</v>
      </c>
      <c r="G50" t="s">
        <v>144</v>
      </c>
      <c r="H50">
        <v>2</v>
      </c>
      <c r="I50">
        <v>9</v>
      </c>
      <c r="J50">
        <v>0</v>
      </c>
      <c r="K50" t="s">
        <v>83</v>
      </c>
      <c r="L50" t="s">
        <v>20</v>
      </c>
      <c r="M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">
        <v>18</v>
      </c>
      <c r="O50" t="s">
        <v>21</v>
      </c>
      <c r="P50" t="str">
        <f>_xlfn.IFS(LEFT(indian_retail_raw_1000[[#This Row],[x]],1)="W", "West",LEFT(indian_retail_raw_1000[[#This Row],[x]],1)= "E","East",LEFT(O50,1) = "S", "South",LEFT(O50,1) = "N", "North")</f>
        <v>South</v>
      </c>
      <c r="Q50" t="s">
        <v>54</v>
      </c>
      <c r="R50" t="s">
        <v>138</v>
      </c>
      <c r="S50" t="str">
        <f>TEXT(indian_retail_raw_1000[[#This Row],[Order_Date]],"MMM")</f>
        <v>Jan</v>
      </c>
    </row>
    <row r="51" spans="1:19" x14ac:dyDescent="0.25">
      <c r="A51" t="s">
        <v>301</v>
      </c>
      <c r="B51" s="1">
        <v>45244</v>
      </c>
      <c r="C51" t="s">
        <v>165</v>
      </c>
      <c r="D51">
        <v>40</v>
      </c>
      <c r="E51" t="s">
        <v>16</v>
      </c>
      <c r="F51" t="s">
        <v>30</v>
      </c>
      <c r="G51" t="s">
        <v>235</v>
      </c>
      <c r="H51">
        <v>4</v>
      </c>
      <c r="I51">
        <v>8</v>
      </c>
      <c r="J51">
        <v>25</v>
      </c>
      <c r="K51" t="s">
        <v>50</v>
      </c>
      <c r="L51" t="s">
        <v>51</v>
      </c>
      <c r="M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1">
        <v>24</v>
      </c>
      <c r="O51" t="s">
        <v>21</v>
      </c>
      <c r="P51" t="str">
        <f>_xlfn.IFS(LEFT(indian_retail_raw_1000[[#This Row],[x]],1)="W", "West",LEFT(indian_retail_raw_1000[[#This Row],[x]],1)= "E","East",LEFT(O51,1) = "S", "South",LEFT(O51,1) = "N", "North")</f>
        <v>South</v>
      </c>
      <c r="Q51" t="s">
        <v>30</v>
      </c>
      <c r="R51" t="s">
        <v>16</v>
      </c>
      <c r="S51" t="str">
        <f>TEXT(indian_retail_raw_1000[[#This Row],[Order_Date]],"MMM")</f>
        <v>Nov</v>
      </c>
    </row>
    <row r="52" spans="1:19" x14ac:dyDescent="0.25">
      <c r="A52" t="s">
        <v>896</v>
      </c>
      <c r="B52" s="1">
        <v>45103</v>
      </c>
      <c r="C52" t="s">
        <v>431</v>
      </c>
      <c r="D52">
        <v>26</v>
      </c>
      <c r="E52" t="s">
        <v>23</v>
      </c>
      <c r="F52" t="s">
        <v>30</v>
      </c>
      <c r="G52" t="s">
        <v>67</v>
      </c>
      <c r="H52">
        <v>6</v>
      </c>
      <c r="I52">
        <v>8</v>
      </c>
      <c r="J52">
        <v>50</v>
      </c>
      <c r="K52" t="s">
        <v>19</v>
      </c>
      <c r="L52" t="s">
        <v>51</v>
      </c>
      <c r="M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2">
        <v>24</v>
      </c>
      <c r="O52" t="s">
        <v>685</v>
      </c>
      <c r="P52" t="str">
        <f>_xlfn.IFS(LEFT(indian_retail_raw_1000[[#This Row],[x]],1)="W", "West",LEFT(indian_retail_raw_1000[[#This Row],[x]],1)= "E","East",LEFT(O52,1) = "S", "South",LEFT(O52,1) = "N", "North")</f>
        <v>South</v>
      </c>
      <c r="Q52" t="s">
        <v>30</v>
      </c>
      <c r="R52" t="s">
        <v>23</v>
      </c>
      <c r="S52" t="str">
        <f>TEXT(indian_retail_raw_1000[[#This Row],[Order_Date]],"MMM")</f>
        <v>Jun</v>
      </c>
    </row>
    <row r="53" spans="1:19" x14ac:dyDescent="0.25">
      <c r="A53" t="s">
        <v>930</v>
      </c>
      <c r="B53" s="1" t="s">
        <v>1336</v>
      </c>
      <c r="C53" t="s">
        <v>1336</v>
      </c>
      <c r="D53">
        <v>21</v>
      </c>
      <c r="E53" t="s">
        <v>16</v>
      </c>
      <c r="F53" t="s">
        <v>30</v>
      </c>
      <c r="G53" t="s">
        <v>218</v>
      </c>
      <c r="H53">
        <v>7</v>
      </c>
      <c r="I53">
        <v>6</v>
      </c>
      <c r="J53">
        <v>40</v>
      </c>
      <c r="K53" t="s">
        <v>41</v>
      </c>
      <c r="L53" t="s">
        <v>20</v>
      </c>
      <c r="M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">
        <v>25.2</v>
      </c>
      <c r="O53" t="s">
        <v>21</v>
      </c>
      <c r="P53" t="str">
        <f>_xlfn.IFS(LEFT(indian_retail_raw_1000[[#This Row],[x]],1)="W", "West",LEFT(indian_retail_raw_1000[[#This Row],[x]],1)= "E","East",LEFT(O53,1) = "S", "South",LEFT(O53,1) = "N", "North")</f>
        <v>South</v>
      </c>
      <c r="Q53" t="s">
        <v>30</v>
      </c>
      <c r="R53" t="s">
        <v>16</v>
      </c>
      <c r="S53" t="str">
        <f>TEXT(indian_retail_raw_1000[[#This Row],[Order_Date]],"MMM")</f>
        <v>Null</v>
      </c>
    </row>
    <row r="54" spans="1:19" x14ac:dyDescent="0.25">
      <c r="A54" t="s">
        <v>956</v>
      </c>
      <c r="B54" s="1" t="s">
        <v>1336</v>
      </c>
      <c r="C54" t="s">
        <v>217</v>
      </c>
      <c r="D54">
        <v>34</v>
      </c>
      <c r="E54" t="s">
        <v>16</v>
      </c>
      <c r="F54" t="s">
        <v>17</v>
      </c>
      <c r="G54" t="s">
        <v>189</v>
      </c>
      <c r="H54">
        <v>3</v>
      </c>
      <c r="I54">
        <v>9</v>
      </c>
      <c r="J54">
        <v>0</v>
      </c>
      <c r="K54" t="s">
        <v>50</v>
      </c>
      <c r="L54" t="s">
        <v>20</v>
      </c>
      <c r="M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">
        <v>27</v>
      </c>
      <c r="O54" t="s">
        <v>21</v>
      </c>
      <c r="P54" t="str">
        <f>_xlfn.IFS(LEFT(indian_retail_raw_1000[[#This Row],[x]],1)="W", "West",LEFT(indian_retail_raw_1000[[#This Row],[x]],1)= "E","East",LEFT(O54,1) = "S", "South",LEFT(O54,1) = "N", "North")</f>
        <v>South</v>
      </c>
      <c r="Q54" t="s">
        <v>17</v>
      </c>
      <c r="R54" t="s">
        <v>16</v>
      </c>
      <c r="S54" t="str">
        <f>TEXT(indian_retail_raw_1000[[#This Row],[Order_Date]],"MMM")</f>
        <v>Null</v>
      </c>
    </row>
    <row r="55" spans="1:19" x14ac:dyDescent="0.25">
      <c r="A55" t="s">
        <v>1305</v>
      </c>
      <c r="B55" s="1" t="s">
        <v>1336</v>
      </c>
      <c r="C55" t="s">
        <v>1336</v>
      </c>
      <c r="D55">
        <v>65</v>
      </c>
      <c r="E55" t="s">
        <v>16</v>
      </c>
      <c r="F55" t="s">
        <v>384</v>
      </c>
      <c r="G55" t="s">
        <v>218</v>
      </c>
      <c r="H55">
        <v>6</v>
      </c>
      <c r="I55">
        <v>6</v>
      </c>
      <c r="J55">
        <v>10</v>
      </c>
      <c r="K55" t="s">
        <v>531</v>
      </c>
      <c r="L55" t="s">
        <v>449</v>
      </c>
      <c r="M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">
        <v>32.4</v>
      </c>
      <c r="O55" t="s">
        <v>45</v>
      </c>
      <c r="P55" t="str">
        <f>_xlfn.IFS(LEFT(indian_retail_raw_1000[[#This Row],[x]],1)="W", "West",LEFT(indian_retail_raw_1000[[#This Row],[x]],1)= "E","East",LEFT(O55,1) = "S", "South",LEFT(O55,1) = "N", "North")</f>
        <v>East</v>
      </c>
      <c r="Q55" t="s">
        <v>30</v>
      </c>
      <c r="R55" t="s">
        <v>16</v>
      </c>
      <c r="S55" t="str">
        <f>TEXT(indian_retail_raw_1000[[#This Row],[Order_Date]],"MMM")</f>
        <v>Null</v>
      </c>
    </row>
    <row r="56" spans="1:19" x14ac:dyDescent="0.25">
      <c r="A56" t="s">
        <v>705</v>
      </c>
      <c r="B56" s="1">
        <v>45030</v>
      </c>
      <c r="C56" t="s">
        <v>128</v>
      </c>
      <c r="D56">
        <v>38</v>
      </c>
      <c r="E56" t="s">
        <v>443</v>
      </c>
      <c r="F56" t="s">
        <v>30</v>
      </c>
      <c r="G56" t="s">
        <v>268</v>
      </c>
      <c r="H56">
        <v>9</v>
      </c>
      <c r="I56">
        <v>5</v>
      </c>
      <c r="J56">
        <v>5</v>
      </c>
      <c r="K56" t="s">
        <v>50</v>
      </c>
      <c r="L56" t="s">
        <v>20</v>
      </c>
      <c r="M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">
        <v>42.75</v>
      </c>
      <c r="O56" t="s">
        <v>26</v>
      </c>
      <c r="P56" t="str">
        <f>_xlfn.IFS(LEFT(indian_retail_raw_1000[[#This Row],[x]],1)="W", "West",LEFT(indian_retail_raw_1000[[#This Row],[x]],1)= "E","East",LEFT(O56,1) = "S", "South",LEFT(O56,1) = "N", "North")</f>
        <v>West</v>
      </c>
      <c r="Q56" t="s">
        <v>30</v>
      </c>
      <c r="R56" t="s">
        <v>23</v>
      </c>
      <c r="S56" t="str">
        <f>TEXT(indian_retail_raw_1000[[#This Row],[Order_Date]],"MMM")</f>
        <v>Apr</v>
      </c>
    </row>
    <row r="57" spans="1:19" x14ac:dyDescent="0.25">
      <c r="A57" t="s">
        <v>869</v>
      </c>
      <c r="B57" s="1">
        <v>45252</v>
      </c>
      <c r="C57" t="s">
        <v>66</v>
      </c>
      <c r="D57">
        <v>58</v>
      </c>
      <c r="E57" t="s">
        <v>23</v>
      </c>
      <c r="F57" t="s">
        <v>30</v>
      </c>
      <c r="G57" t="s">
        <v>540</v>
      </c>
      <c r="H57">
        <v>7</v>
      </c>
      <c r="I57">
        <v>8</v>
      </c>
      <c r="J57">
        <v>5</v>
      </c>
      <c r="K57" t="s">
        <v>50</v>
      </c>
      <c r="L57" t="s">
        <v>51</v>
      </c>
      <c r="M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7">
        <v>53.2</v>
      </c>
      <c r="O57" t="s">
        <v>57</v>
      </c>
      <c r="P57" t="str">
        <f>_xlfn.IFS(LEFT(indian_retail_raw_1000[[#This Row],[x]],1)="W", "West",LEFT(indian_retail_raw_1000[[#This Row],[x]],1)= "E","East",LEFT(O57,1) = "S", "South",LEFT(O57,1) = "N", "North")</f>
        <v>West</v>
      </c>
      <c r="Q57" t="s">
        <v>30</v>
      </c>
      <c r="R57" t="s">
        <v>23</v>
      </c>
      <c r="S57" t="str">
        <f>TEXT(indian_retail_raw_1000[[#This Row],[Order_Date]],"MMM")</f>
        <v>Nov</v>
      </c>
    </row>
    <row r="58" spans="1:19" x14ac:dyDescent="0.25">
      <c r="A58" t="s">
        <v>1108</v>
      </c>
      <c r="B58" s="1">
        <v>45258</v>
      </c>
      <c r="C58" t="s">
        <v>188</v>
      </c>
      <c r="D58">
        <v>51</v>
      </c>
      <c r="E58" t="s">
        <v>23</v>
      </c>
      <c r="F58" t="s">
        <v>30</v>
      </c>
      <c r="G58" t="s">
        <v>224</v>
      </c>
      <c r="H58">
        <v>10</v>
      </c>
      <c r="I58">
        <v>7</v>
      </c>
      <c r="J58">
        <v>5</v>
      </c>
      <c r="K58" t="s">
        <v>25</v>
      </c>
      <c r="L58" t="s">
        <v>20</v>
      </c>
      <c r="M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">
        <v>66.5</v>
      </c>
      <c r="O58" t="s">
        <v>45</v>
      </c>
      <c r="P58" t="str">
        <f>_xlfn.IFS(LEFT(indian_retail_raw_1000[[#This Row],[x]],1)="W", "West",LEFT(indian_retail_raw_1000[[#This Row],[x]],1)= "E","East",LEFT(O58,1) = "S", "South",LEFT(O58,1) = "N", "North")</f>
        <v>East</v>
      </c>
      <c r="Q58" t="s">
        <v>30</v>
      </c>
      <c r="R58" t="s">
        <v>23</v>
      </c>
      <c r="S58" t="str">
        <f>TEXT(indian_retail_raw_1000[[#This Row],[Order_Date]],"MMM")</f>
        <v>Nov</v>
      </c>
    </row>
    <row r="59" spans="1:19" x14ac:dyDescent="0.25">
      <c r="A59" t="s">
        <v>1312</v>
      </c>
      <c r="B59" s="1">
        <v>45083</v>
      </c>
      <c r="C59" t="s">
        <v>176</v>
      </c>
      <c r="D59">
        <v>23</v>
      </c>
      <c r="E59" t="s">
        <v>23</v>
      </c>
      <c r="F59" t="s">
        <v>35</v>
      </c>
      <c r="G59" t="s">
        <v>126</v>
      </c>
      <c r="H59">
        <v>1</v>
      </c>
      <c r="I59">
        <v>308</v>
      </c>
      <c r="J59">
        <v>20</v>
      </c>
      <c r="K59" t="s">
        <v>50</v>
      </c>
      <c r="L59" t="s">
        <v>20</v>
      </c>
      <c r="M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">
        <v>246.4</v>
      </c>
      <c r="O59" t="s">
        <v>21</v>
      </c>
      <c r="P59" t="str">
        <f>_xlfn.IFS(LEFT(indian_retail_raw_1000[[#This Row],[x]],1)="W", "West",LEFT(indian_retail_raw_1000[[#This Row],[x]],1)= "E","East",LEFT(O59,1) = "S", "South",LEFT(O59,1) = "N", "North")</f>
        <v>South</v>
      </c>
      <c r="Q59" t="s">
        <v>35</v>
      </c>
      <c r="R59" t="s">
        <v>23</v>
      </c>
      <c r="S59" t="str">
        <f>TEXT(indian_retail_raw_1000[[#This Row],[Order_Date]],"MMM")</f>
        <v>Jun</v>
      </c>
    </row>
    <row r="60" spans="1:19" x14ac:dyDescent="0.25">
      <c r="A60" t="s">
        <v>963</v>
      </c>
      <c r="B60" s="1">
        <v>45142</v>
      </c>
      <c r="C60" t="s">
        <v>355</v>
      </c>
      <c r="D60">
        <v>46</v>
      </c>
      <c r="E60" t="s">
        <v>171</v>
      </c>
      <c r="F60" t="s">
        <v>345</v>
      </c>
      <c r="G60" t="s">
        <v>111</v>
      </c>
      <c r="H60">
        <v>1</v>
      </c>
      <c r="I60">
        <v>358</v>
      </c>
      <c r="J60">
        <v>30</v>
      </c>
      <c r="K60" t="s">
        <v>19</v>
      </c>
      <c r="L60" t="s">
        <v>20</v>
      </c>
      <c r="M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">
        <v>250.6</v>
      </c>
      <c r="O60" t="s">
        <v>21</v>
      </c>
      <c r="P60" t="str">
        <f>_xlfn.IFS(LEFT(indian_retail_raw_1000[[#This Row],[x]],1)="W", "West",LEFT(indian_retail_raw_1000[[#This Row],[x]],1)= "E","East",LEFT(O60,1) = "S", "South",LEFT(O60,1) = "N", "North")</f>
        <v>South</v>
      </c>
      <c r="Q60" t="s">
        <v>35</v>
      </c>
      <c r="R60" t="s">
        <v>138</v>
      </c>
      <c r="S60" t="str">
        <f>TEXT(indian_retail_raw_1000[[#This Row],[Order_Date]],"MMM")</f>
        <v>Aug</v>
      </c>
    </row>
    <row r="61" spans="1:19" x14ac:dyDescent="0.25">
      <c r="A61" t="s">
        <v>1267</v>
      </c>
      <c r="B61" s="1">
        <v>45243</v>
      </c>
      <c r="C61" t="s">
        <v>1268</v>
      </c>
      <c r="D61">
        <v>29</v>
      </c>
      <c r="E61" t="s">
        <v>16</v>
      </c>
      <c r="F61" t="s">
        <v>35</v>
      </c>
      <c r="G61" t="s">
        <v>203</v>
      </c>
      <c r="H61">
        <v>1</v>
      </c>
      <c r="I61">
        <v>1144</v>
      </c>
      <c r="J61">
        <v>75</v>
      </c>
      <c r="K61" t="s">
        <v>50</v>
      </c>
      <c r="L61" t="s">
        <v>20</v>
      </c>
      <c r="M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">
        <v>286</v>
      </c>
      <c r="O61" t="s">
        <v>45</v>
      </c>
      <c r="P61" t="str">
        <f>_xlfn.IFS(LEFT(indian_retail_raw_1000[[#This Row],[x]],1)="W", "West",LEFT(indian_retail_raw_1000[[#This Row],[x]],1)= "E","East",LEFT(O61,1) = "S", "South",LEFT(O61,1) = "N", "North")</f>
        <v>East</v>
      </c>
      <c r="Q61" t="s">
        <v>35</v>
      </c>
      <c r="R61" t="s">
        <v>16</v>
      </c>
      <c r="S61" t="str">
        <f>TEXT(indian_retail_raw_1000[[#This Row],[Order_Date]],"MMM")</f>
        <v>Nov</v>
      </c>
    </row>
    <row r="62" spans="1:19" x14ac:dyDescent="0.25">
      <c r="A62" t="s">
        <v>978</v>
      </c>
      <c r="B62" s="1">
        <v>45146</v>
      </c>
      <c r="C62" t="s">
        <v>28</v>
      </c>
      <c r="D62">
        <v>43</v>
      </c>
      <c r="E62" t="s">
        <v>443</v>
      </c>
      <c r="F62" t="s">
        <v>35</v>
      </c>
      <c r="G62" t="s">
        <v>331</v>
      </c>
      <c r="H62">
        <v>1</v>
      </c>
      <c r="I62">
        <v>329</v>
      </c>
      <c r="J62">
        <v>10</v>
      </c>
      <c r="K62" t="s">
        <v>50</v>
      </c>
      <c r="L62" t="s">
        <v>20</v>
      </c>
      <c r="M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">
        <v>329</v>
      </c>
      <c r="O62" t="s">
        <v>45</v>
      </c>
      <c r="P62" t="str">
        <f>_xlfn.IFS(LEFT(indian_retail_raw_1000[[#This Row],[x]],1)="W", "West",LEFT(indian_retail_raw_1000[[#This Row],[x]],1)= "E","East",LEFT(O62,1) = "S", "South",LEFT(O62,1) = "N", "North")</f>
        <v>East</v>
      </c>
      <c r="Q62" t="s">
        <v>35</v>
      </c>
      <c r="R62" t="s">
        <v>23</v>
      </c>
      <c r="S62" t="str">
        <f>TEXT(indian_retail_raw_1000[[#This Row],[Order_Date]],"MMM")</f>
        <v>Aug</v>
      </c>
    </row>
    <row r="63" spans="1:19" x14ac:dyDescent="0.25">
      <c r="A63" t="s">
        <v>789</v>
      </c>
      <c r="B63" s="1" t="s">
        <v>1336</v>
      </c>
      <c r="C63" t="s">
        <v>152</v>
      </c>
      <c r="D63">
        <v>35</v>
      </c>
      <c r="E63" t="s">
        <v>23</v>
      </c>
      <c r="F63" t="s">
        <v>30</v>
      </c>
      <c r="G63" t="s">
        <v>294</v>
      </c>
      <c r="H63">
        <v>1</v>
      </c>
      <c r="I63">
        <v>336</v>
      </c>
      <c r="J63">
        <v>0</v>
      </c>
      <c r="K63" t="s">
        <v>25</v>
      </c>
      <c r="L63" t="s">
        <v>20</v>
      </c>
      <c r="M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">
        <v>336</v>
      </c>
      <c r="O63" t="s">
        <v>45</v>
      </c>
      <c r="P63" t="str">
        <f>_xlfn.IFS(LEFT(indian_retail_raw_1000[[#This Row],[x]],1)="W", "West",LEFT(indian_retail_raw_1000[[#This Row],[x]],1)= "E","East",LEFT(O63,1) = "S", "South",LEFT(O63,1) = "N", "North")</f>
        <v>East</v>
      </c>
      <c r="Q63" t="s">
        <v>30</v>
      </c>
      <c r="R63" t="s">
        <v>23</v>
      </c>
      <c r="S63" t="str">
        <f>TEXT(indian_retail_raw_1000[[#This Row],[Order_Date]],"MMM")</f>
        <v>Null</v>
      </c>
    </row>
    <row r="64" spans="1:19" x14ac:dyDescent="0.25">
      <c r="A64" t="s">
        <v>1086</v>
      </c>
      <c r="B64" s="1">
        <v>45100</v>
      </c>
      <c r="C64" t="s">
        <v>452</v>
      </c>
      <c r="D64">
        <v>38</v>
      </c>
      <c r="E64" t="s">
        <v>16</v>
      </c>
      <c r="F64" t="s">
        <v>30</v>
      </c>
      <c r="G64" t="s">
        <v>294</v>
      </c>
      <c r="H64">
        <v>1</v>
      </c>
      <c r="I64">
        <v>498</v>
      </c>
      <c r="J64">
        <v>30</v>
      </c>
      <c r="K64" t="s">
        <v>50</v>
      </c>
      <c r="L64" t="s">
        <v>51</v>
      </c>
      <c r="M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4">
        <v>348.6</v>
      </c>
      <c r="O64" t="s">
        <v>45</v>
      </c>
      <c r="P64" t="str">
        <f>_xlfn.IFS(LEFT(indian_retail_raw_1000[[#This Row],[x]],1)="W", "West",LEFT(indian_retail_raw_1000[[#This Row],[x]],1)= "E","East",LEFT(O64,1) = "S", "South",LEFT(O64,1) = "N", "North")</f>
        <v>East</v>
      </c>
      <c r="Q64" t="s">
        <v>30</v>
      </c>
      <c r="R64" t="s">
        <v>16</v>
      </c>
      <c r="S64" t="str">
        <f>TEXT(indian_retail_raw_1000[[#This Row],[Order_Date]],"MMM")</f>
        <v>Jun</v>
      </c>
    </row>
    <row r="65" spans="1:19" x14ac:dyDescent="0.25">
      <c r="A65" t="s">
        <v>1292</v>
      </c>
      <c r="B65" s="1">
        <v>45201</v>
      </c>
      <c r="C65" t="s">
        <v>160</v>
      </c>
      <c r="D65">
        <v>43</v>
      </c>
      <c r="E65" t="s">
        <v>16</v>
      </c>
      <c r="F65" t="s">
        <v>35</v>
      </c>
      <c r="G65" t="s">
        <v>111</v>
      </c>
      <c r="H65">
        <v>1</v>
      </c>
      <c r="I65">
        <v>351</v>
      </c>
      <c r="J65">
        <v>0</v>
      </c>
      <c r="K65" t="s">
        <v>41</v>
      </c>
      <c r="L65" t="s">
        <v>51</v>
      </c>
      <c r="M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5">
        <v>351</v>
      </c>
      <c r="O65" t="s">
        <v>45</v>
      </c>
      <c r="P65" t="str">
        <f>_xlfn.IFS(LEFT(indian_retail_raw_1000[[#This Row],[x]],1)="W", "West",LEFT(indian_retail_raw_1000[[#This Row],[x]],1)= "E","East",LEFT(O65,1) = "S", "South",LEFT(O65,1) = "N", "North")</f>
        <v>East</v>
      </c>
      <c r="Q65" t="s">
        <v>35</v>
      </c>
      <c r="R65" t="s">
        <v>16</v>
      </c>
      <c r="S65" t="str">
        <f>TEXT(indian_retail_raw_1000[[#This Row],[Order_Date]],"MMM")</f>
        <v>Oct</v>
      </c>
    </row>
    <row r="66" spans="1:19" x14ac:dyDescent="0.25">
      <c r="A66" t="s">
        <v>834</v>
      </c>
      <c r="B66" s="1" t="s">
        <v>1336</v>
      </c>
      <c r="C66" t="s">
        <v>62</v>
      </c>
      <c r="D66">
        <v>26</v>
      </c>
      <c r="E66" t="s">
        <v>16</v>
      </c>
      <c r="F66" t="s">
        <v>35</v>
      </c>
      <c r="G66" t="s">
        <v>147</v>
      </c>
      <c r="H66">
        <v>2</v>
      </c>
      <c r="I66">
        <v>436</v>
      </c>
      <c r="J66">
        <v>50</v>
      </c>
      <c r="K66" t="s">
        <v>50</v>
      </c>
      <c r="L66" t="s">
        <v>51</v>
      </c>
      <c r="M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6">
        <v>436</v>
      </c>
      <c r="O66" t="s">
        <v>21</v>
      </c>
      <c r="P66" t="str">
        <f>_xlfn.IFS(LEFT(indian_retail_raw_1000[[#This Row],[x]],1)="W", "West",LEFT(indian_retail_raw_1000[[#This Row],[x]],1)= "E","East",LEFT(O66,1) = "S", "South",LEFT(O66,1) = "N", "North")</f>
        <v>South</v>
      </c>
      <c r="Q66" t="s">
        <v>35</v>
      </c>
      <c r="R66" t="s">
        <v>16</v>
      </c>
      <c r="S66" t="str">
        <f>TEXT(indian_retail_raw_1000[[#This Row],[Order_Date]],"MMM")</f>
        <v>Null</v>
      </c>
    </row>
    <row r="67" spans="1:19" x14ac:dyDescent="0.25">
      <c r="A67" t="s">
        <v>568</v>
      </c>
      <c r="B67" s="1">
        <v>45206</v>
      </c>
      <c r="C67" t="s">
        <v>1336</v>
      </c>
      <c r="D67">
        <v>50</v>
      </c>
      <c r="E67" t="s">
        <v>16</v>
      </c>
      <c r="F67" t="s">
        <v>569</v>
      </c>
      <c r="G67" t="s">
        <v>271</v>
      </c>
      <c r="H67">
        <v>6</v>
      </c>
      <c r="I67">
        <v>439</v>
      </c>
      <c r="J67">
        <v>10</v>
      </c>
      <c r="K67" t="s">
        <v>41</v>
      </c>
      <c r="L67" t="s">
        <v>20</v>
      </c>
      <c r="M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">
        <v>439</v>
      </c>
      <c r="O67" t="s">
        <v>21</v>
      </c>
      <c r="P67" t="str">
        <f>_xlfn.IFS(LEFT(indian_retail_raw_1000[[#This Row],[x]],1)="W", "West",LEFT(indian_retail_raw_1000[[#This Row],[x]],1)= "E","East",LEFT(O67,1) = "S", "South",LEFT(O67,1) = "N", "North")</f>
        <v>South</v>
      </c>
      <c r="Q67" t="s">
        <v>35</v>
      </c>
      <c r="R67" t="s">
        <v>16</v>
      </c>
      <c r="S67" t="str">
        <f>TEXT(indian_retail_raw_1000[[#This Row],[Order_Date]],"MMM")</f>
        <v>Oct</v>
      </c>
    </row>
    <row r="68" spans="1:19" x14ac:dyDescent="0.25">
      <c r="A68" t="s">
        <v>651</v>
      </c>
      <c r="B68" s="1">
        <v>45220</v>
      </c>
      <c r="C68" t="s">
        <v>1336</v>
      </c>
      <c r="D68">
        <v>56</v>
      </c>
      <c r="E68" t="s">
        <v>23</v>
      </c>
      <c r="F68" t="s">
        <v>35</v>
      </c>
      <c r="G68" t="s">
        <v>213</v>
      </c>
      <c r="H68">
        <v>4</v>
      </c>
      <c r="I68">
        <v>554</v>
      </c>
      <c r="J68">
        <v>80</v>
      </c>
      <c r="K68" t="s">
        <v>41</v>
      </c>
      <c r="L68" t="s">
        <v>20</v>
      </c>
      <c r="M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">
        <v>443.2</v>
      </c>
      <c r="O68" t="s">
        <v>26</v>
      </c>
      <c r="P68" t="str">
        <f>_xlfn.IFS(LEFT(indian_retail_raw_1000[[#This Row],[x]],1)="W", "West",LEFT(indian_retail_raw_1000[[#This Row],[x]],1)= "E","East",LEFT(O68,1) = "S", "South",LEFT(O68,1) = "N", "North")</f>
        <v>West</v>
      </c>
      <c r="Q68" t="s">
        <v>35</v>
      </c>
      <c r="R68" t="s">
        <v>23</v>
      </c>
      <c r="S68" t="str">
        <f>TEXT(indian_retail_raw_1000[[#This Row],[Order_Date]],"MMM")</f>
        <v>Oct</v>
      </c>
    </row>
    <row r="69" spans="1:19" x14ac:dyDescent="0.25">
      <c r="A69" t="s">
        <v>537</v>
      </c>
      <c r="B69" s="1" t="s">
        <v>1336</v>
      </c>
      <c r="C69" t="s">
        <v>188</v>
      </c>
      <c r="D69">
        <v>34</v>
      </c>
      <c r="E69" t="s">
        <v>23</v>
      </c>
      <c r="F69" t="s">
        <v>324</v>
      </c>
      <c r="G69" t="s">
        <v>147</v>
      </c>
      <c r="H69">
        <v>1</v>
      </c>
      <c r="I69">
        <v>533</v>
      </c>
      <c r="J69">
        <v>15</v>
      </c>
      <c r="K69" t="s">
        <v>32</v>
      </c>
      <c r="L69" t="s">
        <v>51</v>
      </c>
      <c r="M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9">
        <v>453.05</v>
      </c>
      <c r="O69" t="s">
        <v>38</v>
      </c>
      <c r="P69" t="str">
        <f>_xlfn.IFS(LEFT(indian_retail_raw_1000[[#This Row],[x]],1)="W", "West",LEFT(indian_retail_raw_1000[[#This Row],[x]],1)= "E","East",LEFT(O69,1) = "S", "South",LEFT(O69,1) = "N", "North")</f>
        <v>North</v>
      </c>
      <c r="Q69" t="s">
        <v>35</v>
      </c>
      <c r="R69" t="s">
        <v>23</v>
      </c>
      <c r="S69" t="str">
        <f>TEXT(indian_retail_raw_1000[[#This Row],[Order_Date]],"MMM")</f>
        <v>Null</v>
      </c>
    </row>
    <row r="70" spans="1:19" x14ac:dyDescent="0.25">
      <c r="A70" t="s">
        <v>532</v>
      </c>
      <c r="B70" s="1">
        <v>45083</v>
      </c>
      <c r="C70" t="s">
        <v>176</v>
      </c>
      <c r="D70">
        <v>22</v>
      </c>
      <c r="E70" t="s">
        <v>143</v>
      </c>
      <c r="F70" t="s">
        <v>35</v>
      </c>
      <c r="G70" t="s">
        <v>111</v>
      </c>
      <c r="H70">
        <v>2</v>
      </c>
      <c r="I70">
        <v>284</v>
      </c>
      <c r="J70">
        <v>20</v>
      </c>
      <c r="K70" t="s">
        <v>41</v>
      </c>
      <c r="L70" t="s">
        <v>20</v>
      </c>
      <c r="M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">
        <v>454.4</v>
      </c>
      <c r="O70" t="s">
        <v>375</v>
      </c>
      <c r="P70" t="str">
        <f>_xlfn.IFS(LEFT(indian_retail_raw_1000[[#This Row],[x]],1)="W", "West",LEFT(indian_retail_raw_1000[[#This Row],[x]],1)= "E","East",LEFT(O70,1) = "S", "South",LEFT(O70,1) = "N", "North")</f>
        <v>North</v>
      </c>
      <c r="Q70" t="s">
        <v>35</v>
      </c>
      <c r="R70" t="s">
        <v>138</v>
      </c>
      <c r="S70" t="str">
        <f>TEXT(indian_retail_raw_1000[[#This Row],[Order_Date]],"MMM")</f>
        <v>Jun</v>
      </c>
    </row>
    <row r="71" spans="1:19" x14ac:dyDescent="0.25">
      <c r="A71" t="s">
        <v>738</v>
      </c>
      <c r="B71" s="1">
        <v>44989</v>
      </c>
      <c r="C71" t="s">
        <v>358</v>
      </c>
      <c r="D71">
        <v>61</v>
      </c>
      <c r="E71" t="s">
        <v>490</v>
      </c>
      <c r="F71" t="s">
        <v>35</v>
      </c>
      <c r="G71" t="s">
        <v>111</v>
      </c>
      <c r="H71">
        <v>1</v>
      </c>
      <c r="I71">
        <v>475</v>
      </c>
      <c r="J71">
        <v>0</v>
      </c>
      <c r="K71" t="s">
        <v>19</v>
      </c>
      <c r="L71" t="s">
        <v>51</v>
      </c>
      <c r="M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1">
        <v>475</v>
      </c>
      <c r="O71" t="s">
        <v>26</v>
      </c>
      <c r="P71" t="str">
        <f>_xlfn.IFS(LEFT(indian_retail_raw_1000[[#This Row],[x]],1)="W", "West",LEFT(indian_retail_raw_1000[[#This Row],[x]],1)= "E","East",LEFT(O71,1) = "S", "South",LEFT(O71,1) = "N", "North")</f>
        <v>West</v>
      </c>
      <c r="Q71" t="s">
        <v>35</v>
      </c>
      <c r="R71" t="s">
        <v>16</v>
      </c>
      <c r="S71" t="str">
        <f>TEXT(indian_retail_raw_1000[[#This Row],[Order_Date]],"MMM")</f>
        <v>Mar</v>
      </c>
    </row>
    <row r="72" spans="1:19" x14ac:dyDescent="0.25">
      <c r="A72" t="s">
        <v>557</v>
      </c>
      <c r="B72" s="1" t="s">
        <v>1336</v>
      </c>
      <c r="C72" t="s">
        <v>358</v>
      </c>
      <c r="D72">
        <v>25</v>
      </c>
      <c r="E72" t="s">
        <v>16</v>
      </c>
      <c r="F72" t="s">
        <v>35</v>
      </c>
      <c r="G72" t="s">
        <v>111</v>
      </c>
      <c r="H72">
        <v>10</v>
      </c>
      <c r="I72">
        <v>478</v>
      </c>
      <c r="J72">
        <v>0</v>
      </c>
      <c r="K72" t="s">
        <v>19</v>
      </c>
      <c r="L72" t="s">
        <v>20</v>
      </c>
      <c r="M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">
        <v>478</v>
      </c>
      <c r="O72" t="s">
        <v>38</v>
      </c>
      <c r="P72" t="str">
        <f>_xlfn.IFS(LEFT(indian_retail_raw_1000[[#This Row],[x]],1)="W", "West",LEFT(indian_retail_raw_1000[[#This Row],[x]],1)= "E","East",LEFT(O72,1) = "S", "South",LEFT(O72,1) = "N", "North")</f>
        <v>North</v>
      </c>
      <c r="Q72" t="s">
        <v>35</v>
      </c>
      <c r="R72" t="s">
        <v>16</v>
      </c>
      <c r="S72" t="str">
        <f>TEXT(indian_retail_raw_1000[[#This Row],[Order_Date]],"MMM")</f>
        <v>Null</v>
      </c>
    </row>
    <row r="73" spans="1:19" x14ac:dyDescent="0.25">
      <c r="A73" t="s">
        <v>522</v>
      </c>
      <c r="B73" s="1" t="s">
        <v>1336</v>
      </c>
      <c r="C73" t="s">
        <v>87</v>
      </c>
      <c r="D73">
        <v>35</v>
      </c>
      <c r="E73" t="s">
        <v>16</v>
      </c>
      <c r="F73" t="s">
        <v>35</v>
      </c>
      <c r="G73" t="s">
        <v>139</v>
      </c>
      <c r="H73">
        <v>10</v>
      </c>
      <c r="I73">
        <v>522</v>
      </c>
      <c r="J73">
        <v>5</v>
      </c>
      <c r="K73" t="s">
        <v>25</v>
      </c>
      <c r="L73" t="s">
        <v>51</v>
      </c>
      <c r="M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3">
        <v>522</v>
      </c>
      <c r="O73" t="s">
        <v>21</v>
      </c>
      <c r="P73" t="str">
        <f>_xlfn.IFS(LEFT(indian_retail_raw_1000[[#This Row],[x]],1)="W", "West",LEFT(indian_retail_raw_1000[[#This Row],[x]],1)= "E","East",LEFT(O73,1) = "S", "South",LEFT(O73,1) = "N", "North")</f>
        <v>South</v>
      </c>
      <c r="Q73" t="s">
        <v>35</v>
      </c>
      <c r="R73" t="s">
        <v>16</v>
      </c>
      <c r="S73" t="str">
        <f>TEXT(indian_retail_raw_1000[[#This Row],[Order_Date]],"MMM")</f>
        <v>Null</v>
      </c>
    </row>
    <row r="74" spans="1:19" x14ac:dyDescent="0.25">
      <c r="A74" t="s">
        <v>1110</v>
      </c>
      <c r="B74" s="1">
        <v>45203</v>
      </c>
      <c r="C74" t="s">
        <v>211</v>
      </c>
      <c r="D74">
        <v>44</v>
      </c>
      <c r="E74" t="s">
        <v>23</v>
      </c>
      <c r="F74" t="s">
        <v>35</v>
      </c>
      <c r="G74" t="s">
        <v>271</v>
      </c>
      <c r="H74">
        <v>1</v>
      </c>
      <c r="I74">
        <v>536</v>
      </c>
      <c r="J74">
        <v>0</v>
      </c>
      <c r="K74" t="s">
        <v>41</v>
      </c>
      <c r="L74" t="s">
        <v>56</v>
      </c>
      <c r="M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4">
        <v>536</v>
      </c>
      <c r="O74" t="s">
        <v>38</v>
      </c>
      <c r="P74" t="str">
        <f>_xlfn.IFS(LEFT(indian_retail_raw_1000[[#This Row],[x]],1)="W", "West",LEFT(indian_retail_raw_1000[[#This Row],[x]],1)= "E","East",LEFT(O74,1) = "S", "South",LEFT(O74,1) = "N", "North")</f>
        <v>North</v>
      </c>
      <c r="Q74" t="s">
        <v>35</v>
      </c>
      <c r="R74" t="s">
        <v>23</v>
      </c>
      <c r="S74" t="str">
        <f>TEXT(indian_retail_raw_1000[[#This Row],[Order_Date]],"MMM")</f>
        <v>Oct</v>
      </c>
    </row>
    <row r="75" spans="1:19" x14ac:dyDescent="0.25">
      <c r="A75" t="s">
        <v>913</v>
      </c>
      <c r="B75" s="1" t="s">
        <v>1336</v>
      </c>
      <c r="C75" t="s">
        <v>587</v>
      </c>
      <c r="D75">
        <v>62</v>
      </c>
      <c r="E75" t="s">
        <v>23</v>
      </c>
      <c r="F75" t="s">
        <v>35</v>
      </c>
      <c r="G75" t="s">
        <v>139</v>
      </c>
      <c r="H75">
        <v>1</v>
      </c>
      <c r="I75">
        <v>740</v>
      </c>
      <c r="J75">
        <v>25</v>
      </c>
      <c r="K75" t="s">
        <v>19</v>
      </c>
      <c r="L75" t="s">
        <v>20</v>
      </c>
      <c r="M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">
        <v>555</v>
      </c>
      <c r="O75" t="s">
        <v>21</v>
      </c>
      <c r="P75" t="str">
        <f>_xlfn.IFS(LEFT(indian_retail_raw_1000[[#This Row],[x]],1)="W", "West",LEFT(indian_retail_raw_1000[[#This Row],[x]],1)= "E","East",LEFT(O75,1) = "S", "South",LEFT(O75,1) = "N", "North")</f>
        <v>South</v>
      </c>
      <c r="Q75" t="s">
        <v>35</v>
      </c>
      <c r="R75" t="s">
        <v>23</v>
      </c>
      <c r="S75" t="str">
        <f>TEXT(indian_retail_raw_1000[[#This Row],[Order_Date]],"MMM")</f>
        <v>Null</v>
      </c>
    </row>
    <row r="76" spans="1:19" x14ac:dyDescent="0.25">
      <c r="A76" t="s">
        <v>1300</v>
      </c>
      <c r="B76" s="1">
        <v>44936</v>
      </c>
      <c r="C76" t="s">
        <v>165</v>
      </c>
      <c r="D76">
        <v>54</v>
      </c>
      <c r="E76" t="s">
        <v>475</v>
      </c>
      <c r="F76" t="s">
        <v>177</v>
      </c>
      <c r="G76" t="s">
        <v>147</v>
      </c>
      <c r="H76">
        <v>8</v>
      </c>
      <c r="I76">
        <v>560</v>
      </c>
      <c r="J76">
        <v>25</v>
      </c>
      <c r="K76" t="s">
        <v>41</v>
      </c>
      <c r="L76" t="s">
        <v>363</v>
      </c>
      <c r="M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6">
        <v>560</v>
      </c>
      <c r="O76" t="s">
        <v>26</v>
      </c>
      <c r="P76" t="str">
        <f>_xlfn.IFS(LEFT(indian_retail_raw_1000[[#This Row],[x]],1)="W", "West",LEFT(indian_retail_raw_1000[[#This Row],[x]],1)= "E","East",LEFT(O76,1) = "S", "South",LEFT(O76,1) = "N", "North")</f>
        <v>West</v>
      </c>
      <c r="Q76" t="s">
        <v>35</v>
      </c>
      <c r="R76" t="s">
        <v>138</v>
      </c>
      <c r="S76" t="str">
        <f>TEXT(indian_retail_raw_1000[[#This Row],[Order_Date]],"MMM")</f>
        <v>Jan</v>
      </c>
    </row>
    <row r="77" spans="1:19" x14ac:dyDescent="0.25">
      <c r="A77" t="s">
        <v>270</v>
      </c>
      <c r="B77" s="1">
        <v>45231</v>
      </c>
      <c r="C77" t="s">
        <v>173</v>
      </c>
      <c r="D77">
        <v>49</v>
      </c>
      <c r="E77" t="s">
        <v>16</v>
      </c>
      <c r="F77" t="s">
        <v>35</v>
      </c>
      <c r="G77" t="s">
        <v>271</v>
      </c>
      <c r="H77">
        <v>2</v>
      </c>
      <c r="I77">
        <v>590</v>
      </c>
      <c r="J77">
        <v>50</v>
      </c>
      <c r="K77" t="s">
        <v>41</v>
      </c>
      <c r="L77" t="s">
        <v>51</v>
      </c>
      <c r="M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7">
        <v>590</v>
      </c>
      <c r="O77" t="s">
        <v>21</v>
      </c>
      <c r="P77" t="str">
        <f>_xlfn.IFS(LEFT(indian_retail_raw_1000[[#This Row],[x]],1)="W", "West",LEFT(indian_retail_raw_1000[[#This Row],[x]],1)= "E","East",LEFT(O77,1) = "S", "South",LEFT(O77,1) = "N", "North")</f>
        <v>South</v>
      </c>
      <c r="Q77" t="s">
        <v>35</v>
      </c>
      <c r="R77" t="s">
        <v>16</v>
      </c>
      <c r="S77" t="str">
        <f>TEXT(indian_retail_raw_1000[[#This Row],[Order_Date]],"MMM")</f>
        <v>Nov</v>
      </c>
    </row>
    <row r="78" spans="1:19" x14ac:dyDescent="0.25">
      <c r="A78" t="s">
        <v>1329</v>
      </c>
      <c r="B78" s="1">
        <v>45172</v>
      </c>
      <c r="C78" t="s">
        <v>265</v>
      </c>
      <c r="D78">
        <v>39</v>
      </c>
      <c r="E78" t="s">
        <v>16</v>
      </c>
      <c r="F78" t="s">
        <v>35</v>
      </c>
      <c r="G78" t="s">
        <v>36</v>
      </c>
      <c r="H78">
        <v>1</v>
      </c>
      <c r="I78">
        <v>591</v>
      </c>
      <c r="J78">
        <v>5</v>
      </c>
      <c r="K78" t="s">
        <v>50</v>
      </c>
      <c r="L78" t="s">
        <v>20</v>
      </c>
      <c r="M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">
        <v>591</v>
      </c>
      <c r="O78" t="s">
        <v>45</v>
      </c>
      <c r="P78" t="str">
        <f>_xlfn.IFS(LEFT(indian_retail_raw_1000[[#This Row],[x]],1)="W", "West",LEFT(indian_retail_raw_1000[[#This Row],[x]],1)= "E","East",LEFT(O78,1) = "S", "South",LEFT(O78,1) = "N", "North")</f>
        <v>East</v>
      </c>
      <c r="Q78" t="s">
        <v>35</v>
      </c>
      <c r="R78" t="s">
        <v>16</v>
      </c>
      <c r="S78" t="str">
        <f>TEXT(indian_retail_raw_1000[[#This Row],[Order_Date]],"MMM")</f>
        <v>Sep</v>
      </c>
    </row>
    <row r="79" spans="1:19" x14ac:dyDescent="0.25">
      <c r="A79" t="s">
        <v>312</v>
      </c>
      <c r="B79" s="1">
        <v>44966</v>
      </c>
      <c r="C79" t="s">
        <v>217</v>
      </c>
      <c r="D79">
        <v>35</v>
      </c>
      <c r="E79" t="s">
        <v>171</v>
      </c>
      <c r="F79" t="s">
        <v>35</v>
      </c>
      <c r="G79" t="s">
        <v>126</v>
      </c>
      <c r="H79">
        <v>3</v>
      </c>
      <c r="I79">
        <v>411</v>
      </c>
      <c r="J79">
        <v>50</v>
      </c>
      <c r="K79" t="s">
        <v>19</v>
      </c>
      <c r="L79" t="s">
        <v>20</v>
      </c>
      <c r="M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">
        <v>616.5</v>
      </c>
      <c r="O79" t="s">
        <v>295</v>
      </c>
      <c r="P79" t="str">
        <f>_xlfn.IFS(LEFT(indian_retail_raw_1000[[#This Row],[x]],1)="W", "West",LEFT(indian_retail_raw_1000[[#This Row],[x]],1)= "E","East",LEFT(O79,1) = "S", "South",LEFT(O79,1) = "N", "North")</f>
        <v>East</v>
      </c>
      <c r="Q79" t="s">
        <v>35</v>
      </c>
      <c r="R79" t="s">
        <v>138</v>
      </c>
      <c r="S79" t="str">
        <f>TEXT(indian_retail_raw_1000[[#This Row],[Order_Date]],"MMM")</f>
        <v>Feb</v>
      </c>
    </row>
    <row r="80" spans="1:19" x14ac:dyDescent="0.25">
      <c r="A80" t="s">
        <v>1210</v>
      </c>
      <c r="B80" s="1">
        <v>44975</v>
      </c>
      <c r="C80" t="s">
        <v>1336</v>
      </c>
      <c r="D80">
        <v>37</v>
      </c>
      <c r="E80" t="s">
        <v>16</v>
      </c>
      <c r="F80" t="s">
        <v>54</v>
      </c>
      <c r="G80" t="s">
        <v>348</v>
      </c>
      <c r="H80">
        <v>1</v>
      </c>
      <c r="I80">
        <v>2500</v>
      </c>
      <c r="J80">
        <v>75</v>
      </c>
      <c r="K80" t="s">
        <v>19</v>
      </c>
      <c r="L80" t="s">
        <v>20</v>
      </c>
      <c r="M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">
        <v>625</v>
      </c>
      <c r="O80" t="s">
        <v>225</v>
      </c>
      <c r="P80" t="str">
        <f>_xlfn.IFS(LEFT(indian_retail_raw_1000[[#This Row],[x]],1)="W", "West",LEFT(indian_retail_raw_1000[[#This Row],[x]],1)= "E","East",LEFT(O80,1) = "S", "South",LEFT(O80,1) = "N", "North")</f>
        <v>South</v>
      </c>
      <c r="Q80" t="s">
        <v>54</v>
      </c>
      <c r="R80" t="s">
        <v>16</v>
      </c>
      <c r="S80" t="str">
        <f>TEXT(indian_retail_raw_1000[[#This Row],[Order_Date]],"MMM")</f>
        <v>Feb</v>
      </c>
    </row>
    <row r="81" spans="1:19" x14ac:dyDescent="0.25">
      <c r="A81" t="s">
        <v>1045</v>
      </c>
      <c r="B81" s="1">
        <v>45218</v>
      </c>
      <c r="C81" t="s">
        <v>28</v>
      </c>
      <c r="D81">
        <v>18</v>
      </c>
      <c r="E81" t="s">
        <v>23</v>
      </c>
      <c r="F81" t="s">
        <v>35</v>
      </c>
      <c r="G81" t="s">
        <v>111</v>
      </c>
      <c r="H81">
        <v>3</v>
      </c>
      <c r="I81">
        <v>364</v>
      </c>
      <c r="J81">
        <v>40</v>
      </c>
      <c r="K81" t="s">
        <v>41</v>
      </c>
      <c r="L81" t="s">
        <v>107</v>
      </c>
      <c r="M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">
        <v>655.20000000000005</v>
      </c>
      <c r="O81" t="s">
        <v>26</v>
      </c>
      <c r="P81" t="str">
        <f>_xlfn.IFS(LEFT(indian_retail_raw_1000[[#This Row],[x]],1)="W", "West",LEFT(indian_retail_raw_1000[[#This Row],[x]],1)= "E","East",LEFT(O81,1) = "S", "South",LEFT(O81,1) = "N", "North")</f>
        <v>West</v>
      </c>
      <c r="Q81" t="s">
        <v>35</v>
      </c>
      <c r="R81" t="s">
        <v>23</v>
      </c>
      <c r="S81" t="str">
        <f>TEXT(indian_retail_raw_1000[[#This Row],[Order_Date]],"MMM")</f>
        <v>Oct</v>
      </c>
    </row>
    <row r="82" spans="1:19" x14ac:dyDescent="0.25">
      <c r="A82" t="s">
        <v>1022</v>
      </c>
      <c r="B82" s="1">
        <v>45096</v>
      </c>
      <c r="C82" t="s">
        <v>28</v>
      </c>
      <c r="D82">
        <v>30</v>
      </c>
      <c r="E82" t="s">
        <v>16</v>
      </c>
      <c r="F82" t="s">
        <v>35</v>
      </c>
      <c r="G82" t="s">
        <v>147</v>
      </c>
      <c r="H82">
        <v>2</v>
      </c>
      <c r="I82">
        <v>438</v>
      </c>
      <c r="J82">
        <v>20</v>
      </c>
      <c r="K82" t="s">
        <v>25</v>
      </c>
      <c r="L82" t="s">
        <v>493</v>
      </c>
      <c r="M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2">
        <v>700.8</v>
      </c>
      <c r="O82" t="s">
        <v>45</v>
      </c>
      <c r="P82" t="str">
        <f>_xlfn.IFS(LEFT(indian_retail_raw_1000[[#This Row],[x]],1)="W", "West",LEFT(indian_retail_raw_1000[[#This Row],[x]],1)= "E","East",LEFT(O82,1) = "S", "South",LEFT(O82,1) = "N", "North")</f>
        <v>East</v>
      </c>
      <c r="Q82" t="s">
        <v>35</v>
      </c>
      <c r="R82" t="s">
        <v>16</v>
      </c>
      <c r="S82" t="str">
        <f>TEXT(indian_retail_raw_1000[[#This Row],[Order_Date]],"MMM")</f>
        <v>Jun</v>
      </c>
    </row>
    <row r="83" spans="1:19" x14ac:dyDescent="0.25">
      <c r="A83" t="s">
        <v>778</v>
      </c>
      <c r="B83" s="1">
        <v>45081</v>
      </c>
      <c r="C83" t="s">
        <v>102</v>
      </c>
      <c r="D83">
        <v>48</v>
      </c>
      <c r="E83" t="s">
        <v>16</v>
      </c>
      <c r="F83" t="s">
        <v>345</v>
      </c>
      <c r="G83" t="s">
        <v>126</v>
      </c>
      <c r="H83">
        <v>2</v>
      </c>
      <c r="I83">
        <v>401</v>
      </c>
      <c r="J83">
        <v>10</v>
      </c>
      <c r="K83" t="s">
        <v>19</v>
      </c>
      <c r="L83" t="s">
        <v>51</v>
      </c>
      <c r="M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3">
        <v>721.8</v>
      </c>
      <c r="O83" t="s">
        <v>26</v>
      </c>
      <c r="P83" t="str">
        <f>_xlfn.IFS(LEFT(indian_retail_raw_1000[[#This Row],[x]],1)="W", "West",LEFT(indian_retail_raw_1000[[#This Row],[x]],1)= "E","East",LEFT(O83,1) = "S", "South",LEFT(O83,1) = "N", "North")</f>
        <v>West</v>
      </c>
      <c r="Q83" t="s">
        <v>35</v>
      </c>
      <c r="R83" t="s">
        <v>16</v>
      </c>
      <c r="S83" t="str">
        <f>TEXT(indian_retail_raw_1000[[#This Row],[Order_Date]],"MMM")</f>
        <v>Jun</v>
      </c>
    </row>
    <row r="84" spans="1:19" x14ac:dyDescent="0.25">
      <c r="A84" t="s">
        <v>1158</v>
      </c>
      <c r="B84" s="1">
        <v>45204</v>
      </c>
      <c r="C84" t="s">
        <v>160</v>
      </c>
      <c r="D84">
        <v>29</v>
      </c>
      <c r="E84" t="s">
        <v>16</v>
      </c>
      <c r="F84" t="s">
        <v>30</v>
      </c>
      <c r="G84" t="s">
        <v>224</v>
      </c>
      <c r="H84">
        <v>1</v>
      </c>
      <c r="I84">
        <v>1003</v>
      </c>
      <c r="J84">
        <v>25</v>
      </c>
      <c r="K84" t="s">
        <v>50</v>
      </c>
      <c r="L84" t="s">
        <v>56</v>
      </c>
      <c r="M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4">
        <v>752.25</v>
      </c>
      <c r="O84" t="s">
        <v>21</v>
      </c>
      <c r="P84" t="str">
        <f>_xlfn.IFS(LEFT(indian_retail_raw_1000[[#This Row],[x]],1)="W", "West",LEFT(indian_retail_raw_1000[[#This Row],[x]],1)= "E","East",LEFT(O84,1) = "S", "South",LEFT(O84,1) = "N", "North")</f>
        <v>South</v>
      </c>
      <c r="Q84" t="s">
        <v>30</v>
      </c>
      <c r="R84" t="s">
        <v>16</v>
      </c>
      <c r="S84" t="str">
        <f>TEXT(indian_retail_raw_1000[[#This Row],[Order_Date]],"MMM")</f>
        <v>Oct</v>
      </c>
    </row>
    <row r="85" spans="1:19" x14ac:dyDescent="0.25">
      <c r="A85" t="s">
        <v>598</v>
      </c>
      <c r="B85" s="1" t="s">
        <v>1336</v>
      </c>
      <c r="C85" t="s">
        <v>217</v>
      </c>
      <c r="D85">
        <v>60</v>
      </c>
      <c r="E85" t="s">
        <v>171</v>
      </c>
      <c r="F85" t="s">
        <v>35</v>
      </c>
      <c r="G85" t="s">
        <v>126</v>
      </c>
      <c r="H85">
        <v>3</v>
      </c>
      <c r="I85">
        <v>524</v>
      </c>
      <c r="J85">
        <v>50</v>
      </c>
      <c r="K85" t="s">
        <v>50</v>
      </c>
      <c r="L85" t="s">
        <v>20</v>
      </c>
      <c r="M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">
        <v>786</v>
      </c>
      <c r="O85" t="s">
        <v>38</v>
      </c>
      <c r="P85" t="str">
        <f>_xlfn.IFS(LEFT(indian_retail_raw_1000[[#This Row],[x]],1)="W", "West",LEFT(indian_retail_raw_1000[[#This Row],[x]],1)= "E","East",LEFT(O85,1) = "S", "South",LEFT(O85,1) = "N", "North")</f>
        <v>North</v>
      </c>
      <c r="Q85" t="s">
        <v>35</v>
      </c>
      <c r="R85" t="s">
        <v>138</v>
      </c>
      <c r="S85" t="str">
        <f>TEXT(indian_retail_raw_1000[[#This Row],[Order_Date]],"MMM")</f>
        <v>Null</v>
      </c>
    </row>
    <row r="86" spans="1:19" x14ac:dyDescent="0.25">
      <c r="A86" t="s">
        <v>1151</v>
      </c>
      <c r="B86" s="1">
        <v>45227</v>
      </c>
      <c r="C86" t="s">
        <v>1336</v>
      </c>
      <c r="D86">
        <v>45</v>
      </c>
      <c r="E86" t="s">
        <v>16</v>
      </c>
      <c r="F86" t="s">
        <v>35</v>
      </c>
      <c r="G86" t="s">
        <v>147</v>
      </c>
      <c r="H86">
        <v>3</v>
      </c>
      <c r="I86">
        <v>376</v>
      </c>
      <c r="J86">
        <v>30</v>
      </c>
      <c r="K86" t="s">
        <v>50</v>
      </c>
      <c r="L86" t="s">
        <v>20</v>
      </c>
      <c r="M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">
        <v>789.6</v>
      </c>
      <c r="O86" t="s">
        <v>21</v>
      </c>
      <c r="P86" t="str">
        <f>_xlfn.IFS(LEFT(indian_retail_raw_1000[[#This Row],[x]],1)="W", "West",LEFT(indian_retail_raw_1000[[#This Row],[x]],1)= "E","East",LEFT(O86,1) = "S", "South",LEFT(O86,1) = "N", "North")</f>
        <v>South</v>
      </c>
      <c r="Q86" t="s">
        <v>35</v>
      </c>
      <c r="R86" t="s">
        <v>16</v>
      </c>
      <c r="S86" t="str">
        <f>TEXT(indian_retail_raw_1000[[#This Row],[Order_Date]],"MMM")</f>
        <v>Oct</v>
      </c>
    </row>
    <row r="87" spans="1:19" x14ac:dyDescent="0.25">
      <c r="A87" t="s">
        <v>184</v>
      </c>
      <c r="B87" s="1" t="s">
        <v>1336</v>
      </c>
      <c r="C87" t="s">
        <v>87</v>
      </c>
      <c r="D87">
        <v>44</v>
      </c>
      <c r="E87" t="s">
        <v>16</v>
      </c>
      <c r="F87" t="s">
        <v>17</v>
      </c>
      <c r="G87" t="s">
        <v>186</v>
      </c>
      <c r="H87">
        <v>1</v>
      </c>
      <c r="I87">
        <v>1650</v>
      </c>
      <c r="J87">
        <v>50</v>
      </c>
      <c r="K87" t="s">
        <v>50</v>
      </c>
      <c r="L87" t="s">
        <v>51</v>
      </c>
      <c r="M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7">
        <v>825</v>
      </c>
      <c r="O87" t="s">
        <v>45</v>
      </c>
      <c r="P87" t="str">
        <f>_xlfn.IFS(LEFT(indian_retail_raw_1000[[#This Row],[x]],1)="W", "West",LEFT(indian_retail_raw_1000[[#This Row],[x]],1)= "E","East",LEFT(O87,1) = "S", "South",LEFT(O87,1) = "N", "North")</f>
        <v>East</v>
      </c>
      <c r="Q87" t="s">
        <v>17</v>
      </c>
      <c r="R87" t="s">
        <v>16</v>
      </c>
      <c r="S87" t="str">
        <f>TEXT(indian_retail_raw_1000[[#This Row],[Order_Date]],"MMM")</f>
        <v>Null</v>
      </c>
    </row>
    <row r="88" spans="1:19" x14ac:dyDescent="0.25">
      <c r="A88" t="s">
        <v>137</v>
      </c>
      <c r="B88" s="1">
        <v>45269</v>
      </c>
      <c r="C88" t="s">
        <v>66</v>
      </c>
      <c r="D88">
        <v>26</v>
      </c>
      <c r="E88" t="s">
        <v>138</v>
      </c>
      <c r="F88" t="s">
        <v>35</v>
      </c>
      <c r="G88" t="s">
        <v>139</v>
      </c>
      <c r="H88">
        <v>2</v>
      </c>
      <c r="I88">
        <v>446</v>
      </c>
      <c r="J88">
        <v>5</v>
      </c>
      <c r="K88" t="s">
        <v>25</v>
      </c>
      <c r="L88" t="s">
        <v>20</v>
      </c>
      <c r="M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">
        <v>847.4</v>
      </c>
      <c r="O88" t="s">
        <v>38</v>
      </c>
      <c r="P88" t="str">
        <f>_xlfn.IFS(LEFT(indian_retail_raw_1000[[#This Row],[x]],1)="W", "West",LEFT(indian_retail_raw_1000[[#This Row],[x]],1)= "E","East",LEFT(O88,1) = "S", "South",LEFT(O88,1) = "N", "North")</f>
        <v>North</v>
      </c>
      <c r="Q88" t="s">
        <v>35</v>
      </c>
      <c r="R88" t="s">
        <v>138</v>
      </c>
      <c r="S88" t="str">
        <f>TEXT(indian_retail_raw_1000[[#This Row],[Order_Date]],"MMM")</f>
        <v>Dec</v>
      </c>
    </row>
    <row r="89" spans="1:19" x14ac:dyDescent="0.25">
      <c r="A89" t="s">
        <v>397</v>
      </c>
      <c r="B89" s="1">
        <v>45087</v>
      </c>
      <c r="C89" t="s">
        <v>62</v>
      </c>
      <c r="E89" t="s">
        <v>23</v>
      </c>
      <c r="F89" t="s">
        <v>17</v>
      </c>
      <c r="G89" t="s">
        <v>49</v>
      </c>
      <c r="H89">
        <v>1</v>
      </c>
      <c r="I89">
        <v>1750</v>
      </c>
      <c r="J89">
        <v>50</v>
      </c>
      <c r="K89" t="s">
        <v>41</v>
      </c>
      <c r="L89" t="s">
        <v>20</v>
      </c>
      <c r="M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">
        <v>875</v>
      </c>
      <c r="O89" t="s">
        <v>38</v>
      </c>
      <c r="P89" t="str">
        <f>_xlfn.IFS(LEFT(indian_retail_raw_1000[[#This Row],[x]],1)="W", "West",LEFT(indian_retail_raw_1000[[#This Row],[x]],1)= "E","East",LEFT(O89,1) = "S", "South",LEFT(O89,1) = "N", "North")</f>
        <v>North</v>
      </c>
      <c r="Q89" t="s">
        <v>17</v>
      </c>
      <c r="R89" t="s">
        <v>23</v>
      </c>
      <c r="S89" t="str">
        <f>TEXT(indian_retail_raw_1000[[#This Row],[Order_Date]],"MMM")</f>
        <v>Jun</v>
      </c>
    </row>
    <row r="90" spans="1:19" x14ac:dyDescent="0.25">
      <c r="A90" t="s">
        <v>719</v>
      </c>
      <c r="B90" s="1" t="s">
        <v>1336</v>
      </c>
      <c r="C90" t="s">
        <v>1336</v>
      </c>
      <c r="D90">
        <v>18</v>
      </c>
      <c r="E90" t="s">
        <v>16</v>
      </c>
      <c r="F90" t="s">
        <v>35</v>
      </c>
      <c r="G90" t="s">
        <v>331</v>
      </c>
      <c r="H90">
        <v>3</v>
      </c>
      <c r="I90">
        <v>297</v>
      </c>
      <c r="J90">
        <v>10</v>
      </c>
      <c r="K90" t="s">
        <v>41</v>
      </c>
      <c r="L90" t="s">
        <v>20</v>
      </c>
      <c r="M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">
        <v>891</v>
      </c>
      <c r="O90" t="s">
        <v>26</v>
      </c>
      <c r="P90" t="str">
        <f>_xlfn.IFS(LEFT(indian_retail_raw_1000[[#This Row],[x]],1)="W", "West",LEFT(indian_retail_raw_1000[[#This Row],[x]],1)= "E","East",LEFT(O90,1) = "S", "South",LEFT(O90,1) = "N", "North")</f>
        <v>West</v>
      </c>
      <c r="Q90" t="s">
        <v>35</v>
      </c>
      <c r="R90" t="s">
        <v>16</v>
      </c>
      <c r="S90" t="str">
        <f>TEXT(indian_retail_raw_1000[[#This Row],[Order_Date]],"MMM")</f>
        <v>Null</v>
      </c>
    </row>
    <row r="91" spans="1:19" x14ac:dyDescent="0.25">
      <c r="A91" t="s">
        <v>499</v>
      </c>
      <c r="B91" s="1" t="s">
        <v>1336</v>
      </c>
      <c r="C91" t="s">
        <v>265</v>
      </c>
      <c r="D91">
        <v>45</v>
      </c>
      <c r="E91" t="s">
        <v>16</v>
      </c>
      <c r="F91" t="s">
        <v>35</v>
      </c>
      <c r="G91" t="s">
        <v>166</v>
      </c>
      <c r="H91">
        <v>1</v>
      </c>
      <c r="I91">
        <v>913</v>
      </c>
      <c r="J91">
        <v>0</v>
      </c>
      <c r="K91" t="s">
        <v>25</v>
      </c>
      <c r="L91" t="s">
        <v>20</v>
      </c>
      <c r="M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">
        <v>913</v>
      </c>
      <c r="O91" t="s">
        <v>295</v>
      </c>
      <c r="P91" t="str">
        <f>_xlfn.IFS(LEFT(indian_retail_raw_1000[[#This Row],[x]],1)="W", "West",LEFT(indian_retail_raw_1000[[#This Row],[x]],1)= "E","East",LEFT(O91,1) = "S", "South",LEFT(O91,1) = "N", "North")</f>
        <v>East</v>
      </c>
      <c r="Q91" t="s">
        <v>35</v>
      </c>
      <c r="R91" t="s">
        <v>16</v>
      </c>
      <c r="S91" t="str">
        <f>TEXT(indian_retail_raw_1000[[#This Row],[Order_Date]],"MMM")</f>
        <v>Null</v>
      </c>
    </row>
    <row r="92" spans="1:19" x14ac:dyDescent="0.25">
      <c r="A92" t="s">
        <v>439</v>
      </c>
      <c r="B92" s="1" t="s">
        <v>1336</v>
      </c>
      <c r="C92" t="s">
        <v>1336</v>
      </c>
      <c r="D92">
        <v>48</v>
      </c>
      <c r="E92" t="s">
        <v>16</v>
      </c>
      <c r="F92" t="s">
        <v>35</v>
      </c>
      <c r="G92" t="s">
        <v>111</v>
      </c>
      <c r="H92">
        <v>8</v>
      </c>
      <c r="I92">
        <v>240</v>
      </c>
      <c r="J92">
        <v>50</v>
      </c>
      <c r="K92" t="s">
        <v>25</v>
      </c>
      <c r="L92" t="s">
        <v>37</v>
      </c>
      <c r="M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">
        <v>960</v>
      </c>
      <c r="O92" t="s">
        <v>349</v>
      </c>
      <c r="P92" t="str">
        <f>_xlfn.IFS(LEFT(indian_retail_raw_1000[[#This Row],[x]],1)="W", "West",LEFT(indian_retail_raw_1000[[#This Row],[x]],1)= "E","East",LEFT(O92,1) = "S", "South",LEFT(O92,1) = "N", "North")</f>
        <v>South</v>
      </c>
      <c r="Q92" t="s">
        <v>35</v>
      </c>
      <c r="R92" t="s">
        <v>16</v>
      </c>
      <c r="S92" t="str">
        <f>TEXT(indian_retail_raw_1000[[#This Row],[Order_Date]],"MMM")</f>
        <v>Null</v>
      </c>
    </row>
    <row r="93" spans="1:19" x14ac:dyDescent="0.25">
      <c r="A93" t="s">
        <v>264</v>
      </c>
      <c r="B93" s="1">
        <v>45246</v>
      </c>
      <c r="C93" t="s">
        <v>265</v>
      </c>
      <c r="D93">
        <v>19</v>
      </c>
      <c r="E93" t="s">
        <v>16</v>
      </c>
      <c r="F93" t="s">
        <v>35</v>
      </c>
      <c r="G93" t="s">
        <v>111</v>
      </c>
      <c r="H93">
        <v>3</v>
      </c>
      <c r="I93">
        <v>401</v>
      </c>
      <c r="J93">
        <v>20</v>
      </c>
      <c r="K93" t="s">
        <v>25</v>
      </c>
      <c r="L93" t="s">
        <v>20</v>
      </c>
      <c r="M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">
        <v>962.4</v>
      </c>
      <c r="O93" t="s">
        <v>45</v>
      </c>
      <c r="P93" t="str">
        <f>_xlfn.IFS(LEFT(indian_retail_raw_1000[[#This Row],[x]],1)="W", "West",LEFT(indian_retail_raw_1000[[#This Row],[x]],1)= "E","East",LEFT(O93,1) = "S", "South",LEFT(O93,1) = "N", "North")</f>
        <v>East</v>
      </c>
      <c r="Q93" t="s">
        <v>35</v>
      </c>
      <c r="R93" t="s">
        <v>16</v>
      </c>
      <c r="S93" t="str">
        <f>TEXT(indian_retail_raw_1000[[#This Row],[Order_Date]],"MMM")</f>
        <v>Nov</v>
      </c>
    </row>
    <row r="94" spans="1:19" x14ac:dyDescent="0.25">
      <c r="A94" t="s">
        <v>1308</v>
      </c>
      <c r="B94" s="1">
        <v>45262</v>
      </c>
      <c r="C94" t="s">
        <v>431</v>
      </c>
      <c r="D94">
        <v>50</v>
      </c>
      <c r="E94" t="s">
        <v>16</v>
      </c>
      <c r="F94" t="s">
        <v>17</v>
      </c>
      <c r="G94" t="s">
        <v>49</v>
      </c>
      <c r="H94">
        <v>1</v>
      </c>
      <c r="I94">
        <v>1300</v>
      </c>
      <c r="J94">
        <v>25</v>
      </c>
      <c r="K94" t="s">
        <v>19</v>
      </c>
      <c r="L94" t="s">
        <v>56</v>
      </c>
      <c r="M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4">
        <v>975</v>
      </c>
      <c r="O94" t="s">
        <v>45</v>
      </c>
      <c r="P94" t="str">
        <f>_xlfn.IFS(LEFT(indian_retail_raw_1000[[#This Row],[x]],1)="W", "West",LEFT(indian_retail_raw_1000[[#This Row],[x]],1)= "E","East",LEFT(O94,1) = "S", "South",LEFT(O94,1) = "N", "North")</f>
        <v>East</v>
      </c>
      <c r="Q94" t="s">
        <v>17</v>
      </c>
      <c r="R94" t="s">
        <v>16</v>
      </c>
      <c r="S94" t="str">
        <f>TEXT(indian_retail_raw_1000[[#This Row],[Order_Date]],"MMM")</f>
        <v>Dec</v>
      </c>
    </row>
    <row r="95" spans="1:19" x14ac:dyDescent="0.25">
      <c r="A95" t="s">
        <v>1135</v>
      </c>
      <c r="B95" s="1">
        <v>45237</v>
      </c>
      <c r="C95" t="s">
        <v>156</v>
      </c>
      <c r="D95">
        <v>52</v>
      </c>
      <c r="E95" t="s">
        <v>16</v>
      </c>
      <c r="F95" t="s">
        <v>30</v>
      </c>
      <c r="G95" t="s">
        <v>224</v>
      </c>
      <c r="H95">
        <v>1</v>
      </c>
      <c r="I95">
        <v>983</v>
      </c>
      <c r="J95">
        <v>0</v>
      </c>
      <c r="K95" t="s">
        <v>50</v>
      </c>
      <c r="L95" t="s">
        <v>20</v>
      </c>
      <c r="M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">
        <v>983</v>
      </c>
      <c r="O95" t="s">
        <v>26</v>
      </c>
      <c r="P95" t="str">
        <f>_xlfn.IFS(LEFT(indian_retail_raw_1000[[#This Row],[x]],1)="W", "West",LEFT(indian_retail_raw_1000[[#This Row],[x]],1)= "E","East",LEFT(O95,1) = "S", "South",LEFT(O95,1) = "N", "North")</f>
        <v>West</v>
      </c>
      <c r="Q95" t="s">
        <v>30</v>
      </c>
      <c r="R95" t="s">
        <v>16</v>
      </c>
      <c r="S95" t="str">
        <f>TEXT(indian_retail_raw_1000[[#This Row],[Order_Date]],"MMM")</f>
        <v>Nov</v>
      </c>
    </row>
    <row r="96" spans="1:19" x14ac:dyDescent="0.25">
      <c r="A96" t="s">
        <v>168</v>
      </c>
      <c r="B96" s="1">
        <v>45037</v>
      </c>
      <c r="C96" t="s">
        <v>1336</v>
      </c>
      <c r="D96">
        <v>65</v>
      </c>
      <c r="E96" t="s">
        <v>23</v>
      </c>
      <c r="F96" t="s">
        <v>35</v>
      </c>
      <c r="G96" t="s">
        <v>99</v>
      </c>
      <c r="H96">
        <v>1</v>
      </c>
      <c r="I96">
        <v>1107</v>
      </c>
      <c r="J96">
        <v>10</v>
      </c>
      <c r="K96" t="s">
        <v>41</v>
      </c>
      <c r="L96" t="s">
        <v>51</v>
      </c>
      <c r="M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6">
        <v>996.3</v>
      </c>
      <c r="O96" t="s">
        <v>21</v>
      </c>
      <c r="P96" t="str">
        <f>_xlfn.IFS(LEFT(indian_retail_raw_1000[[#This Row],[x]],1)="W", "West",LEFT(indian_retail_raw_1000[[#This Row],[x]],1)= "E","East",LEFT(O96,1) = "S", "South",LEFT(O96,1) = "N", "North")</f>
        <v>South</v>
      </c>
      <c r="Q96" t="s">
        <v>35</v>
      </c>
      <c r="R96" t="s">
        <v>23</v>
      </c>
      <c r="S96" t="str">
        <f>TEXT(indian_retail_raw_1000[[#This Row],[Order_Date]],"MMM")</f>
        <v>Apr</v>
      </c>
    </row>
    <row r="97" spans="1:19" x14ac:dyDescent="0.25">
      <c r="A97" t="s">
        <v>174</v>
      </c>
      <c r="B97" s="1" t="s">
        <v>1336</v>
      </c>
      <c r="C97" t="s">
        <v>176</v>
      </c>
      <c r="D97">
        <v>20</v>
      </c>
      <c r="E97" t="s">
        <v>23</v>
      </c>
      <c r="F97" t="s">
        <v>177</v>
      </c>
      <c r="G97" t="s">
        <v>111</v>
      </c>
      <c r="H97">
        <v>5</v>
      </c>
      <c r="I97">
        <v>239</v>
      </c>
      <c r="J97">
        <v>15</v>
      </c>
      <c r="K97" t="s">
        <v>64</v>
      </c>
      <c r="L97" t="s">
        <v>20</v>
      </c>
      <c r="M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7">
        <v>1015.75</v>
      </c>
      <c r="O97" t="s">
        <v>45</v>
      </c>
      <c r="P97" t="str">
        <f>_xlfn.IFS(LEFT(indian_retail_raw_1000[[#This Row],[x]],1)="W", "West",LEFT(indian_retail_raw_1000[[#This Row],[x]],1)= "E","East",LEFT(O97,1) = "S", "South",LEFT(O97,1) = "N", "North")</f>
        <v>East</v>
      </c>
      <c r="Q97" t="s">
        <v>35</v>
      </c>
      <c r="R97" t="s">
        <v>23</v>
      </c>
      <c r="S97" t="str">
        <f>TEXT(indian_retail_raw_1000[[#This Row],[Order_Date]],"MMM")</f>
        <v>Null</v>
      </c>
    </row>
    <row r="98" spans="1:19" x14ac:dyDescent="0.25">
      <c r="A98" t="s">
        <v>745</v>
      </c>
      <c r="B98" s="1">
        <v>45099</v>
      </c>
      <c r="C98" t="s">
        <v>217</v>
      </c>
      <c r="D98">
        <v>63</v>
      </c>
      <c r="E98" t="s">
        <v>16</v>
      </c>
      <c r="F98" t="s">
        <v>324</v>
      </c>
      <c r="G98" t="s">
        <v>99</v>
      </c>
      <c r="H98">
        <v>1</v>
      </c>
      <c r="I98">
        <v>1138</v>
      </c>
      <c r="J98">
        <v>10</v>
      </c>
      <c r="K98" t="s">
        <v>50</v>
      </c>
      <c r="L98" t="s">
        <v>20</v>
      </c>
      <c r="M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">
        <v>1024.2</v>
      </c>
      <c r="O98" t="s">
        <v>38</v>
      </c>
      <c r="P98" t="str">
        <f>_xlfn.IFS(LEFT(indian_retail_raw_1000[[#This Row],[x]],1)="W", "West",LEFT(indian_retail_raw_1000[[#This Row],[x]],1)= "E","East",LEFT(O98,1) = "S", "South",LEFT(O98,1) = "N", "North")</f>
        <v>North</v>
      </c>
      <c r="Q98" t="s">
        <v>35</v>
      </c>
      <c r="R98" t="s">
        <v>16</v>
      </c>
      <c r="S98" t="str">
        <f>TEXT(indian_retail_raw_1000[[#This Row],[Order_Date]],"MMM")</f>
        <v>Jun</v>
      </c>
    </row>
    <row r="99" spans="1:19" x14ac:dyDescent="0.25">
      <c r="A99" t="s">
        <v>968</v>
      </c>
      <c r="B99" s="1">
        <v>45212</v>
      </c>
      <c r="C99" t="s">
        <v>1336</v>
      </c>
      <c r="D99">
        <v>28</v>
      </c>
      <c r="E99" t="s">
        <v>23</v>
      </c>
      <c r="F99" t="s">
        <v>250</v>
      </c>
      <c r="G99" t="s">
        <v>186</v>
      </c>
      <c r="H99">
        <v>1</v>
      </c>
      <c r="I99">
        <v>1750</v>
      </c>
      <c r="J99">
        <v>40</v>
      </c>
      <c r="K99" t="s">
        <v>222</v>
      </c>
      <c r="L99" t="s">
        <v>37</v>
      </c>
      <c r="M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">
        <v>1050</v>
      </c>
      <c r="O99" t="s">
        <v>26</v>
      </c>
      <c r="P99" t="str">
        <f>_xlfn.IFS(LEFT(indian_retail_raw_1000[[#This Row],[x]],1)="W", "West",LEFT(indian_retail_raw_1000[[#This Row],[x]],1)= "E","East",LEFT(O99,1) = "S", "South",LEFT(O99,1) = "N", "North")</f>
        <v>West</v>
      </c>
      <c r="Q99" t="s">
        <v>17</v>
      </c>
      <c r="R99" t="s">
        <v>23</v>
      </c>
      <c r="S99" t="str">
        <f>TEXT(indian_retail_raw_1000[[#This Row],[Order_Date]],"MMM")</f>
        <v>Oct</v>
      </c>
    </row>
    <row r="100" spans="1:19" x14ac:dyDescent="0.25">
      <c r="A100" t="s">
        <v>344</v>
      </c>
      <c r="B100" s="1">
        <v>45062</v>
      </c>
      <c r="C100" t="s">
        <v>48</v>
      </c>
      <c r="D100">
        <v>50</v>
      </c>
      <c r="E100" t="s">
        <v>23</v>
      </c>
      <c r="F100" t="s">
        <v>345</v>
      </c>
      <c r="G100" t="s">
        <v>36</v>
      </c>
      <c r="H100">
        <v>1</v>
      </c>
      <c r="I100">
        <v>1059</v>
      </c>
      <c r="J100">
        <v>15</v>
      </c>
      <c r="K100" t="s">
        <v>41</v>
      </c>
      <c r="L100" t="s">
        <v>20</v>
      </c>
      <c r="M1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0">
        <v>1059</v>
      </c>
      <c r="O100" t="s">
        <v>26</v>
      </c>
      <c r="P100" t="str">
        <f>_xlfn.IFS(LEFT(indian_retail_raw_1000[[#This Row],[x]],1)="W", "West",LEFT(indian_retail_raw_1000[[#This Row],[x]],1)= "E","East",LEFT(O100,1) = "S", "South",LEFT(O100,1) = "N", "North")</f>
        <v>West</v>
      </c>
      <c r="Q100" t="s">
        <v>35</v>
      </c>
      <c r="R100" t="s">
        <v>23</v>
      </c>
      <c r="S100" t="str">
        <f>TEXT(indian_retail_raw_1000[[#This Row],[Order_Date]],"MMM")</f>
        <v>May</v>
      </c>
    </row>
    <row r="101" spans="1:19" x14ac:dyDescent="0.25">
      <c r="A101" t="s">
        <v>410</v>
      </c>
      <c r="B101" s="1">
        <v>45240</v>
      </c>
      <c r="C101" t="s">
        <v>411</v>
      </c>
      <c r="E101" t="s">
        <v>23</v>
      </c>
      <c r="F101" t="s">
        <v>30</v>
      </c>
      <c r="G101" t="s">
        <v>224</v>
      </c>
      <c r="H101">
        <v>5</v>
      </c>
      <c r="I101">
        <v>1062</v>
      </c>
      <c r="J101">
        <v>5</v>
      </c>
      <c r="K101" t="s">
        <v>41</v>
      </c>
      <c r="L101" t="s">
        <v>20</v>
      </c>
      <c r="M1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1">
        <v>1062</v>
      </c>
      <c r="O101" t="s">
        <v>45</v>
      </c>
      <c r="P101" t="str">
        <f>_xlfn.IFS(LEFT(indian_retail_raw_1000[[#This Row],[x]],1)="W", "West",LEFT(indian_retail_raw_1000[[#This Row],[x]],1)= "E","East",LEFT(O101,1) = "S", "South",LEFT(O101,1) = "N", "North")</f>
        <v>East</v>
      </c>
      <c r="Q101" t="s">
        <v>30</v>
      </c>
      <c r="R101" t="s">
        <v>23</v>
      </c>
      <c r="S101" t="str">
        <f>TEXT(indian_retail_raw_1000[[#This Row],[Order_Date]],"MMM")</f>
        <v>Nov</v>
      </c>
    </row>
    <row r="102" spans="1:19" x14ac:dyDescent="0.25">
      <c r="A102" t="s">
        <v>1243</v>
      </c>
      <c r="B102" s="1">
        <v>45154</v>
      </c>
      <c r="C102" t="s">
        <v>43</v>
      </c>
      <c r="D102">
        <v>33</v>
      </c>
      <c r="E102" t="s">
        <v>23</v>
      </c>
      <c r="F102" t="s">
        <v>17</v>
      </c>
      <c r="G102" t="s">
        <v>94</v>
      </c>
      <c r="H102">
        <v>1</v>
      </c>
      <c r="I102">
        <v>2150</v>
      </c>
      <c r="J102">
        <v>50</v>
      </c>
      <c r="K102" t="s">
        <v>50</v>
      </c>
      <c r="L102" t="s">
        <v>20</v>
      </c>
      <c r="M1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2">
        <v>1075</v>
      </c>
      <c r="O102" t="s">
        <v>38</v>
      </c>
      <c r="P102" t="str">
        <f>_xlfn.IFS(LEFT(indian_retail_raw_1000[[#This Row],[x]],1)="W", "West",LEFT(indian_retail_raw_1000[[#This Row],[x]],1)= "E","East",LEFT(O102,1) = "S", "South",LEFT(O102,1) = "N", "North")</f>
        <v>North</v>
      </c>
      <c r="Q102" t="s">
        <v>17</v>
      </c>
      <c r="R102" t="s">
        <v>23</v>
      </c>
      <c r="S102" t="str">
        <f>TEXT(indian_retail_raw_1000[[#This Row],[Order_Date]],"MMM")</f>
        <v>Aug</v>
      </c>
    </row>
    <row r="103" spans="1:19" x14ac:dyDescent="0.25">
      <c r="A103" t="s">
        <v>795</v>
      </c>
      <c r="B103" s="1">
        <v>45054</v>
      </c>
      <c r="C103" t="s">
        <v>66</v>
      </c>
      <c r="D103">
        <v>47</v>
      </c>
      <c r="E103" t="s">
        <v>23</v>
      </c>
      <c r="F103" t="s">
        <v>17</v>
      </c>
      <c r="G103" t="s">
        <v>186</v>
      </c>
      <c r="H103">
        <v>1</v>
      </c>
      <c r="I103">
        <v>1200</v>
      </c>
      <c r="J103">
        <v>10</v>
      </c>
      <c r="K103" t="s">
        <v>19</v>
      </c>
      <c r="L103" t="s">
        <v>20</v>
      </c>
      <c r="M1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3">
        <v>1080</v>
      </c>
      <c r="O103" t="s">
        <v>45</v>
      </c>
      <c r="P103" t="str">
        <f>_xlfn.IFS(LEFT(indian_retail_raw_1000[[#This Row],[x]],1)="W", "West",LEFT(indian_retail_raw_1000[[#This Row],[x]],1)= "E","East",LEFT(O103,1) = "S", "South",LEFT(O103,1) = "N", "North")</f>
        <v>East</v>
      </c>
      <c r="Q103" t="s">
        <v>17</v>
      </c>
      <c r="R103" t="s">
        <v>23</v>
      </c>
      <c r="S103" t="str">
        <f>TEXT(indian_retail_raw_1000[[#This Row],[Order_Date]],"MMM")</f>
        <v>May</v>
      </c>
    </row>
    <row r="104" spans="1:19" x14ac:dyDescent="0.25">
      <c r="A104" t="s">
        <v>795</v>
      </c>
      <c r="B104" s="1">
        <v>45054</v>
      </c>
      <c r="C104" t="s">
        <v>66</v>
      </c>
      <c r="D104">
        <v>47</v>
      </c>
      <c r="E104" t="s">
        <v>23</v>
      </c>
      <c r="F104" t="s">
        <v>17</v>
      </c>
      <c r="G104" t="s">
        <v>186</v>
      </c>
      <c r="H104">
        <v>1</v>
      </c>
      <c r="I104">
        <v>1200</v>
      </c>
      <c r="J104">
        <v>10</v>
      </c>
      <c r="K104" t="s">
        <v>19</v>
      </c>
      <c r="L104" t="s">
        <v>20</v>
      </c>
      <c r="M1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4">
        <v>1080</v>
      </c>
      <c r="O104" t="s">
        <v>45</v>
      </c>
      <c r="P104" t="str">
        <f>_xlfn.IFS(LEFT(indian_retail_raw_1000[[#This Row],[x]],1)="W", "West",LEFT(indian_retail_raw_1000[[#This Row],[x]],1)= "E","East",LEFT(O104,1) = "S", "South",LEFT(O104,1) = "N", "North")</f>
        <v>East</v>
      </c>
      <c r="Q104" t="s">
        <v>17</v>
      </c>
      <c r="R104" t="s">
        <v>23</v>
      </c>
      <c r="S104" t="str">
        <f>TEXT(indian_retail_raw_1000[[#This Row],[Order_Date]],"MMM")</f>
        <v>May</v>
      </c>
    </row>
    <row r="105" spans="1:19" x14ac:dyDescent="0.25">
      <c r="A105" t="s">
        <v>674</v>
      </c>
      <c r="B105" s="1">
        <v>45041</v>
      </c>
      <c r="C105" t="s">
        <v>156</v>
      </c>
      <c r="D105">
        <v>20</v>
      </c>
      <c r="E105" t="s">
        <v>16</v>
      </c>
      <c r="F105" t="s">
        <v>35</v>
      </c>
      <c r="G105" t="s">
        <v>257</v>
      </c>
      <c r="H105">
        <v>1</v>
      </c>
      <c r="I105">
        <v>1161</v>
      </c>
      <c r="J105">
        <v>5</v>
      </c>
      <c r="K105" t="s">
        <v>25</v>
      </c>
      <c r="L105" t="s">
        <v>20</v>
      </c>
      <c r="M1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5">
        <v>1102.95</v>
      </c>
      <c r="O105" t="s">
        <v>45</v>
      </c>
      <c r="P105" t="str">
        <f>_xlfn.IFS(LEFT(indian_retail_raw_1000[[#This Row],[x]],1)="W", "West",LEFT(indian_retail_raw_1000[[#This Row],[x]],1)= "E","East",LEFT(O105,1) = "S", "South",LEFT(O105,1) = "N", "North")</f>
        <v>East</v>
      </c>
      <c r="Q105" t="s">
        <v>35</v>
      </c>
      <c r="R105" t="s">
        <v>16</v>
      </c>
      <c r="S105" t="str">
        <f>TEXT(indian_retail_raw_1000[[#This Row],[Order_Date]],"MMM")</f>
        <v>Apr</v>
      </c>
    </row>
    <row r="106" spans="1:19" x14ac:dyDescent="0.25">
      <c r="A106" t="s">
        <v>471</v>
      </c>
      <c r="B106" s="1">
        <v>45257</v>
      </c>
      <c r="C106" t="s">
        <v>160</v>
      </c>
      <c r="D106">
        <v>18</v>
      </c>
      <c r="E106" t="s">
        <v>23</v>
      </c>
      <c r="F106" t="s">
        <v>35</v>
      </c>
      <c r="G106" t="s">
        <v>126</v>
      </c>
      <c r="H106">
        <v>4</v>
      </c>
      <c r="I106">
        <v>375</v>
      </c>
      <c r="J106">
        <v>25</v>
      </c>
      <c r="K106" t="s">
        <v>50</v>
      </c>
      <c r="L106" t="s">
        <v>20</v>
      </c>
      <c r="M1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6">
        <v>1125</v>
      </c>
      <c r="O106" t="s">
        <v>38</v>
      </c>
      <c r="P106" t="str">
        <f>_xlfn.IFS(LEFT(indian_retail_raw_1000[[#This Row],[x]],1)="W", "West",LEFT(indian_retail_raw_1000[[#This Row],[x]],1)= "E","East",LEFT(O106,1) = "S", "South",LEFT(O106,1) = "N", "North")</f>
        <v>North</v>
      </c>
      <c r="Q106" t="s">
        <v>35</v>
      </c>
      <c r="R106" t="s">
        <v>23</v>
      </c>
      <c r="S106" t="str">
        <f>TEXT(indian_retail_raw_1000[[#This Row],[Order_Date]],"MMM")</f>
        <v>Nov</v>
      </c>
    </row>
    <row r="107" spans="1:19" x14ac:dyDescent="0.25">
      <c r="A107" t="s">
        <v>68</v>
      </c>
      <c r="B107" s="1">
        <v>45027</v>
      </c>
      <c r="C107" t="s">
        <v>160</v>
      </c>
      <c r="D107">
        <v>64</v>
      </c>
      <c r="E107" t="s">
        <v>23</v>
      </c>
      <c r="F107" t="s">
        <v>70</v>
      </c>
      <c r="G107" t="s">
        <v>49</v>
      </c>
      <c r="H107">
        <v>1</v>
      </c>
      <c r="I107">
        <v>1200</v>
      </c>
      <c r="J107">
        <v>5</v>
      </c>
      <c r="K107" t="s">
        <v>41</v>
      </c>
      <c r="L107" t="s">
        <v>20</v>
      </c>
      <c r="M1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7">
        <v>1140</v>
      </c>
      <c r="O107" t="s">
        <v>21</v>
      </c>
      <c r="P107" t="str">
        <f>_xlfn.IFS(LEFT(indian_retail_raw_1000[[#This Row],[x]],1)="W", "West",LEFT(indian_retail_raw_1000[[#This Row],[x]],1)= "E","East",LEFT(O107,1) = "S", "South",LEFT(O107,1) = "N", "North")</f>
        <v>South</v>
      </c>
      <c r="Q107" t="s">
        <v>17</v>
      </c>
      <c r="R107" t="s">
        <v>23</v>
      </c>
      <c r="S107" t="str">
        <f>TEXT(indian_retail_raw_1000[[#This Row],[Order_Date]],"MMM")</f>
        <v>Apr</v>
      </c>
    </row>
    <row r="108" spans="1:19" x14ac:dyDescent="0.25">
      <c r="A108" t="s">
        <v>964</v>
      </c>
      <c r="B108" s="1" t="s">
        <v>1336</v>
      </c>
      <c r="C108" t="s">
        <v>156</v>
      </c>
      <c r="D108">
        <v>36</v>
      </c>
      <c r="E108" t="s">
        <v>23</v>
      </c>
      <c r="F108" t="s">
        <v>30</v>
      </c>
      <c r="G108" t="s">
        <v>268</v>
      </c>
      <c r="H108">
        <v>1</v>
      </c>
      <c r="I108">
        <v>1149</v>
      </c>
      <c r="J108">
        <v>80</v>
      </c>
      <c r="K108" t="s">
        <v>105</v>
      </c>
      <c r="L108" t="s">
        <v>204</v>
      </c>
      <c r="M1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8">
        <v>1149</v>
      </c>
      <c r="O108" t="s">
        <v>45</v>
      </c>
      <c r="P108" t="str">
        <f>_xlfn.IFS(LEFT(indian_retail_raw_1000[[#This Row],[x]],1)="W", "West",LEFT(indian_retail_raw_1000[[#This Row],[x]],1)= "E","East",LEFT(O108,1) = "S", "South",LEFT(O108,1) = "N", "North")</f>
        <v>East</v>
      </c>
      <c r="Q108" t="s">
        <v>30</v>
      </c>
      <c r="R108" t="s">
        <v>23</v>
      </c>
      <c r="S108" t="str">
        <f>TEXT(indian_retail_raw_1000[[#This Row],[Order_Date]],"MMM")</f>
        <v>Null</v>
      </c>
    </row>
    <row r="109" spans="1:19" x14ac:dyDescent="0.25">
      <c r="A109" t="s">
        <v>1205</v>
      </c>
      <c r="B109" s="1">
        <v>44938</v>
      </c>
      <c r="C109" t="s">
        <v>173</v>
      </c>
      <c r="D109">
        <v>37</v>
      </c>
      <c r="E109" t="s">
        <v>23</v>
      </c>
      <c r="F109" t="s">
        <v>35</v>
      </c>
      <c r="G109" t="s">
        <v>126</v>
      </c>
      <c r="H109">
        <v>3</v>
      </c>
      <c r="I109">
        <v>555</v>
      </c>
      <c r="J109">
        <v>30</v>
      </c>
      <c r="K109" t="s">
        <v>19</v>
      </c>
      <c r="L109" t="s">
        <v>107</v>
      </c>
      <c r="M1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9">
        <v>1165.5</v>
      </c>
      <c r="O109" t="s">
        <v>45</v>
      </c>
      <c r="P109" t="str">
        <f>_xlfn.IFS(LEFT(indian_retail_raw_1000[[#This Row],[x]],1)="W", "West",LEFT(indian_retail_raw_1000[[#This Row],[x]],1)= "E","East",LEFT(O109,1) = "S", "South",LEFT(O109,1) = "N", "North")</f>
        <v>East</v>
      </c>
      <c r="Q109" t="s">
        <v>35</v>
      </c>
      <c r="R109" t="s">
        <v>23</v>
      </c>
      <c r="S109" t="str">
        <f>TEXT(indian_retail_raw_1000[[#This Row],[Order_Date]],"MMM")</f>
        <v>Jan</v>
      </c>
    </row>
    <row r="110" spans="1:19" x14ac:dyDescent="0.25">
      <c r="A110" t="s">
        <v>870</v>
      </c>
      <c r="B110" s="1" t="s">
        <v>1336</v>
      </c>
      <c r="C110" t="s">
        <v>198</v>
      </c>
      <c r="D110">
        <v>19</v>
      </c>
      <c r="E110" t="s">
        <v>16</v>
      </c>
      <c r="F110" t="s">
        <v>30</v>
      </c>
      <c r="G110" t="s">
        <v>294</v>
      </c>
      <c r="H110">
        <v>4</v>
      </c>
      <c r="I110">
        <v>493</v>
      </c>
      <c r="J110">
        <v>40</v>
      </c>
      <c r="K110" t="s">
        <v>50</v>
      </c>
      <c r="L110" t="s">
        <v>56</v>
      </c>
      <c r="M1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10">
        <v>1183.2</v>
      </c>
      <c r="O110" t="s">
        <v>33</v>
      </c>
      <c r="P110" t="str">
        <f>_xlfn.IFS(LEFT(indian_retail_raw_1000[[#This Row],[x]],1)="W", "West",LEFT(indian_retail_raw_1000[[#This Row],[x]],1)= "E","East",LEFT(O110,1) = "S", "South",LEFT(O110,1) = "N", "North")</f>
        <v>West</v>
      </c>
      <c r="Q110" t="s">
        <v>30</v>
      </c>
      <c r="R110" t="s">
        <v>16</v>
      </c>
      <c r="S110" t="str">
        <f>TEXT(indian_retail_raw_1000[[#This Row],[Order_Date]],"MMM")</f>
        <v>Null</v>
      </c>
    </row>
    <row r="111" spans="1:19" x14ac:dyDescent="0.25">
      <c r="A111" t="s">
        <v>914</v>
      </c>
      <c r="B111" s="1">
        <v>45115</v>
      </c>
      <c r="C111" t="s">
        <v>192</v>
      </c>
      <c r="D111">
        <v>52</v>
      </c>
      <c r="E111" t="s">
        <v>16</v>
      </c>
      <c r="F111" t="s">
        <v>30</v>
      </c>
      <c r="G111" t="s">
        <v>294</v>
      </c>
      <c r="H111">
        <v>2</v>
      </c>
      <c r="I111">
        <v>594</v>
      </c>
      <c r="J111">
        <v>0</v>
      </c>
      <c r="K111" t="s">
        <v>19</v>
      </c>
      <c r="L111" t="s">
        <v>915</v>
      </c>
      <c r="M1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11">
        <v>1188</v>
      </c>
      <c r="O111" t="s">
        <v>45</v>
      </c>
      <c r="P111" t="str">
        <f>_xlfn.IFS(LEFT(indian_retail_raw_1000[[#This Row],[x]],1)="W", "West",LEFT(indian_retail_raw_1000[[#This Row],[x]],1)= "E","East",LEFT(O111,1) = "S", "South",LEFT(O111,1) = "N", "North")</f>
        <v>East</v>
      </c>
      <c r="Q111" t="s">
        <v>30</v>
      </c>
      <c r="R111" t="s">
        <v>16</v>
      </c>
      <c r="S111" t="str">
        <f>TEXT(indian_retail_raw_1000[[#This Row],[Order_Date]],"MMM")</f>
        <v>Jul</v>
      </c>
    </row>
    <row r="112" spans="1:19" x14ac:dyDescent="0.25">
      <c r="A112" t="s">
        <v>109</v>
      </c>
      <c r="B112" s="1">
        <v>45172</v>
      </c>
      <c r="C112" t="s">
        <v>110</v>
      </c>
      <c r="D112">
        <v>28</v>
      </c>
      <c r="E112" t="s">
        <v>16</v>
      </c>
      <c r="F112" t="s">
        <v>35</v>
      </c>
      <c r="G112" t="s">
        <v>111</v>
      </c>
      <c r="H112">
        <v>3</v>
      </c>
      <c r="I112">
        <v>401</v>
      </c>
      <c r="J112">
        <v>0</v>
      </c>
      <c r="K112" t="s">
        <v>50</v>
      </c>
      <c r="L112" t="s">
        <v>20</v>
      </c>
      <c r="M1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12">
        <v>1203</v>
      </c>
      <c r="O112" t="s">
        <v>45</v>
      </c>
      <c r="P112" t="str">
        <f>_xlfn.IFS(LEFT(indian_retail_raw_1000[[#This Row],[x]],1)="W", "West",LEFT(indian_retail_raw_1000[[#This Row],[x]],1)= "E","East",LEFT(O112,1) = "S", "South",LEFT(O112,1) = "N", "North")</f>
        <v>East</v>
      </c>
      <c r="Q112" t="s">
        <v>35</v>
      </c>
      <c r="R112" t="s">
        <v>16</v>
      </c>
      <c r="S112" t="str">
        <f>TEXT(indian_retail_raw_1000[[#This Row],[Order_Date]],"MMM")</f>
        <v>Sep</v>
      </c>
    </row>
    <row r="113" spans="1:19" x14ac:dyDescent="0.25">
      <c r="A113" t="s">
        <v>981</v>
      </c>
      <c r="B113" s="1">
        <v>45201</v>
      </c>
      <c r="C113" t="s">
        <v>102</v>
      </c>
      <c r="D113">
        <v>42</v>
      </c>
      <c r="E113" t="s">
        <v>23</v>
      </c>
      <c r="F113" t="s">
        <v>35</v>
      </c>
      <c r="G113" t="s">
        <v>331</v>
      </c>
      <c r="H113">
        <v>6</v>
      </c>
      <c r="I113">
        <v>225</v>
      </c>
      <c r="J113">
        <v>10</v>
      </c>
      <c r="K113" t="s">
        <v>19</v>
      </c>
      <c r="L113" t="s">
        <v>20</v>
      </c>
      <c r="M1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13">
        <v>1215</v>
      </c>
      <c r="O113" t="s">
        <v>45</v>
      </c>
      <c r="P113" t="str">
        <f>_xlfn.IFS(LEFT(indian_retail_raw_1000[[#This Row],[x]],1)="W", "West",LEFT(indian_retail_raw_1000[[#This Row],[x]],1)= "E","East",LEFT(O113,1) = "S", "South",LEFT(O113,1) = "N", "North")</f>
        <v>East</v>
      </c>
      <c r="Q113" t="s">
        <v>35</v>
      </c>
      <c r="R113" t="s">
        <v>23</v>
      </c>
      <c r="S113" t="str">
        <f>TEXT(indian_retail_raw_1000[[#This Row],[Order_Date]],"MMM")</f>
        <v>Oct</v>
      </c>
    </row>
    <row r="114" spans="1:19" x14ac:dyDescent="0.25">
      <c r="A114" t="s">
        <v>1333</v>
      </c>
      <c r="B114" s="1" t="s">
        <v>1336</v>
      </c>
      <c r="C114" t="s">
        <v>431</v>
      </c>
      <c r="D114">
        <v>27</v>
      </c>
      <c r="E114" t="s">
        <v>23</v>
      </c>
      <c r="F114" t="s">
        <v>30</v>
      </c>
      <c r="G114" t="s">
        <v>224</v>
      </c>
      <c r="H114">
        <v>1</v>
      </c>
      <c r="I114">
        <v>1228</v>
      </c>
      <c r="J114">
        <v>0</v>
      </c>
      <c r="K114" t="s">
        <v>41</v>
      </c>
      <c r="L114" t="s">
        <v>493</v>
      </c>
      <c r="M1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14">
        <v>1228</v>
      </c>
      <c r="O114" t="s">
        <v>21</v>
      </c>
      <c r="P114" t="str">
        <f>_xlfn.IFS(LEFT(indian_retail_raw_1000[[#This Row],[x]],1)="W", "West",LEFT(indian_retail_raw_1000[[#This Row],[x]],1)= "E","East",LEFT(O114,1) = "S", "South",LEFT(O114,1) = "N", "North")</f>
        <v>South</v>
      </c>
      <c r="Q114" t="s">
        <v>30</v>
      </c>
      <c r="R114" t="s">
        <v>23</v>
      </c>
      <c r="S114" t="str">
        <f>TEXT(indian_retail_raw_1000[[#This Row],[Order_Date]],"MMM")</f>
        <v>Null</v>
      </c>
    </row>
    <row r="115" spans="1:19" x14ac:dyDescent="0.25">
      <c r="A115" t="s">
        <v>388</v>
      </c>
      <c r="B115" s="1" t="s">
        <v>1336</v>
      </c>
      <c r="C115" t="s">
        <v>28</v>
      </c>
      <c r="D115">
        <v>33</v>
      </c>
      <c r="E115" t="s">
        <v>16</v>
      </c>
      <c r="F115" t="s">
        <v>30</v>
      </c>
      <c r="G115" t="s">
        <v>218</v>
      </c>
      <c r="H115">
        <v>1</v>
      </c>
      <c r="I115">
        <v>2462</v>
      </c>
      <c r="J115">
        <v>50</v>
      </c>
      <c r="K115" t="s">
        <v>41</v>
      </c>
      <c r="L115" t="s">
        <v>20</v>
      </c>
      <c r="M1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15">
        <v>1231</v>
      </c>
      <c r="O115" t="s">
        <v>21</v>
      </c>
      <c r="P115" t="str">
        <f>_xlfn.IFS(LEFT(indian_retail_raw_1000[[#This Row],[x]],1)="W", "West",LEFT(indian_retail_raw_1000[[#This Row],[x]],1)= "E","East",LEFT(O115,1) = "S", "South",LEFT(O115,1) = "N", "North")</f>
        <v>South</v>
      </c>
      <c r="Q115" t="s">
        <v>30</v>
      </c>
      <c r="R115" t="s">
        <v>16</v>
      </c>
      <c r="S115" t="str">
        <f>TEXT(indian_retail_raw_1000[[#This Row],[Order_Date]],"MMM")</f>
        <v>Null</v>
      </c>
    </row>
    <row r="116" spans="1:19" x14ac:dyDescent="0.25">
      <c r="A116" t="s">
        <v>1166</v>
      </c>
      <c r="B116" s="1">
        <v>45224</v>
      </c>
      <c r="C116" t="s">
        <v>165</v>
      </c>
      <c r="D116">
        <v>47</v>
      </c>
      <c r="E116" t="s">
        <v>16</v>
      </c>
      <c r="F116" t="s">
        <v>17</v>
      </c>
      <c r="G116" t="s">
        <v>186</v>
      </c>
      <c r="H116">
        <v>1</v>
      </c>
      <c r="I116">
        <v>1650</v>
      </c>
      <c r="J116">
        <v>25</v>
      </c>
      <c r="K116" t="s">
        <v>531</v>
      </c>
      <c r="L116" t="s">
        <v>51</v>
      </c>
      <c r="M1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16">
        <v>1237.5</v>
      </c>
      <c r="O116" t="s">
        <v>26</v>
      </c>
      <c r="P116" t="str">
        <f>_xlfn.IFS(LEFT(indian_retail_raw_1000[[#This Row],[x]],1)="W", "West",LEFT(indian_retail_raw_1000[[#This Row],[x]],1)= "E","East",LEFT(O116,1) = "S", "South",LEFT(O116,1) = "N", "North")</f>
        <v>West</v>
      </c>
      <c r="Q116" t="s">
        <v>17</v>
      </c>
      <c r="R116" t="s">
        <v>16</v>
      </c>
      <c r="S116" t="str">
        <f>TEXT(indian_retail_raw_1000[[#This Row],[Order_Date]],"MMM")</f>
        <v>Oct</v>
      </c>
    </row>
    <row r="117" spans="1:19" x14ac:dyDescent="0.25">
      <c r="A117" t="s">
        <v>42</v>
      </c>
      <c r="B117" s="1">
        <v>45017</v>
      </c>
      <c r="C117" t="s">
        <v>43</v>
      </c>
      <c r="D117">
        <v>29</v>
      </c>
      <c r="E117" t="s">
        <v>44</v>
      </c>
      <c r="F117" t="s">
        <v>35</v>
      </c>
      <c r="G117" t="s">
        <v>36</v>
      </c>
      <c r="H117">
        <v>6</v>
      </c>
      <c r="I117">
        <v>1052</v>
      </c>
      <c r="J117">
        <v>80</v>
      </c>
      <c r="K117" t="s">
        <v>19</v>
      </c>
      <c r="L117" t="s">
        <v>20</v>
      </c>
      <c r="M1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17">
        <v>1262.4000000000001</v>
      </c>
      <c r="O117" t="s">
        <v>45</v>
      </c>
      <c r="P117" t="str">
        <f>_xlfn.IFS(LEFT(indian_retail_raw_1000[[#This Row],[x]],1)="W", "West",LEFT(indian_retail_raw_1000[[#This Row],[x]],1)= "E","East",LEFT(O117,1) = "S", "South",LEFT(O117,1) = "N", "North")</f>
        <v>East</v>
      </c>
      <c r="Q117" t="s">
        <v>35</v>
      </c>
      <c r="R117" t="s">
        <v>23</v>
      </c>
      <c r="S117" t="str">
        <f>TEXT(indian_retail_raw_1000[[#This Row],[Order_Date]],"MMM")</f>
        <v>Apr</v>
      </c>
    </row>
    <row r="118" spans="1:19" x14ac:dyDescent="0.25">
      <c r="A118" t="s">
        <v>659</v>
      </c>
      <c r="B118" s="1" t="s">
        <v>1336</v>
      </c>
      <c r="C118" t="s">
        <v>87</v>
      </c>
      <c r="D118">
        <v>34</v>
      </c>
      <c r="E118" t="s">
        <v>16</v>
      </c>
      <c r="F118" t="s">
        <v>30</v>
      </c>
      <c r="G118" t="s">
        <v>294</v>
      </c>
      <c r="H118">
        <v>4</v>
      </c>
      <c r="I118">
        <v>342</v>
      </c>
      <c r="J118">
        <v>5</v>
      </c>
      <c r="K118" t="s">
        <v>89</v>
      </c>
      <c r="L118" t="s">
        <v>51</v>
      </c>
      <c r="M1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18">
        <v>1299.5999999999999</v>
      </c>
      <c r="O118" t="s">
        <v>38</v>
      </c>
      <c r="P118" t="str">
        <f>_xlfn.IFS(LEFT(indian_retail_raw_1000[[#This Row],[x]],1)="W", "West",LEFT(indian_retail_raw_1000[[#This Row],[x]],1)= "E","East",LEFT(O118,1) = "S", "South",LEFT(O118,1) = "N", "North")</f>
        <v>North</v>
      </c>
      <c r="Q118" t="s">
        <v>30</v>
      </c>
      <c r="R118" t="s">
        <v>16</v>
      </c>
      <c r="S118" t="str">
        <f>TEXT(indian_retail_raw_1000[[#This Row],[Order_Date]],"MMM")</f>
        <v>Null</v>
      </c>
    </row>
    <row r="119" spans="1:19" x14ac:dyDescent="0.25">
      <c r="A119" t="s">
        <v>106</v>
      </c>
      <c r="B119" s="1">
        <v>44964</v>
      </c>
      <c r="C119" t="s">
        <v>1336</v>
      </c>
      <c r="D119">
        <v>47</v>
      </c>
      <c r="E119" t="s">
        <v>23</v>
      </c>
      <c r="F119" t="s">
        <v>17</v>
      </c>
      <c r="G119" t="s">
        <v>49</v>
      </c>
      <c r="H119">
        <v>1</v>
      </c>
      <c r="I119">
        <v>1450</v>
      </c>
      <c r="J119">
        <v>10</v>
      </c>
      <c r="K119" t="s">
        <v>19</v>
      </c>
      <c r="L119" t="s">
        <v>107</v>
      </c>
      <c r="M1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19">
        <v>1305</v>
      </c>
      <c r="O119" t="s">
        <v>108</v>
      </c>
      <c r="P119" t="str">
        <f>_xlfn.IFS(LEFT(indian_retail_raw_1000[[#This Row],[x]],1)="W", "West",LEFT(indian_retail_raw_1000[[#This Row],[x]],1)= "E","East",LEFT(O119,1) = "S", "South",LEFT(O119,1) = "N", "North")</f>
        <v>East</v>
      </c>
      <c r="Q119" t="s">
        <v>17</v>
      </c>
      <c r="R119" t="s">
        <v>23</v>
      </c>
      <c r="S119" t="str">
        <f>TEXT(indian_retail_raw_1000[[#This Row],[Order_Date]],"MMM")</f>
        <v>Feb</v>
      </c>
    </row>
    <row r="120" spans="1:19" x14ac:dyDescent="0.25">
      <c r="A120" t="s">
        <v>328</v>
      </c>
      <c r="B120" s="1">
        <v>45089</v>
      </c>
      <c r="C120" t="s">
        <v>66</v>
      </c>
      <c r="E120" t="s">
        <v>16</v>
      </c>
      <c r="F120" t="s">
        <v>35</v>
      </c>
      <c r="G120" t="s">
        <v>36</v>
      </c>
      <c r="H120">
        <v>2</v>
      </c>
      <c r="I120">
        <v>820</v>
      </c>
      <c r="J120">
        <v>20</v>
      </c>
      <c r="K120" t="s">
        <v>19</v>
      </c>
      <c r="L120" t="s">
        <v>20</v>
      </c>
      <c r="M1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0">
        <v>1312</v>
      </c>
      <c r="O120" t="s">
        <v>21</v>
      </c>
      <c r="P120" t="str">
        <f>_xlfn.IFS(LEFT(indian_retail_raw_1000[[#This Row],[x]],1)="W", "West",LEFT(indian_retail_raw_1000[[#This Row],[x]],1)= "E","East",LEFT(O120,1) = "S", "South",LEFT(O120,1) = "N", "North")</f>
        <v>South</v>
      </c>
      <c r="Q120" t="s">
        <v>35</v>
      </c>
      <c r="R120" t="s">
        <v>16</v>
      </c>
      <c r="S120" t="str">
        <f>TEXT(indian_retail_raw_1000[[#This Row],[Order_Date]],"MMM")</f>
        <v>Jun</v>
      </c>
    </row>
    <row r="121" spans="1:19" x14ac:dyDescent="0.25">
      <c r="A121" t="s">
        <v>545</v>
      </c>
      <c r="B121" s="1" t="s">
        <v>1336</v>
      </c>
      <c r="C121" t="s">
        <v>173</v>
      </c>
      <c r="E121" t="s">
        <v>16</v>
      </c>
      <c r="F121" t="s">
        <v>35</v>
      </c>
      <c r="G121" t="s">
        <v>331</v>
      </c>
      <c r="H121">
        <v>8</v>
      </c>
      <c r="I121">
        <v>219</v>
      </c>
      <c r="J121">
        <v>25</v>
      </c>
      <c r="K121" t="s">
        <v>19</v>
      </c>
      <c r="L121" t="s">
        <v>20</v>
      </c>
      <c r="M1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1">
        <v>1314</v>
      </c>
      <c r="O121" t="s">
        <v>45</v>
      </c>
      <c r="P121" t="str">
        <f>_xlfn.IFS(LEFT(indian_retail_raw_1000[[#This Row],[x]],1)="W", "West",LEFT(indian_retail_raw_1000[[#This Row],[x]],1)= "E","East",LEFT(O121,1) = "S", "South",LEFT(O121,1) = "N", "North")</f>
        <v>East</v>
      </c>
      <c r="Q121" t="s">
        <v>35</v>
      </c>
      <c r="R121" t="s">
        <v>16</v>
      </c>
      <c r="S121" t="str">
        <f>TEXT(indian_retail_raw_1000[[#This Row],[Order_Date]],"MMM")</f>
        <v>Null</v>
      </c>
    </row>
    <row r="122" spans="1:19" x14ac:dyDescent="0.25">
      <c r="A122" t="s">
        <v>1279</v>
      </c>
      <c r="B122" s="1">
        <v>45176</v>
      </c>
      <c r="C122" t="s">
        <v>48</v>
      </c>
      <c r="D122">
        <v>31</v>
      </c>
      <c r="E122" t="s">
        <v>16</v>
      </c>
      <c r="F122" t="s">
        <v>35</v>
      </c>
      <c r="G122" t="s">
        <v>111</v>
      </c>
      <c r="H122">
        <v>6</v>
      </c>
      <c r="I122">
        <v>318</v>
      </c>
      <c r="J122">
        <v>30</v>
      </c>
      <c r="K122" t="s">
        <v>83</v>
      </c>
      <c r="L122" t="s">
        <v>20</v>
      </c>
      <c r="M1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2">
        <v>1335.6</v>
      </c>
      <c r="O122" t="s">
        <v>45</v>
      </c>
      <c r="P122" t="str">
        <f>_xlfn.IFS(LEFT(indian_retail_raw_1000[[#This Row],[x]],1)="W", "West",LEFT(indian_retail_raw_1000[[#This Row],[x]],1)= "E","East",LEFT(O122,1) = "S", "South",LEFT(O122,1) = "N", "North")</f>
        <v>East</v>
      </c>
      <c r="Q122" t="s">
        <v>35</v>
      </c>
      <c r="R122" t="s">
        <v>16</v>
      </c>
      <c r="S122" t="str">
        <f>TEXT(indian_retail_raw_1000[[#This Row],[Order_Date]],"MMM")</f>
        <v>Sep</v>
      </c>
    </row>
    <row r="123" spans="1:19" x14ac:dyDescent="0.25">
      <c r="A123" t="s">
        <v>407</v>
      </c>
      <c r="B123" s="1">
        <v>45252</v>
      </c>
      <c r="C123" t="s">
        <v>87</v>
      </c>
      <c r="D123">
        <v>44</v>
      </c>
      <c r="E123" t="s">
        <v>23</v>
      </c>
      <c r="F123" t="s">
        <v>17</v>
      </c>
      <c r="G123" t="s">
        <v>186</v>
      </c>
      <c r="H123">
        <v>1</v>
      </c>
      <c r="I123">
        <v>1500</v>
      </c>
      <c r="J123">
        <v>10</v>
      </c>
      <c r="K123" t="s">
        <v>41</v>
      </c>
      <c r="L123" t="s">
        <v>20</v>
      </c>
      <c r="M1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3">
        <v>1350</v>
      </c>
      <c r="O123" t="s">
        <v>356</v>
      </c>
      <c r="P123" t="str">
        <f>_xlfn.IFS(LEFT(indian_retail_raw_1000[[#This Row],[x]],1)="W", "West",LEFT(indian_retail_raw_1000[[#This Row],[x]],1)= "E","East",LEFT(O123,1) = "S", "South",LEFT(O123,1) = "N", "North")</f>
        <v>East</v>
      </c>
      <c r="Q123" t="s">
        <v>17</v>
      </c>
      <c r="R123" t="s">
        <v>23</v>
      </c>
      <c r="S123" t="str">
        <f>TEXT(indian_retail_raw_1000[[#This Row],[Order_Date]],"MMM")</f>
        <v>Nov</v>
      </c>
    </row>
    <row r="124" spans="1:19" x14ac:dyDescent="0.25">
      <c r="A124" t="s">
        <v>567</v>
      </c>
      <c r="B124" s="1">
        <v>44938</v>
      </c>
      <c r="C124" t="s">
        <v>165</v>
      </c>
      <c r="D124">
        <v>28</v>
      </c>
      <c r="E124" t="s">
        <v>16</v>
      </c>
      <c r="F124" t="s">
        <v>30</v>
      </c>
      <c r="G124" t="s">
        <v>268</v>
      </c>
      <c r="H124">
        <v>1</v>
      </c>
      <c r="I124">
        <v>1429</v>
      </c>
      <c r="J124">
        <v>5</v>
      </c>
      <c r="K124" t="s">
        <v>115</v>
      </c>
      <c r="L124" t="s">
        <v>20</v>
      </c>
      <c r="M1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4">
        <v>1357.55</v>
      </c>
      <c r="O124" t="s">
        <v>26</v>
      </c>
      <c r="P124" t="str">
        <f>_xlfn.IFS(LEFT(indian_retail_raw_1000[[#This Row],[x]],1)="W", "West",LEFT(indian_retail_raw_1000[[#This Row],[x]],1)= "E","East",LEFT(O124,1) = "S", "South",LEFT(O124,1) = "N", "North")</f>
        <v>West</v>
      </c>
      <c r="Q124" t="s">
        <v>30</v>
      </c>
      <c r="R124" t="s">
        <v>16</v>
      </c>
      <c r="S124" t="str">
        <f>TEXT(indian_retail_raw_1000[[#This Row],[Order_Date]],"MMM")</f>
        <v>Jan</v>
      </c>
    </row>
    <row r="125" spans="1:19" x14ac:dyDescent="0.25">
      <c r="A125" t="s">
        <v>519</v>
      </c>
      <c r="B125" s="1">
        <v>44990</v>
      </c>
      <c r="C125" t="s">
        <v>192</v>
      </c>
      <c r="D125">
        <v>62</v>
      </c>
      <c r="E125" t="s">
        <v>16</v>
      </c>
      <c r="F125" t="s">
        <v>35</v>
      </c>
      <c r="G125" t="s">
        <v>257</v>
      </c>
      <c r="H125">
        <v>2</v>
      </c>
      <c r="I125">
        <v>986</v>
      </c>
      <c r="J125">
        <v>30</v>
      </c>
      <c r="K125" t="s">
        <v>25</v>
      </c>
      <c r="L125" t="s">
        <v>56</v>
      </c>
      <c r="M1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25">
        <v>1380.4</v>
      </c>
      <c r="O125" t="s">
        <v>57</v>
      </c>
      <c r="P125" t="str">
        <f>_xlfn.IFS(LEFT(indian_retail_raw_1000[[#This Row],[x]],1)="W", "West",LEFT(indian_retail_raw_1000[[#This Row],[x]],1)= "E","East",LEFT(O125,1) = "S", "South",LEFT(O125,1) = "N", "North")</f>
        <v>West</v>
      </c>
      <c r="Q125" t="s">
        <v>35</v>
      </c>
      <c r="R125" t="s">
        <v>16</v>
      </c>
      <c r="S125" t="str">
        <f>TEXT(indian_retail_raw_1000[[#This Row],[Order_Date]],"MMM")</f>
        <v>Mar</v>
      </c>
    </row>
    <row r="126" spans="1:19" x14ac:dyDescent="0.25">
      <c r="A126" t="s">
        <v>1253</v>
      </c>
      <c r="B126" s="1" t="s">
        <v>1336</v>
      </c>
      <c r="C126" t="s">
        <v>587</v>
      </c>
      <c r="D126">
        <v>30</v>
      </c>
      <c r="E126" t="s">
        <v>16</v>
      </c>
      <c r="F126" t="s">
        <v>17</v>
      </c>
      <c r="G126" t="s">
        <v>49</v>
      </c>
      <c r="H126">
        <v>1</v>
      </c>
      <c r="I126">
        <v>1550</v>
      </c>
      <c r="J126">
        <v>10</v>
      </c>
      <c r="K126" t="s">
        <v>50</v>
      </c>
      <c r="L126" t="s">
        <v>915</v>
      </c>
      <c r="M1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26">
        <v>1395</v>
      </c>
      <c r="O126" t="s">
        <v>38</v>
      </c>
      <c r="P126" t="str">
        <f>_xlfn.IFS(LEFT(indian_retail_raw_1000[[#This Row],[x]],1)="W", "West",LEFT(indian_retail_raw_1000[[#This Row],[x]],1)= "E","East",LEFT(O126,1) = "S", "South",LEFT(O126,1) = "N", "North")</f>
        <v>North</v>
      </c>
      <c r="Q126" t="s">
        <v>17</v>
      </c>
      <c r="R126" t="s">
        <v>16</v>
      </c>
      <c r="S126" t="str">
        <f>TEXT(indian_retail_raw_1000[[#This Row],[Order_Date]],"MMM")</f>
        <v>Null</v>
      </c>
    </row>
    <row r="127" spans="1:19" x14ac:dyDescent="0.25">
      <c r="A127" t="s">
        <v>461</v>
      </c>
      <c r="B127" s="1" t="s">
        <v>1336</v>
      </c>
      <c r="C127" t="s">
        <v>156</v>
      </c>
      <c r="D127">
        <v>55</v>
      </c>
      <c r="E127" t="s">
        <v>23</v>
      </c>
      <c r="F127" t="s">
        <v>35</v>
      </c>
      <c r="G127" t="s">
        <v>203</v>
      </c>
      <c r="H127">
        <v>2</v>
      </c>
      <c r="I127">
        <v>944</v>
      </c>
      <c r="J127">
        <v>25</v>
      </c>
      <c r="K127" t="s">
        <v>19</v>
      </c>
      <c r="L127" t="s">
        <v>20</v>
      </c>
      <c r="M1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7">
        <v>1416</v>
      </c>
      <c r="O127" t="s">
        <v>21</v>
      </c>
      <c r="P127" t="str">
        <f>_xlfn.IFS(LEFT(indian_retail_raw_1000[[#This Row],[x]],1)="W", "West",LEFT(indian_retail_raw_1000[[#This Row],[x]],1)= "E","East",LEFT(O127,1) = "S", "South",LEFT(O127,1) = "N", "North")</f>
        <v>South</v>
      </c>
      <c r="Q127" t="s">
        <v>35</v>
      </c>
      <c r="R127" t="s">
        <v>23</v>
      </c>
      <c r="S127" t="str">
        <f>TEXT(indian_retail_raw_1000[[#This Row],[Order_Date]],"MMM")</f>
        <v>Null</v>
      </c>
    </row>
    <row r="128" spans="1:19" x14ac:dyDescent="0.25">
      <c r="A128" t="s">
        <v>125</v>
      </c>
      <c r="B128" s="1">
        <v>45064</v>
      </c>
      <c r="C128" t="s">
        <v>66</v>
      </c>
      <c r="D128">
        <v>62</v>
      </c>
      <c r="E128" t="s">
        <v>23</v>
      </c>
      <c r="F128" t="s">
        <v>35</v>
      </c>
      <c r="G128" t="s">
        <v>126</v>
      </c>
      <c r="H128">
        <v>4</v>
      </c>
      <c r="I128">
        <v>357</v>
      </c>
      <c r="K128" t="s">
        <v>41</v>
      </c>
      <c r="L128" t="s">
        <v>20</v>
      </c>
      <c r="M1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8">
        <v>1428</v>
      </c>
      <c r="O128" t="s">
        <v>38</v>
      </c>
      <c r="P128" t="str">
        <f>_xlfn.IFS(LEFT(indian_retail_raw_1000[[#This Row],[x]],1)="W", "West",LEFT(indian_retail_raw_1000[[#This Row],[x]],1)= "E","East",LEFT(O128,1) = "S", "South",LEFT(O128,1) = "N", "North")</f>
        <v>North</v>
      </c>
      <c r="Q128" t="s">
        <v>35</v>
      </c>
      <c r="R128" t="s">
        <v>23</v>
      </c>
      <c r="S128" t="str">
        <f>TEXT(indian_retail_raw_1000[[#This Row],[Order_Date]],"MMM")</f>
        <v>May</v>
      </c>
    </row>
    <row r="129" spans="1:19" x14ac:dyDescent="0.25">
      <c r="A129" t="s">
        <v>1203</v>
      </c>
      <c r="B129" s="1">
        <v>45261</v>
      </c>
      <c r="C129" t="s">
        <v>43</v>
      </c>
      <c r="D129">
        <v>52</v>
      </c>
      <c r="E129" t="s">
        <v>23</v>
      </c>
      <c r="F129" t="s">
        <v>30</v>
      </c>
      <c r="G129" t="s">
        <v>294</v>
      </c>
      <c r="H129">
        <v>4</v>
      </c>
      <c r="I129">
        <v>741</v>
      </c>
      <c r="J129">
        <v>50</v>
      </c>
      <c r="K129" t="s">
        <v>41</v>
      </c>
      <c r="L129" t="s">
        <v>20</v>
      </c>
      <c r="M1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9">
        <v>1482</v>
      </c>
      <c r="O129" t="s">
        <v>26</v>
      </c>
      <c r="P129" t="str">
        <f>_xlfn.IFS(LEFT(indian_retail_raw_1000[[#This Row],[x]],1)="W", "West",LEFT(indian_retail_raw_1000[[#This Row],[x]],1)= "E","East",LEFT(O129,1) = "S", "South",LEFT(O129,1) = "N", "North")</f>
        <v>West</v>
      </c>
      <c r="Q129" t="s">
        <v>30</v>
      </c>
      <c r="R129" t="s">
        <v>23</v>
      </c>
      <c r="S129" t="str">
        <f>TEXT(indian_retail_raw_1000[[#This Row],[Order_Date]],"MMM")</f>
        <v>Dec</v>
      </c>
    </row>
    <row r="130" spans="1:19" x14ac:dyDescent="0.25">
      <c r="A130" t="s">
        <v>713</v>
      </c>
      <c r="B130" s="1" t="s">
        <v>1336</v>
      </c>
      <c r="C130" t="s">
        <v>217</v>
      </c>
      <c r="D130">
        <v>48</v>
      </c>
      <c r="E130" t="s">
        <v>23</v>
      </c>
      <c r="F130" t="s">
        <v>17</v>
      </c>
      <c r="G130" t="s">
        <v>186</v>
      </c>
      <c r="H130">
        <v>1</v>
      </c>
      <c r="I130">
        <v>1650</v>
      </c>
      <c r="J130">
        <v>10</v>
      </c>
      <c r="K130" t="s">
        <v>41</v>
      </c>
      <c r="L130" t="s">
        <v>51</v>
      </c>
      <c r="M1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30">
        <v>1485</v>
      </c>
      <c r="O130" t="s">
        <v>21</v>
      </c>
      <c r="P130" t="str">
        <f>_xlfn.IFS(LEFT(indian_retail_raw_1000[[#This Row],[x]],1)="W", "West",LEFT(indian_retail_raw_1000[[#This Row],[x]],1)= "E","East",LEFT(O130,1) = "S", "South",LEFT(O130,1) = "N", "North")</f>
        <v>South</v>
      </c>
      <c r="Q130" t="s">
        <v>17</v>
      </c>
      <c r="R130" t="s">
        <v>23</v>
      </c>
      <c r="S130" t="str">
        <f>TEXT(indian_retail_raw_1000[[#This Row],[Order_Date]],"MMM")</f>
        <v>Null</v>
      </c>
    </row>
    <row r="131" spans="1:19" x14ac:dyDescent="0.25">
      <c r="A131" t="s">
        <v>877</v>
      </c>
      <c r="B131" s="1" t="s">
        <v>1336</v>
      </c>
      <c r="C131" t="s">
        <v>15</v>
      </c>
      <c r="D131">
        <v>18</v>
      </c>
      <c r="E131" t="s">
        <v>16</v>
      </c>
      <c r="F131" t="s">
        <v>35</v>
      </c>
      <c r="G131" t="s">
        <v>213</v>
      </c>
      <c r="H131">
        <v>4</v>
      </c>
      <c r="I131">
        <v>392</v>
      </c>
      <c r="J131">
        <v>5</v>
      </c>
      <c r="K131" t="s">
        <v>41</v>
      </c>
      <c r="L131" t="s">
        <v>56</v>
      </c>
      <c r="M1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31">
        <v>1489.6</v>
      </c>
      <c r="O131" t="s">
        <v>21</v>
      </c>
      <c r="P131" t="str">
        <f>_xlfn.IFS(LEFT(indian_retail_raw_1000[[#This Row],[x]],1)="W", "West",LEFT(indian_retail_raw_1000[[#This Row],[x]],1)= "E","East",LEFT(O131,1) = "S", "South",LEFT(O131,1) = "N", "North")</f>
        <v>South</v>
      </c>
      <c r="Q131" t="s">
        <v>35</v>
      </c>
      <c r="R131" t="s">
        <v>16</v>
      </c>
      <c r="S131" t="str">
        <f>TEXT(indian_retail_raw_1000[[#This Row],[Order_Date]],"MMM")</f>
        <v>Null</v>
      </c>
    </row>
    <row r="132" spans="1:19" x14ac:dyDescent="0.25">
      <c r="A132" t="s">
        <v>436</v>
      </c>
      <c r="B132" s="1">
        <v>45289</v>
      </c>
      <c r="C132" t="s">
        <v>165</v>
      </c>
      <c r="D132">
        <v>33</v>
      </c>
      <c r="E132" t="s">
        <v>16</v>
      </c>
      <c r="F132" t="s">
        <v>17</v>
      </c>
      <c r="G132" t="s">
        <v>80</v>
      </c>
      <c r="H132">
        <v>1</v>
      </c>
      <c r="I132">
        <v>7450</v>
      </c>
      <c r="J132">
        <v>80</v>
      </c>
      <c r="K132" t="s">
        <v>19</v>
      </c>
      <c r="L132" t="s">
        <v>20</v>
      </c>
      <c r="M1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32">
        <v>1490</v>
      </c>
      <c r="O132" t="s">
        <v>38</v>
      </c>
      <c r="P132" t="str">
        <f>_xlfn.IFS(LEFT(indian_retail_raw_1000[[#This Row],[x]],1)="W", "West",LEFT(indian_retail_raw_1000[[#This Row],[x]],1)= "E","East",LEFT(O132,1) = "S", "South",LEFT(O132,1) = "N", "North")</f>
        <v>North</v>
      </c>
      <c r="Q132" t="s">
        <v>17</v>
      </c>
      <c r="R132" t="s">
        <v>16</v>
      </c>
      <c r="S132" t="str">
        <f>TEXT(indian_retail_raw_1000[[#This Row],[Order_Date]],"MMM")</f>
        <v>Dec</v>
      </c>
    </row>
    <row r="133" spans="1:19" x14ac:dyDescent="0.25">
      <c r="A133" t="s">
        <v>546</v>
      </c>
      <c r="B133" s="1">
        <v>45231</v>
      </c>
      <c r="C133" t="s">
        <v>217</v>
      </c>
      <c r="D133">
        <v>61</v>
      </c>
      <c r="E133" t="s">
        <v>23</v>
      </c>
      <c r="F133" t="s">
        <v>291</v>
      </c>
      <c r="G133" t="s">
        <v>492</v>
      </c>
      <c r="H133">
        <v>2</v>
      </c>
      <c r="I133">
        <v>1500</v>
      </c>
      <c r="J133">
        <v>50</v>
      </c>
      <c r="K133" t="s">
        <v>25</v>
      </c>
      <c r="L133" t="s">
        <v>20</v>
      </c>
      <c r="M1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33">
        <v>1500</v>
      </c>
      <c r="O133" t="s">
        <v>167</v>
      </c>
      <c r="P133" t="str">
        <f>_xlfn.IFS(LEFT(indian_retail_raw_1000[[#This Row],[x]],1)="W", "West",LEFT(indian_retail_raw_1000[[#This Row],[x]],1)= "E","East",LEFT(O133,1) = "S", "South",LEFT(O133,1) = "N", "North")</f>
        <v>North</v>
      </c>
      <c r="Q133" t="s">
        <v>17</v>
      </c>
      <c r="R133" t="s">
        <v>23</v>
      </c>
      <c r="S133" t="str">
        <f>TEXT(indian_retail_raw_1000[[#This Row],[Order_Date]],"MMM")</f>
        <v>Nov</v>
      </c>
    </row>
    <row r="134" spans="1:19" x14ac:dyDescent="0.25">
      <c r="A134" t="s">
        <v>704</v>
      </c>
      <c r="B134" s="1" t="s">
        <v>1336</v>
      </c>
      <c r="C134" t="s">
        <v>128</v>
      </c>
      <c r="D134">
        <v>59</v>
      </c>
      <c r="E134" t="s">
        <v>44</v>
      </c>
      <c r="F134" t="s">
        <v>35</v>
      </c>
      <c r="G134" t="s">
        <v>213</v>
      </c>
      <c r="H134">
        <v>5</v>
      </c>
      <c r="I134">
        <v>504</v>
      </c>
      <c r="J134">
        <v>40</v>
      </c>
      <c r="K134" t="s">
        <v>89</v>
      </c>
      <c r="L134" t="s">
        <v>51</v>
      </c>
      <c r="M1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34">
        <v>1512</v>
      </c>
      <c r="O134" t="s">
        <v>21</v>
      </c>
      <c r="P134" t="str">
        <f>_xlfn.IFS(LEFT(indian_retail_raw_1000[[#This Row],[x]],1)="W", "West",LEFT(indian_retail_raw_1000[[#This Row],[x]],1)= "E","East",LEFT(O134,1) = "S", "South",LEFT(O134,1) = "N", "North")</f>
        <v>South</v>
      </c>
      <c r="Q134" t="s">
        <v>35</v>
      </c>
      <c r="R134" t="s">
        <v>23</v>
      </c>
      <c r="S134" t="str">
        <f>TEXT(indian_retail_raw_1000[[#This Row],[Order_Date]],"MMM")</f>
        <v>Null</v>
      </c>
    </row>
    <row r="135" spans="1:19" x14ac:dyDescent="0.25">
      <c r="A135" t="s">
        <v>1060</v>
      </c>
      <c r="B135" s="1">
        <v>45231</v>
      </c>
      <c r="C135" t="s">
        <v>79</v>
      </c>
      <c r="D135">
        <v>60</v>
      </c>
      <c r="E135" t="s">
        <v>16</v>
      </c>
      <c r="F135" t="s">
        <v>35</v>
      </c>
      <c r="G135" t="s">
        <v>147</v>
      </c>
      <c r="H135">
        <v>3</v>
      </c>
      <c r="I135">
        <v>506</v>
      </c>
      <c r="J135">
        <v>0</v>
      </c>
      <c r="K135" t="s">
        <v>25</v>
      </c>
      <c r="L135" t="s">
        <v>56</v>
      </c>
      <c r="M1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35">
        <v>1518</v>
      </c>
      <c r="O135" t="s">
        <v>295</v>
      </c>
      <c r="P135" t="str">
        <f>_xlfn.IFS(LEFT(indian_retail_raw_1000[[#This Row],[x]],1)="W", "West",LEFT(indian_retail_raw_1000[[#This Row],[x]],1)= "E","East",LEFT(O135,1) = "S", "South",LEFT(O135,1) = "N", "North")</f>
        <v>East</v>
      </c>
      <c r="Q135" t="s">
        <v>35</v>
      </c>
      <c r="R135" t="s">
        <v>16</v>
      </c>
      <c r="S135" t="str">
        <f>TEXT(indian_retail_raw_1000[[#This Row],[Order_Date]],"MMM")</f>
        <v>Nov</v>
      </c>
    </row>
    <row r="136" spans="1:19" x14ac:dyDescent="0.25">
      <c r="A136" t="s">
        <v>1147</v>
      </c>
      <c r="B136" s="1">
        <v>44997</v>
      </c>
      <c r="C136" t="s">
        <v>156</v>
      </c>
      <c r="D136">
        <v>31</v>
      </c>
      <c r="E136" t="s">
        <v>23</v>
      </c>
      <c r="F136" t="s">
        <v>35</v>
      </c>
      <c r="G136" t="s">
        <v>331</v>
      </c>
      <c r="H136">
        <v>8</v>
      </c>
      <c r="I136">
        <v>380</v>
      </c>
      <c r="J136">
        <v>50</v>
      </c>
      <c r="K136" t="s">
        <v>41</v>
      </c>
      <c r="L136" t="s">
        <v>20</v>
      </c>
      <c r="M1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36">
        <v>1520</v>
      </c>
      <c r="O136" t="s">
        <v>45</v>
      </c>
      <c r="P136" t="str">
        <f>_xlfn.IFS(LEFT(indian_retail_raw_1000[[#This Row],[x]],1)="W", "West",LEFT(indian_retail_raw_1000[[#This Row],[x]],1)= "E","East",LEFT(O136,1) = "S", "South",LEFT(O136,1) = "N", "North")</f>
        <v>East</v>
      </c>
      <c r="Q136" t="s">
        <v>35</v>
      </c>
      <c r="R136" t="s">
        <v>23</v>
      </c>
      <c r="S136" t="str">
        <f>TEXT(indian_retail_raw_1000[[#This Row],[Order_Date]],"MMM")</f>
        <v>Mar</v>
      </c>
    </row>
    <row r="137" spans="1:19" x14ac:dyDescent="0.25">
      <c r="A137" t="s">
        <v>1052</v>
      </c>
      <c r="B137" s="1">
        <v>45048</v>
      </c>
      <c r="C137" t="s">
        <v>110</v>
      </c>
      <c r="D137">
        <v>62</v>
      </c>
      <c r="E137" t="s">
        <v>16</v>
      </c>
      <c r="F137" t="s">
        <v>30</v>
      </c>
      <c r="G137" t="s">
        <v>268</v>
      </c>
      <c r="H137">
        <v>3</v>
      </c>
      <c r="I137">
        <v>846</v>
      </c>
      <c r="J137">
        <v>40</v>
      </c>
      <c r="K137" t="s">
        <v>41</v>
      </c>
      <c r="L137" t="s">
        <v>20</v>
      </c>
      <c r="M1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37">
        <v>1522.8</v>
      </c>
      <c r="O137" t="s">
        <v>21</v>
      </c>
      <c r="P137" t="str">
        <f>_xlfn.IFS(LEFT(indian_retail_raw_1000[[#This Row],[x]],1)="W", "West",LEFT(indian_retail_raw_1000[[#This Row],[x]],1)= "E","East",LEFT(O137,1) = "S", "South",LEFT(O137,1) = "N", "North")</f>
        <v>South</v>
      </c>
      <c r="Q137" t="s">
        <v>30</v>
      </c>
      <c r="R137" t="s">
        <v>16</v>
      </c>
      <c r="S137" t="str">
        <f>TEXT(indian_retail_raw_1000[[#This Row],[Order_Date]],"MMM")</f>
        <v>May</v>
      </c>
    </row>
    <row r="138" spans="1:19" x14ac:dyDescent="0.25">
      <c r="A138" t="s">
        <v>817</v>
      </c>
      <c r="B138" s="1">
        <v>45174</v>
      </c>
      <c r="C138" t="s">
        <v>217</v>
      </c>
      <c r="D138">
        <v>57</v>
      </c>
      <c r="E138" t="s">
        <v>23</v>
      </c>
      <c r="F138" t="s">
        <v>30</v>
      </c>
      <c r="G138" t="s">
        <v>235</v>
      </c>
      <c r="H138">
        <v>2</v>
      </c>
      <c r="I138">
        <v>1529</v>
      </c>
      <c r="J138">
        <v>30</v>
      </c>
      <c r="K138" t="s">
        <v>19</v>
      </c>
      <c r="L138" t="s">
        <v>51</v>
      </c>
      <c r="M1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38">
        <v>1529</v>
      </c>
      <c r="O138" t="s">
        <v>26</v>
      </c>
      <c r="P138" t="str">
        <f>_xlfn.IFS(LEFT(indian_retail_raw_1000[[#This Row],[x]],1)="W", "West",LEFT(indian_retail_raw_1000[[#This Row],[x]],1)= "E","East",LEFT(O138,1) = "S", "South",LEFT(O138,1) = "N", "North")</f>
        <v>West</v>
      </c>
      <c r="Q138" t="s">
        <v>30</v>
      </c>
      <c r="R138" t="s">
        <v>23</v>
      </c>
      <c r="S138" t="str">
        <f>TEXT(indian_retail_raw_1000[[#This Row],[Order_Date]],"MMM")</f>
        <v>Sep</v>
      </c>
    </row>
    <row r="139" spans="1:19" x14ac:dyDescent="0.25">
      <c r="A139" t="s">
        <v>1239</v>
      </c>
      <c r="B139" s="1">
        <v>44956</v>
      </c>
      <c r="C139" t="s">
        <v>243</v>
      </c>
      <c r="D139">
        <v>31</v>
      </c>
      <c r="E139" t="s">
        <v>23</v>
      </c>
      <c r="F139" t="s">
        <v>35</v>
      </c>
      <c r="G139" t="s">
        <v>126</v>
      </c>
      <c r="H139">
        <v>8</v>
      </c>
      <c r="I139">
        <v>393</v>
      </c>
      <c r="J139">
        <v>50</v>
      </c>
      <c r="K139" t="s">
        <v>19</v>
      </c>
      <c r="L139" t="s">
        <v>51</v>
      </c>
      <c r="M1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39">
        <v>1572</v>
      </c>
      <c r="O139" t="s">
        <v>38</v>
      </c>
      <c r="P139" t="str">
        <f>_xlfn.IFS(LEFT(indian_retail_raw_1000[[#This Row],[x]],1)="W", "West",LEFT(indian_retail_raw_1000[[#This Row],[x]],1)= "E","East",LEFT(O139,1) = "S", "South",LEFT(O139,1) = "N", "North")</f>
        <v>North</v>
      </c>
      <c r="Q139" t="s">
        <v>35</v>
      </c>
      <c r="R139" t="s">
        <v>23</v>
      </c>
      <c r="S139" t="str">
        <f>TEXT(indian_retail_raw_1000[[#This Row],[Order_Date]],"MMM")</f>
        <v>Jan</v>
      </c>
    </row>
    <row r="140" spans="1:19" x14ac:dyDescent="0.25">
      <c r="A140" t="s">
        <v>983</v>
      </c>
      <c r="B140" s="1">
        <v>44990</v>
      </c>
      <c r="C140" t="s">
        <v>87</v>
      </c>
      <c r="D140">
        <v>52</v>
      </c>
      <c r="E140" t="s">
        <v>23</v>
      </c>
      <c r="F140" t="s">
        <v>35</v>
      </c>
      <c r="G140" t="s">
        <v>331</v>
      </c>
      <c r="H140">
        <v>6</v>
      </c>
      <c r="I140">
        <v>309</v>
      </c>
      <c r="J140">
        <v>15</v>
      </c>
      <c r="K140" t="s">
        <v>25</v>
      </c>
      <c r="L140" t="s">
        <v>449</v>
      </c>
      <c r="M1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0">
        <v>1575.9</v>
      </c>
      <c r="O140" t="s">
        <v>45</v>
      </c>
      <c r="P140" t="str">
        <f>_xlfn.IFS(LEFT(indian_retail_raw_1000[[#This Row],[x]],1)="W", "West",LEFT(indian_retail_raw_1000[[#This Row],[x]],1)= "E","East",LEFT(O140,1) = "S", "South",LEFT(O140,1) = "N", "North")</f>
        <v>East</v>
      </c>
      <c r="Q140" t="s">
        <v>35</v>
      </c>
      <c r="R140" t="s">
        <v>23</v>
      </c>
      <c r="S140" t="str">
        <f>TEXT(indian_retail_raw_1000[[#This Row],[Order_Date]],"MMM")</f>
        <v>Mar</v>
      </c>
    </row>
    <row r="141" spans="1:19" x14ac:dyDescent="0.25">
      <c r="A141" t="s">
        <v>469</v>
      </c>
      <c r="B141" s="1" t="s">
        <v>1336</v>
      </c>
      <c r="C141" t="s">
        <v>28</v>
      </c>
      <c r="D141">
        <v>27</v>
      </c>
      <c r="E141" t="s">
        <v>73</v>
      </c>
      <c r="F141" t="s">
        <v>35</v>
      </c>
      <c r="G141" t="s">
        <v>139</v>
      </c>
      <c r="H141">
        <v>6</v>
      </c>
      <c r="I141">
        <v>532</v>
      </c>
      <c r="J141">
        <v>50</v>
      </c>
      <c r="K141" t="s">
        <v>19</v>
      </c>
      <c r="L141" t="s">
        <v>20</v>
      </c>
      <c r="M1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1">
        <v>1596</v>
      </c>
      <c r="O141" t="s">
        <v>45</v>
      </c>
      <c r="P141" t="str">
        <f>_xlfn.IFS(LEFT(indian_retail_raw_1000[[#This Row],[x]],1)="W", "West",LEFT(indian_retail_raw_1000[[#This Row],[x]],1)= "E","East",LEFT(O141,1) = "S", "South",LEFT(O141,1) = "N", "North")</f>
        <v>East</v>
      </c>
      <c r="Q141" t="s">
        <v>35</v>
      </c>
      <c r="R141" t="s">
        <v>23</v>
      </c>
      <c r="S141" t="str">
        <f>TEXT(indian_retail_raw_1000[[#This Row],[Order_Date]],"MMM")</f>
        <v>Null</v>
      </c>
    </row>
    <row r="142" spans="1:19" x14ac:dyDescent="0.25">
      <c r="A142" t="s">
        <v>619</v>
      </c>
      <c r="B142" s="1">
        <v>45235</v>
      </c>
      <c r="C142" t="s">
        <v>48</v>
      </c>
      <c r="D142">
        <v>30</v>
      </c>
      <c r="E142" t="s">
        <v>16</v>
      </c>
      <c r="F142" t="s">
        <v>30</v>
      </c>
      <c r="G142" t="s">
        <v>294</v>
      </c>
      <c r="H142">
        <v>4</v>
      </c>
      <c r="I142">
        <v>571</v>
      </c>
      <c r="J142">
        <v>30</v>
      </c>
      <c r="K142" t="s">
        <v>19</v>
      </c>
      <c r="L142" t="s">
        <v>20</v>
      </c>
      <c r="M1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2">
        <v>1598.8</v>
      </c>
      <c r="O142" t="s">
        <v>149</v>
      </c>
      <c r="P142" t="str">
        <f>_xlfn.IFS(LEFT(indian_retail_raw_1000[[#This Row],[x]],1)="W", "West",LEFT(indian_retail_raw_1000[[#This Row],[x]],1)= "E","East",LEFT(O142,1) = "S", "South",LEFT(O142,1) = "N", "North")</f>
        <v>West</v>
      </c>
      <c r="Q142" t="s">
        <v>30</v>
      </c>
      <c r="R142" t="s">
        <v>16</v>
      </c>
      <c r="S142" t="str">
        <f>TEXT(indian_retail_raw_1000[[#This Row],[Order_Date]],"MMM")</f>
        <v>Nov</v>
      </c>
    </row>
    <row r="143" spans="1:19" x14ac:dyDescent="0.25">
      <c r="A143" t="s">
        <v>491</v>
      </c>
      <c r="B143" s="1" t="s">
        <v>1336</v>
      </c>
      <c r="C143" t="s">
        <v>152</v>
      </c>
      <c r="D143">
        <v>27</v>
      </c>
      <c r="E143" t="s">
        <v>16</v>
      </c>
      <c r="F143" t="s">
        <v>17</v>
      </c>
      <c r="G143" t="s">
        <v>492</v>
      </c>
      <c r="H143">
        <v>1</v>
      </c>
      <c r="I143">
        <v>3200</v>
      </c>
      <c r="J143">
        <v>50</v>
      </c>
      <c r="K143" t="s">
        <v>50</v>
      </c>
      <c r="L143" t="s">
        <v>493</v>
      </c>
      <c r="M1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43">
        <v>1600</v>
      </c>
      <c r="O143" t="s">
        <v>38</v>
      </c>
      <c r="P143" t="str">
        <f>_xlfn.IFS(LEFT(indian_retail_raw_1000[[#This Row],[x]],1)="W", "West",LEFT(indian_retail_raw_1000[[#This Row],[x]],1)= "E","East",LEFT(O143,1) = "S", "South",LEFT(O143,1) = "N", "North")</f>
        <v>North</v>
      </c>
      <c r="Q143" t="s">
        <v>17</v>
      </c>
      <c r="R143" t="s">
        <v>16</v>
      </c>
      <c r="S143" t="str">
        <f>TEXT(indian_retail_raw_1000[[#This Row],[Order_Date]],"MMM")</f>
        <v>Null</v>
      </c>
    </row>
    <row r="144" spans="1:19" x14ac:dyDescent="0.25">
      <c r="A144" t="s">
        <v>867</v>
      </c>
      <c r="B144" s="1">
        <v>45117</v>
      </c>
      <c r="C144" t="s">
        <v>28</v>
      </c>
      <c r="D144">
        <v>26</v>
      </c>
      <c r="E144" t="s">
        <v>16</v>
      </c>
      <c r="F144" t="s">
        <v>35</v>
      </c>
      <c r="G144" t="s">
        <v>36</v>
      </c>
      <c r="H144">
        <v>3</v>
      </c>
      <c r="I144">
        <v>536</v>
      </c>
      <c r="K144" t="s">
        <v>50</v>
      </c>
      <c r="L144" t="s">
        <v>20</v>
      </c>
      <c r="M1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4">
        <v>1608</v>
      </c>
      <c r="O144" t="s">
        <v>26</v>
      </c>
      <c r="P144" t="str">
        <f>_xlfn.IFS(LEFT(indian_retail_raw_1000[[#This Row],[x]],1)="W", "West",LEFT(indian_retail_raw_1000[[#This Row],[x]],1)= "E","East",LEFT(O144,1) = "S", "South",LEFT(O144,1) = "N", "North")</f>
        <v>West</v>
      </c>
      <c r="Q144" t="s">
        <v>35</v>
      </c>
      <c r="R144" t="s">
        <v>16</v>
      </c>
      <c r="S144" t="str">
        <f>TEXT(indian_retail_raw_1000[[#This Row],[Order_Date]],"MMM")</f>
        <v>Jul</v>
      </c>
    </row>
    <row r="145" spans="1:19" x14ac:dyDescent="0.25">
      <c r="A145" t="s">
        <v>816</v>
      </c>
      <c r="B145" s="1">
        <v>45275</v>
      </c>
      <c r="C145" t="s">
        <v>265</v>
      </c>
      <c r="D145">
        <v>5</v>
      </c>
      <c r="E145" t="s">
        <v>44</v>
      </c>
      <c r="F145" t="s">
        <v>54</v>
      </c>
      <c r="G145" t="s">
        <v>348</v>
      </c>
      <c r="H145">
        <v>1</v>
      </c>
      <c r="I145">
        <v>1800</v>
      </c>
      <c r="J145">
        <v>10</v>
      </c>
      <c r="K145" t="s">
        <v>19</v>
      </c>
      <c r="L145" t="s">
        <v>20</v>
      </c>
      <c r="M1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5">
        <v>1620</v>
      </c>
      <c r="O145" t="s">
        <v>38</v>
      </c>
      <c r="P145" t="str">
        <f>_xlfn.IFS(LEFT(indian_retail_raw_1000[[#This Row],[x]],1)="W", "West",LEFT(indian_retail_raw_1000[[#This Row],[x]],1)= "E","East",LEFT(O145,1) = "S", "South",LEFT(O145,1) = "N", "North")</f>
        <v>North</v>
      </c>
      <c r="Q145" t="s">
        <v>54</v>
      </c>
      <c r="R145" t="s">
        <v>23</v>
      </c>
      <c r="S145" t="str">
        <f>TEXT(indian_retail_raw_1000[[#This Row],[Order_Date]],"MMM")</f>
        <v>Dec</v>
      </c>
    </row>
    <row r="146" spans="1:19" x14ac:dyDescent="0.25">
      <c r="A146" t="s">
        <v>885</v>
      </c>
      <c r="B146" s="1" t="s">
        <v>1336</v>
      </c>
      <c r="C146" t="s">
        <v>192</v>
      </c>
      <c r="D146">
        <v>27</v>
      </c>
      <c r="E146" t="s">
        <v>23</v>
      </c>
      <c r="F146" t="s">
        <v>17</v>
      </c>
      <c r="G146" t="s">
        <v>186</v>
      </c>
      <c r="H146">
        <v>1</v>
      </c>
      <c r="I146">
        <v>1800</v>
      </c>
      <c r="J146">
        <v>10</v>
      </c>
      <c r="K146" t="s">
        <v>50</v>
      </c>
      <c r="L146" t="s">
        <v>51</v>
      </c>
      <c r="M1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46">
        <v>1620</v>
      </c>
      <c r="O146" t="s">
        <v>45</v>
      </c>
      <c r="P146" t="str">
        <f>_xlfn.IFS(LEFT(indian_retail_raw_1000[[#This Row],[x]],1)="W", "West",LEFT(indian_retail_raw_1000[[#This Row],[x]],1)= "E","East",LEFT(O146,1) = "S", "South",LEFT(O146,1) = "N", "North")</f>
        <v>East</v>
      </c>
      <c r="Q146" t="s">
        <v>17</v>
      </c>
      <c r="R146" t="s">
        <v>23</v>
      </c>
      <c r="S146" t="str">
        <f>TEXT(indian_retail_raw_1000[[#This Row],[Order_Date]],"MMM")</f>
        <v>Null</v>
      </c>
    </row>
    <row r="147" spans="1:19" x14ac:dyDescent="0.25">
      <c r="A147" t="s">
        <v>761</v>
      </c>
      <c r="B147" s="1">
        <v>45166</v>
      </c>
      <c r="C147" t="s">
        <v>72</v>
      </c>
      <c r="D147">
        <v>27</v>
      </c>
      <c r="E147" t="s">
        <v>23</v>
      </c>
      <c r="F147" t="s">
        <v>30</v>
      </c>
      <c r="G147" t="s">
        <v>235</v>
      </c>
      <c r="H147">
        <v>1</v>
      </c>
      <c r="I147">
        <v>2059</v>
      </c>
      <c r="J147">
        <v>20</v>
      </c>
      <c r="K147" t="s">
        <v>41</v>
      </c>
      <c r="L147" t="s">
        <v>20</v>
      </c>
      <c r="M1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7">
        <v>1647.2</v>
      </c>
      <c r="O147" t="s">
        <v>21</v>
      </c>
      <c r="P147" t="str">
        <f>_xlfn.IFS(LEFT(indian_retail_raw_1000[[#This Row],[x]],1)="W", "West",LEFT(indian_retail_raw_1000[[#This Row],[x]],1)= "E","East",LEFT(O147,1) = "S", "South",LEFT(O147,1) = "N", "North")</f>
        <v>South</v>
      </c>
      <c r="Q147" t="s">
        <v>30</v>
      </c>
      <c r="R147" t="s">
        <v>23</v>
      </c>
      <c r="S147" t="str">
        <f>TEXT(indian_retail_raw_1000[[#This Row],[Order_Date]],"MMM")</f>
        <v>Aug</v>
      </c>
    </row>
    <row r="148" spans="1:19" x14ac:dyDescent="0.25">
      <c r="A148" t="s">
        <v>571</v>
      </c>
      <c r="B148" s="1">
        <v>44997</v>
      </c>
      <c r="C148" t="s">
        <v>66</v>
      </c>
      <c r="D148">
        <v>53</v>
      </c>
      <c r="E148" t="s">
        <v>23</v>
      </c>
      <c r="F148" t="s">
        <v>17</v>
      </c>
      <c r="G148" t="s">
        <v>94</v>
      </c>
      <c r="H148">
        <v>1</v>
      </c>
      <c r="I148">
        <v>2200</v>
      </c>
      <c r="J148">
        <v>25</v>
      </c>
      <c r="K148" t="s">
        <v>41</v>
      </c>
      <c r="L148" t="s">
        <v>20</v>
      </c>
      <c r="M1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8">
        <v>1650</v>
      </c>
      <c r="O148" t="s">
        <v>45</v>
      </c>
      <c r="P148" t="str">
        <f>_xlfn.IFS(LEFT(indian_retail_raw_1000[[#This Row],[x]],1)="W", "West",LEFT(indian_retail_raw_1000[[#This Row],[x]],1)= "E","East",LEFT(O148,1) = "S", "South",LEFT(O148,1) = "N", "North")</f>
        <v>East</v>
      </c>
      <c r="Q148" t="s">
        <v>17</v>
      </c>
      <c r="R148" t="s">
        <v>23</v>
      </c>
      <c r="S148" t="str">
        <f>TEXT(indian_retail_raw_1000[[#This Row],[Order_Date]],"MMM")</f>
        <v>Mar</v>
      </c>
    </row>
    <row r="149" spans="1:19" x14ac:dyDescent="0.25">
      <c r="A149" t="s">
        <v>1112</v>
      </c>
      <c r="B149" s="1">
        <v>44950</v>
      </c>
      <c r="C149" t="s">
        <v>48</v>
      </c>
      <c r="D149">
        <v>45</v>
      </c>
      <c r="E149" t="s">
        <v>16</v>
      </c>
      <c r="F149" t="s">
        <v>17</v>
      </c>
      <c r="G149" t="s">
        <v>186</v>
      </c>
      <c r="H149">
        <v>1</v>
      </c>
      <c r="I149">
        <v>1650</v>
      </c>
      <c r="J149">
        <v>0</v>
      </c>
      <c r="K149" t="s">
        <v>50</v>
      </c>
      <c r="L149" t="s">
        <v>20</v>
      </c>
      <c r="M1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9">
        <v>1650</v>
      </c>
      <c r="O149" t="s">
        <v>45</v>
      </c>
      <c r="P149" t="str">
        <f>_xlfn.IFS(LEFT(indian_retail_raw_1000[[#This Row],[x]],1)="W", "West",LEFT(indian_retail_raw_1000[[#This Row],[x]],1)= "E","East",LEFT(O149,1) = "S", "South",LEFT(O149,1) = "N", "North")</f>
        <v>East</v>
      </c>
      <c r="Q149" t="s">
        <v>17</v>
      </c>
      <c r="R149" t="s">
        <v>16</v>
      </c>
      <c r="S149" t="str">
        <f>TEXT(indian_retail_raw_1000[[#This Row],[Order_Date]],"MMM")</f>
        <v>Jan</v>
      </c>
    </row>
    <row r="150" spans="1:19" x14ac:dyDescent="0.25">
      <c r="A150" t="s">
        <v>1077</v>
      </c>
      <c r="B150" s="1">
        <v>45074</v>
      </c>
      <c r="C150" t="s">
        <v>43</v>
      </c>
      <c r="D150">
        <v>22</v>
      </c>
      <c r="E150" t="s">
        <v>73</v>
      </c>
      <c r="F150" t="s">
        <v>30</v>
      </c>
      <c r="G150" t="s">
        <v>294</v>
      </c>
      <c r="H150">
        <v>6</v>
      </c>
      <c r="I150">
        <v>324</v>
      </c>
      <c r="J150">
        <v>15</v>
      </c>
      <c r="K150" t="s">
        <v>50</v>
      </c>
      <c r="L150" t="s">
        <v>56</v>
      </c>
      <c r="M1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50">
        <v>1652.4</v>
      </c>
      <c r="O150" t="s">
        <v>45</v>
      </c>
      <c r="P150" t="str">
        <f>_xlfn.IFS(LEFT(indian_retail_raw_1000[[#This Row],[x]],1)="W", "West",LEFT(indian_retail_raw_1000[[#This Row],[x]],1)= "E","East",LEFT(O150,1) = "S", "South",LEFT(O150,1) = "N", "North")</f>
        <v>East</v>
      </c>
      <c r="Q150" t="s">
        <v>30</v>
      </c>
      <c r="R150" t="s">
        <v>23</v>
      </c>
      <c r="S150" t="str">
        <f>TEXT(indian_retail_raw_1000[[#This Row],[Order_Date]],"MMM")</f>
        <v>May</v>
      </c>
    </row>
    <row r="151" spans="1:19" x14ac:dyDescent="0.25">
      <c r="A151" t="s">
        <v>773</v>
      </c>
      <c r="B151" s="1">
        <v>45260</v>
      </c>
      <c r="C151" t="s">
        <v>76</v>
      </c>
      <c r="D151">
        <v>57</v>
      </c>
      <c r="E151" t="s">
        <v>16</v>
      </c>
      <c r="F151" t="s">
        <v>30</v>
      </c>
      <c r="G151" t="s">
        <v>31</v>
      </c>
      <c r="H151">
        <v>1</v>
      </c>
      <c r="I151">
        <v>1654</v>
      </c>
      <c r="J151">
        <v>0</v>
      </c>
      <c r="K151" t="s">
        <v>19</v>
      </c>
      <c r="L151" t="s">
        <v>20</v>
      </c>
      <c r="M1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1">
        <v>1654</v>
      </c>
      <c r="O151" t="s">
        <v>45</v>
      </c>
      <c r="P151" t="str">
        <f>_xlfn.IFS(LEFT(indian_retail_raw_1000[[#This Row],[x]],1)="W", "West",LEFT(indian_retail_raw_1000[[#This Row],[x]],1)= "E","East",LEFT(O151,1) = "S", "South",LEFT(O151,1) = "N", "North")</f>
        <v>East</v>
      </c>
      <c r="Q151" t="s">
        <v>30</v>
      </c>
      <c r="R151" t="s">
        <v>16</v>
      </c>
      <c r="S151" t="str">
        <f>TEXT(indian_retail_raw_1000[[#This Row],[Order_Date]],"MMM")</f>
        <v>Nov</v>
      </c>
    </row>
    <row r="152" spans="1:19" x14ac:dyDescent="0.25">
      <c r="A152" t="s">
        <v>666</v>
      </c>
      <c r="B152" s="1">
        <v>44964</v>
      </c>
      <c r="C152" t="s">
        <v>1336</v>
      </c>
      <c r="D152">
        <v>19</v>
      </c>
      <c r="E152" t="s">
        <v>138</v>
      </c>
      <c r="F152" t="s">
        <v>17</v>
      </c>
      <c r="G152" t="s">
        <v>186</v>
      </c>
      <c r="H152">
        <v>2</v>
      </c>
      <c r="I152">
        <v>1400</v>
      </c>
      <c r="J152">
        <v>40</v>
      </c>
      <c r="K152" t="s">
        <v>41</v>
      </c>
      <c r="L152" t="s">
        <v>20</v>
      </c>
      <c r="M1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2">
        <v>1680</v>
      </c>
      <c r="O152" t="s">
        <v>38</v>
      </c>
      <c r="P152" t="str">
        <f>_xlfn.IFS(LEFT(indian_retail_raw_1000[[#This Row],[x]],1)="W", "West",LEFT(indian_retail_raw_1000[[#This Row],[x]],1)= "E","East",LEFT(O152,1) = "S", "South",LEFT(O152,1) = "N", "North")</f>
        <v>North</v>
      </c>
      <c r="Q152" t="s">
        <v>17</v>
      </c>
      <c r="R152" t="s">
        <v>138</v>
      </c>
      <c r="S152" t="str">
        <f>TEXT(indian_retail_raw_1000[[#This Row],[Order_Date]],"MMM")</f>
        <v>Feb</v>
      </c>
    </row>
    <row r="153" spans="1:19" x14ac:dyDescent="0.25">
      <c r="A153" t="s">
        <v>592</v>
      </c>
      <c r="B153" s="1">
        <v>45174</v>
      </c>
      <c r="C153" t="s">
        <v>102</v>
      </c>
      <c r="D153">
        <v>61</v>
      </c>
      <c r="E153" t="s">
        <v>23</v>
      </c>
      <c r="F153" t="s">
        <v>30</v>
      </c>
      <c r="G153" t="s">
        <v>294</v>
      </c>
      <c r="H153">
        <v>7</v>
      </c>
      <c r="I153">
        <v>305</v>
      </c>
      <c r="J153">
        <v>20</v>
      </c>
      <c r="K153" t="s">
        <v>41</v>
      </c>
      <c r="L153" t="s">
        <v>449</v>
      </c>
      <c r="M1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3">
        <v>1708</v>
      </c>
      <c r="O153" t="s">
        <v>45</v>
      </c>
      <c r="P153" t="str">
        <f>_xlfn.IFS(LEFT(indian_retail_raw_1000[[#This Row],[x]],1)="W", "West",LEFT(indian_retail_raw_1000[[#This Row],[x]],1)= "E","East",LEFT(O153,1) = "S", "South",LEFT(O153,1) = "N", "North")</f>
        <v>East</v>
      </c>
      <c r="Q153" t="s">
        <v>30</v>
      </c>
      <c r="R153" t="s">
        <v>23</v>
      </c>
      <c r="S153" t="str">
        <f>TEXT(indian_retail_raw_1000[[#This Row],[Order_Date]],"MMM")</f>
        <v>Sep</v>
      </c>
    </row>
    <row r="154" spans="1:19" x14ac:dyDescent="0.25">
      <c r="A154" t="s">
        <v>1224</v>
      </c>
      <c r="B154" s="1">
        <v>45168</v>
      </c>
      <c r="C154" t="s">
        <v>128</v>
      </c>
      <c r="D154">
        <v>19</v>
      </c>
      <c r="E154" t="s">
        <v>23</v>
      </c>
      <c r="F154" t="s">
        <v>35</v>
      </c>
      <c r="G154" t="s">
        <v>158</v>
      </c>
      <c r="H154">
        <v>2</v>
      </c>
      <c r="I154">
        <v>866</v>
      </c>
      <c r="J154">
        <v>0</v>
      </c>
      <c r="K154" t="s">
        <v>41</v>
      </c>
      <c r="L154" t="s">
        <v>20</v>
      </c>
      <c r="M1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4">
        <v>1732</v>
      </c>
      <c r="O154" t="s">
        <v>38</v>
      </c>
      <c r="P154" t="str">
        <f>_xlfn.IFS(LEFT(indian_retail_raw_1000[[#This Row],[x]],1)="W", "West",LEFT(indian_retail_raw_1000[[#This Row],[x]],1)= "E","East",LEFT(O154,1) = "S", "South",LEFT(O154,1) = "N", "North")</f>
        <v>North</v>
      </c>
      <c r="Q154" t="s">
        <v>35</v>
      </c>
      <c r="R154" t="s">
        <v>23</v>
      </c>
      <c r="S154" t="str">
        <f>TEXT(indian_retail_raw_1000[[#This Row],[Order_Date]],"MMM")</f>
        <v>Aug</v>
      </c>
    </row>
    <row r="155" spans="1:19" x14ac:dyDescent="0.25">
      <c r="A155" t="s">
        <v>1217</v>
      </c>
      <c r="B155" s="1">
        <v>45055</v>
      </c>
      <c r="C155" t="s">
        <v>82</v>
      </c>
      <c r="D155">
        <v>45</v>
      </c>
      <c r="E155" t="s">
        <v>1218</v>
      </c>
      <c r="F155" t="s">
        <v>35</v>
      </c>
      <c r="G155" t="s">
        <v>331</v>
      </c>
      <c r="H155">
        <v>5</v>
      </c>
      <c r="I155">
        <v>386</v>
      </c>
      <c r="J155">
        <v>10</v>
      </c>
      <c r="K155" t="s">
        <v>487</v>
      </c>
      <c r="L155" t="s">
        <v>56</v>
      </c>
      <c r="M1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55">
        <v>1737</v>
      </c>
      <c r="O155" t="s">
        <v>26</v>
      </c>
      <c r="P155" t="str">
        <f>_xlfn.IFS(LEFT(indian_retail_raw_1000[[#This Row],[x]],1)="W", "West",LEFT(indian_retail_raw_1000[[#This Row],[x]],1)= "E","East",LEFT(O155,1) = "S", "South",LEFT(O155,1) = "N", "North")</f>
        <v>West</v>
      </c>
      <c r="Q155" t="s">
        <v>35</v>
      </c>
      <c r="R155" t="s">
        <v>138</v>
      </c>
      <c r="S155" t="str">
        <f>TEXT(indian_retail_raw_1000[[#This Row],[Order_Date]],"MMM")</f>
        <v>May</v>
      </c>
    </row>
    <row r="156" spans="1:19" x14ac:dyDescent="0.25">
      <c r="A156" t="s">
        <v>1065</v>
      </c>
      <c r="B156" s="1" t="s">
        <v>1336</v>
      </c>
      <c r="C156" t="s">
        <v>1336</v>
      </c>
      <c r="D156">
        <v>49</v>
      </c>
      <c r="E156" t="s">
        <v>16</v>
      </c>
      <c r="F156" t="s">
        <v>345</v>
      </c>
      <c r="G156" t="s">
        <v>126</v>
      </c>
      <c r="H156">
        <v>3</v>
      </c>
      <c r="I156">
        <v>581</v>
      </c>
      <c r="J156">
        <v>0</v>
      </c>
      <c r="K156" t="s">
        <v>19</v>
      </c>
      <c r="L156" t="s">
        <v>37</v>
      </c>
      <c r="M1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6">
        <v>1743</v>
      </c>
      <c r="O156" t="s">
        <v>26</v>
      </c>
      <c r="P156" t="str">
        <f>_xlfn.IFS(LEFT(indian_retail_raw_1000[[#This Row],[x]],1)="W", "West",LEFT(indian_retail_raw_1000[[#This Row],[x]],1)= "E","East",LEFT(O156,1) = "S", "South",LEFT(O156,1) = "N", "North")</f>
        <v>West</v>
      </c>
      <c r="Q156" t="s">
        <v>35</v>
      </c>
      <c r="R156" t="s">
        <v>16</v>
      </c>
      <c r="S156" t="str">
        <f>TEXT(indian_retail_raw_1000[[#This Row],[Order_Date]],"MMM")</f>
        <v>Null</v>
      </c>
    </row>
    <row r="157" spans="1:19" x14ac:dyDescent="0.25">
      <c r="A157" t="s">
        <v>974</v>
      </c>
      <c r="B157" s="1">
        <v>45057</v>
      </c>
      <c r="C157" t="s">
        <v>102</v>
      </c>
      <c r="D157">
        <v>38</v>
      </c>
      <c r="E157" t="s">
        <v>23</v>
      </c>
      <c r="F157" t="s">
        <v>35</v>
      </c>
      <c r="G157" t="s">
        <v>158</v>
      </c>
      <c r="H157">
        <v>1</v>
      </c>
      <c r="I157">
        <v>436</v>
      </c>
      <c r="J157">
        <v>0</v>
      </c>
      <c r="K157" t="s">
        <v>19</v>
      </c>
      <c r="L157" t="s">
        <v>56</v>
      </c>
      <c r="M1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57">
        <v>1744</v>
      </c>
      <c r="O157" t="s">
        <v>26</v>
      </c>
      <c r="P157" t="str">
        <f>_xlfn.IFS(LEFT(indian_retail_raw_1000[[#This Row],[x]],1)="W", "West",LEFT(indian_retail_raw_1000[[#This Row],[x]],1)= "E","East",LEFT(O157,1) = "S", "South",LEFT(O157,1) = "N", "North")</f>
        <v>West</v>
      </c>
      <c r="Q157" t="s">
        <v>35</v>
      </c>
      <c r="R157" t="s">
        <v>23</v>
      </c>
      <c r="S157" t="str">
        <f>TEXT(indian_retail_raw_1000[[#This Row],[Order_Date]],"MMM")</f>
        <v>May</v>
      </c>
    </row>
    <row r="158" spans="1:19" x14ac:dyDescent="0.25">
      <c r="A158" t="s">
        <v>786</v>
      </c>
      <c r="B158" s="1">
        <v>44989</v>
      </c>
      <c r="C158" t="s">
        <v>1336</v>
      </c>
      <c r="D158">
        <v>26</v>
      </c>
      <c r="E158" t="s">
        <v>16</v>
      </c>
      <c r="F158" t="s">
        <v>30</v>
      </c>
      <c r="G158" t="s">
        <v>31</v>
      </c>
      <c r="H158">
        <v>1</v>
      </c>
      <c r="I158">
        <v>1952</v>
      </c>
      <c r="J158">
        <v>10</v>
      </c>
      <c r="K158" t="s">
        <v>19</v>
      </c>
      <c r="L158" t="s">
        <v>51</v>
      </c>
      <c r="M1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58">
        <v>1756.8</v>
      </c>
      <c r="O158" t="s">
        <v>276</v>
      </c>
      <c r="P158" t="str">
        <f>_xlfn.IFS(LEFT(indian_retail_raw_1000[[#This Row],[x]],1)="W", "West",LEFT(indian_retail_raw_1000[[#This Row],[x]],1)= "E","East",LEFT(O158,1) = "S", "South",LEFT(O158,1) = "N", "North")</f>
        <v>North</v>
      </c>
      <c r="Q158" t="s">
        <v>30</v>
      </c>
      <c r="R158" t="s">
        <v>16</v>
      </c>
      <c r="S158" t="str">
        <f>TEXT(indian_retail_raw_1000[[#This Row],[Order_Date]],"MMM")</f>
        <v>Mar</v>
      </c>
    </row>
    <row r="159" spans="1:19" x14ac:dyDescent="0.25">
      <c r="A159" t="s">
        <v>98</v>
      </c>
      <c r="B159" s="1">
        <v>45268</v>
      </c>
      <c r="C159" t="s">
        <v>76</v>
      </c>
      <c r="D159">
        <v>52</v>
      </c>
      <c r="E159" t="s">
        <v>23</v>
      </c>
      <c r="F159" t="s">
        <v>35</v>
      </c>
      <c r="G159" t="s">
        <v>99</v>
      </c>
      <c r="H159">
        <v>3</v>
      </c>
      <c r="I159">
        <v>1174</v>
      </c>
      <c r="J159">
        <v>50</v>
      </c>
      <c r="K159" t="s">
        <v>19</v>
      </c>
      <c r="L159" t="s">
        <v>100</v>
      </c>
      <c r="M1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59">
        <v>1761</v>
      </c>
      <c r="O159" t="s">
        <v>21</v>
      </c>
      <c r="P159" t="str">
        <f>_xlfn.IFS(LEFT(indian_retail_raw_1000[[#This Row],[x]],1)="W", "West",LEFT(indian_retail_raw_1000[[#This Row],[x]],1)= "E","East",LEFT(O159,1) = "S", "South",LEFT(O159,1) = "N", "North")</f>
        <v>South</v>
      </c>
      <c r="Q159" t="s">
        <v>35</v>
      </c>
      <c r="R159" t="s">
        <v>23</v>
      </c>
      <c r="S159" t="str">
        <f>TEXT(indian_retail_raw_1000[[#This Row],[Order_Date]],"MMM")</f>
        <v>Dec</v>
      </c>
    </row>
    <row r="160" spans="1:19" x14ac:dyDescent="0.25">
      <c r="A160" t="s">
        <v>1310</v>
      </c>
      <c r="B160" s="1" t="s">
        <v>1336</v>
      </c>
      <c r="C160" t="s">
        <v>188</v>
      </c>
      <c r="D160">
        <v>35</v>
      </c>
      <c r="E160" t="s">
        <v>23</v>
      </c>
      <c r="F160" t="s">
        <v>35</v>
      </c>
      <c r="G160" t="s">
        <v>147</v>
      </c>
      <c r="H160">
        <v>6</v>
      </c>
      <c r="I160">
        <v>310</v>
      </c>
      <c r="J160">
        <v>5</v>
      </c>
      <c r="K160" t="s">
        <v>381</v>
      </c>
      <c r="L160" t="s">
        <v>20</v>
      </c>
      <c r="M1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0">
        <v>1767</v>
      </c>
      <c r="O160" t="s">
        <v>38</v>
      </c>
      <c r="P160" t="str">
        <f>_xlfn.IFS(LEFT(indian_retail_raw_1000[[#This Row],[x]],1)="W", "West",LEFT(indian_retail_raw_1000[[#This Row],[x]],1)= "E","East",LEFT(O160,1) = "S", "South",LEFT(O160,1) = "N", "North")</f>
        <v>North</v>
      </c>
      <c r="Q160" t="s">
        <v>35</v>
      </c>
      <c r="R160" t="s">
        <v>23</v>
      </c>
      <c r="S160" t="str">
        <f>TEXT(indian_retail_raw_1000[[#This Row],[Order_Date]],"MMM")</f>
        <v>Null</v>
      </c>
    </row>
    <row r="161" spans="1:19" x14ac:dyDescent="0.25">
      <c r="A161" t="s">
        <v>1241</v>
      </c>
      <c r="B161" s="1">
        <v>45186</v>
      </c>
      <c r="C161" t="s">
        <v>82</v>
      </c>
      <c r="D161">
        <v>33</v>
      </c>
      <c r="E161" t="s">
        <v>23</v>
      </c>
      <c r="F161" t="s">
        <v>35</v>
      </c>
      <c r="G161" t="s">
        <v>213</v>
      </c>
      <c r="H161">
        <v>4</v>
      </c>
      <c r="I161">
        <v>493</v>
      </c>
      <c r="J161">
        <v>10</v>
      </c>
      <c r="K161" t="s">
        <v>41</v>
      </c>
      <c r="L161" t="s">
        <v>20</v>
      </c>
      <c r="M1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1">
        <v>1774.8</v>
      </c>
      <c r="O161" t="s">
        <v>26</v>
      </c>
      <c r="P161" t="str">
        <f>_xlfn.IFS(LEFT(indian_retail_raw_1000[[#This Row],[x]],1)="W", "West",LEFT(indian_retail_raw_1000[[#This Row],[x]],1)= "E","East",LEFT(O161,1) = "S", "South",LEFT(O161,1) = "N", "North")</f>
        <v>West</v>
      </c>
      <c r="Q161" t="s">
        <v>35</v>
      </c>
      <c r="R161" t="s">
        <v>23</v>
      </c>
      <c r="S161" t="str">
        <f>TEXT(indian_retail_raw_1000[[#This Row],[Order_Date]],"MMM")</f>
        <v>Sep</v>
      </c>
    </row>
    <row r="162" spans="1:19" x14ac:dyDescent="0.25">
      <c r="A162" t="s">
        <v>663</v>
      </c>
      <c r="B162" s="1">
        <v>45003</v>
      </c>
      <c r="C162" t="s">
        <v>43</v>
      </c>
      <c r="D162">
        <v>55</v>
      </c>
      <c r="E162" t="s">
        <v>443</v>
      </c>
      <c r="F162" t="s">
        <v>35</v>
      </c>
      <c r="G162" t="s">
        <v>271</v>
      </c>
      <c r="H162">
        <v>6</v>
      </c>
      <c r="I162">
        <v>332</v>
      </c>
      <c r="J162">
        <v>10</v>
      </c>
      <c r="K162" t="s">
        <v>83</v>
      </c>
      <c r="L162" t="s">
        <v>56</v>
      </c>
      <c r="M1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62">
        <v>1792.8</v>
      </c>
      <c r="O162" t="s">
        <v>26</v>
      </c>
      <c r="P162" t="str">
        <f>_xlfn.IFS(LEFT(indian_retail_raw_1000[[#This Row],[x]],1)="W", "West",LEFT(indian_retail_raw_1000[[#This Row],[x]],1)= "E","East",LEFT(O162,1) = "S", "South",LEFT(O162,1) = "N", "North")</f>
        <v>West</v>
      </c>
      <c r="Q162" t="s">
        <v>35</v>
      </c>
      <c r="R162" t="s">
        <v>23</v>
      </c>
      <c r="S162" t="str">
        <f>TEXT(indian_retail_raw_1000[[#This Row],[Order_Date]],"MMM")</f>
        <v>Mar</v>
      </c>
    </row>
    <row r="163" spans="1:19" x14ac:dyDescent="0.25">
      <c r="A163" t="s">
        <v>805</v>
      </c>
      <c r="B163" s="1">
        <v>45118</v>
      </c>
      <c r="C163" t="s">
        <v>393</v>
      </c>
      <c r="D163">
        <v>44</v>
      </c>
      <c r="E163" t="s">
        <v>138</v>
      </c>
      <c r="F163" t="s">
        <v>35</v>
      </c>
      <c r="G163" t="s">
        <v>111</v>
      </c>
      <c r="H163">
        <v>7</v>
      </c>
      <c r="I163">
        <v>366</v>
      </c>
      <c r="J163">
        <v>30</v>
      </c>
      <c r="K163" t="s">
        <v>64</v>
      </c>
      <c r="L163" t="s">
        <v>20</v>
      </c>
      <c r="M1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3">
        <v>1793.4</v>
      </c>
      <c r="O163" t="s">
        <v>38</v>
      </c>
      <c r="P163" t="str">
        <f>_xlfn.IFS(LEFT(indian_retail_raw_1000[[#This Row],[x]],1)="W", "West",LEFT(indian_retail_raw_1000[[#This Row],[x]],1)= "E","East",LEFT(O163,1) = "S", "South",LEFT(O163,1) = "N", "North")</f>
        <v>North</v>
      </c>
      <c r="Q163" t="s">
        <v>35</v>
      </c>
      <c r="R163" t="s">
        <v>138</v>
      </c>
      <c r="S163" t="str">
        <f>TEXT(indian_retail_raw_1000[[#This Row],[Order_Date]],"MMM")</f>
        <v>Jul</v>
      </c>
    </row>
    <row r="164" spans="1:19" x14ac:dyDescent="0.25">
      <c r="A164" t="s">
        <v>497</v>
      </c>
      <c r="B164" s="1">
        <v>44965</v>
      </c>
      <c r="C164" t="s">
        <v>1336</v>
      </c>
      <c r="D164">
        <v>150</v>
      </c>
      <c r="E164" t="s">
        <v>16</v>
      </c>
      <c r="F164" t="s">
        <v>35</v>
      </c>
      <c r="G164" t="s">
        <v>111</v>
      </c>
      <c r="H164">
        <v>6</v>
      </c>
      <c r="I164">
        <v>353</v>
      </c>
      <c r="J164">
        <v>15</v>
      </c>
      <c r="K164" t="s">
        <v>41</v>
      </c>
      <c r="L164" t="s">
        <v>20</v>
      </c>
      <c r="M1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4">
        <v>1800.3</v>
      </c>
      <c r="O164" t="s">
        <v>26</v>
      </c>
      <c r="P164" t="str">
        <f>_xlfn.IFS(LEFT(indian_retail_raw_1000[[#This Row],[x]],1)="W", "West",LEFT(indian_retail_raw_1000[[#This Row],[x]],1)= "E","East",LEFT(O164,1) = "S", "South",LEFT(O164,1) = "N", "North")</f>
        <v>West</v>
      </c>
      <c r="Q164" t="s">
        <v>35</v>
      </c>
      <c r="R164" t="s">
        <v>16</v>
      </c>
      <c r="S164" t="str">
        <f>TEXT(indian_retail_raw_1000[[#This Row],[Order_Date]],"MMM")</f>
        <v>Feb</v>
      </c>
    </row>
    <row r="165" spans="1:19" x14ac:dyDescent="0.25">
      <c r="A165" t="s">
        <v>1193</v>
      </c>
      <c r="B165" s="1">
        <v>45277</v>
      </c>
      <c r="C165" t="s">
        <v>82</v>
      </c>
      <c r="D165">
        <v>200</v>
      </c>
      <c r="E165" t="s">
        <v>23</v>
      </c>
      <c r="F165" t="s">
        <v>324</v>
      </c>
      <c r="G165" t="s">
        <v>331</v>
      </c>
      <c r="H165">
        <v>9</v>
      </c>
      <c r="I165">
        <v>239</v>
      </c>
      <c r="J165">
        <v>15</v>
      </c>
      <c r="K165" t="s">
        <v>19</v>
      </c>
      <c r="L165" t="s">
        <v>56</v>
      </c>
      <c r="M1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65">
        <v>1828.35</v>
      </c>
      <c r="O165" t="s">
        <v>21</v>
      </c>
      <c r="P165" t="str">
        <f>_xlfn.IFS(LEFT(indian_retail_raw_1000[[#This Row],[x]],1)="W", "West",LEFT(indian_retail_raw_1000[[#This Row],[x]],1)= "E","East",LEFT(O165,1) = "S", "South",LEFT(O165,1) = "N", "North")</f>
        <v>South</v>
      </c>
      <c r="Q165" t="s">
        <v>35</v>
      </c>
      <c r="R165" t="s">
        <v>23</v>
      </c>
      <c r="S165" t="str">
        <f>TEXT(indian_retail_raw_1000[[#This Row],[Order_Date]],"MMM")</f>
        <v>Dec</v>
      </c>
    </row>
    <row r="166" spans="1:19" x14ac:dyDescent="0.25">
      <c r="A166" t="s">
        <v>1051</v>
      </c>
      <c r="B166" s="1">
        <v>45133</v>
      </c>
      <c r="C166" t="s">
        <v>587</v>
      </c>
      <c r="D166">
        <v>23</v>
      </c>
      <c r="E166" t="s">
        <v>16</v>
      </c>
      <c r="F166" t="s">
        <v>30</v>
      </c>
      <c r="G166" t="s">
        <v>294</v>
      </c>
      <c r="H166">
        <v>8</v>
      </c>
      <c r="I166">
        <v>330</v>
      </c>
      <c r="J166">
        <v>30</v>
      </c>
      <c r="K166" t="s">
        <v>19</v>
      </c>
      <c r="L166" t="s">
        <v>20</v>
      </c>
      <c r="M1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6">
        <v>1848</v>
      </c>
      <c r="O166" t="s">
        <v>45</v>
      </c>
      <c r="P166" t="str">
        <f>_xlfn.IFS(LEFT(indian_retail_raw_1000[[#This Row],[x]],1)="W", "West",LEFT(indian_retail_raw_1000[[#This Row],[x]],1)= "E","East",LEFT(O166,1) = "S", "South",LEFT(O166,1) = "N", "North")</f>
        <v>East</v>
      </c>
      <c r="Q166" t="s">
        <v>30</v>
      </c>
      <c r="R166" t="s">
        <v>16</v>
      </c>
      <c r="S166" t="str">
        <f>TEXT(indian_retail_raw_1000[[#This Row],[Order_Date]],"MMM")</f>
        <v>Jul</v>
      </c>
    </row>
    <row r="167" spans="1:19" x14ac:dyDescent="0.25">
      <c r="A167" t="s">
        <v>1126</v>
      </c>
      <c r="B167" s="1" t="s">
        <v>1336</v>
      </c>
      <c r="C167" t="s">
        <v>217</v>
      </c>
      <c r="D167">
        <v>51</v>
      </c>
      <c r="E167" t="s">
        <v>16</v>
      </c>
      <c r="F167" t="s">
        <v>35</v>
      </c>
      <c r="G167" t="s">
        <v>126</v>
      </c>
      <c r="H167">
        <v>8</v>
      </c>
      <c r="I167">
        <v>464</v>
      </c>
      <c r="J167">
        <v>50</v>
      </c>
      <c r="K167" t="s">
        <v>19</v>
      </c>
      <c r="L167" t="s">
        <v>56</v>
      </c>
      <c r="M1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67">
        <v>1856</v>
      </c>
      <c r="O167" t="s">
        <v>38</v>
      </c>
      <c r="P167" t="str">
        <f>_xlfn.IFS(LEFT(indian_retail_raw_1000[[#This Row],[x]],1)="W", "West",LEFT(indian_retail_raw_1000[[#This Row],[x]],1)= "E","East",LEFT(O167,1) = "S", "South",LEFT(O167,1) = "N", "North")</f>
        <v>North</v>
      </c>
      <c r="Q167" t="s">
        <v>35</v>
      </c>
      <c r="R167" t="s">
        <v>16</v>
      </c>
      <c r="S167" t="str">
        <f>TEXT(indian_retail_raw_1000[[#This Row],[Order_Date]],"MMM")</f>
        <v>Null</v>
      </c>
    </row>
    <row r="168" spans="1:19" x14ac:dyDescent="0.25">
      <c r="A168" t="s">
        <v>631</v>
      </c>
      <c r="B168" s="1" t="s">
        <v>1336</v>
      </c>
      <c r="C168" t="s">
        <v>110</v>
      </c>
      <c r="D168">
        <v>45</v>
      </c>
      <c r="E168" t="s">
        <v>16</v>
      </c>
      <c r="F168" t="s">
        <v>17</v>
      </c>
      <c r="G168" t="s">
        <v>274</v>
      </c>
      <c r="H168">
        <v>1</v>
      </c>
      <c r="I168">
        <v>3100</v>
      </c>
      <c r="J168">
        <v>40</v>
      </c>
      <c r="K168" t="s">
        <v>41</v>
      </c>
      <c r="L168" t="s">
        <v>20</v>
      </c>
      <c r="M1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8">
        <v>1860</v>
      </c>
      <c r="O168" t="s">
        <v>38</v>
      </c>
      <c r="P168" t="str">
        <f>_xlfn.IFS(LEFT(indian_retail_raw_1000[[#This Row],[x]],1)="W", "West",LEFT(indian_retail_raw_1000[[#This Row],[x]],1)= "E","East",LEFT(O168,1) = "S", "South",LEFT(O168,1) = "N", "North")</f>
        <v>North</v>
      </c>
      <c r="Q168" t="s">
        <v>17</v>
      </c>
      <c r="R168" t="s">
        <v>16</v>
      </c>
      <c r="S168" t="str">
        <f>TEXT(indian_retail_raw_1000[[#This Row],[Order_Date]],"MMM")</f>
        <v>Null</v>
      </c>
    </row>
    <row r="169" spans="1:19" x14ac:dyDescent="0.25">
      <c r="A169" t="s">
        <v>828</v>
      </c>
      <c r="B169" s="1">
        <v>45158</v>
      </c>
      <c r="C169" t="s">
        <v>102</v>
      </c>
      <c r="D169">
        <v>20</v>
      </c>
      <c r="E169" t="s">
        <v>23</v>
      </c>
      <c r="F169" t="s">
        <v>35</v>
      </c>
      <c r="G169" t="s">
        <v>111</v>
      </c>
      <c r="H169">
        <v>7</v>
      </c>
      <c r="I169">
        <v>317</v>
      </c>
      <c r="J169">
        <v>15</v>
      </c>
      <c r="K169" t="s">
        <v>50</v>
      </c>
      <c r="L169" t="s">
        <v>51</v>
      </c>
      <c r="M1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69">
        <v>1886.15</v>
      </c>
      <c r="O169" t="s">
        <v>38</v>
      </c>
      <c r="P169" t="str">
        <f>_xlfn.IFS(LEFT(indian_retail_raw_1000[[#This Row],[x]],1)="W", "West",LEFT(indian_retail_raw_1000[[#This Row],[x]],1)= "E","East",LEFT(O169,1) = "S", "South",LEFT(O169,1) = "N", "North")</f>
        <v>North</v>
      </c>
      <c r="Q169" t="s">
        <v>35</v>
      </c>
      <c r="R169" t="s">
        <v>23</v>
      </c>
      <c r="S169" t="str">
        <f>TEXT(indian_retail_raw_1000[[#This Row],[Order_Date]],"MMM")</f>
        <v>Aug</v>
      </c>
    </row>
    <row r="170" spans="1:19" x14ac:dyDescent="0.25">
      <c r="A170" t="s">
        <v>251</v>
      </c>
      <c r="B170" s="1">
        <v>45101</v>
      </c>
      <c r="C170" t="s">
        <v>198</v>
      </c>
      <c r="D170">
        <v>18</v>
      </c>
      <c r="E170" t="s">
        <v>16</v>
      </c>
      <c r="F170" t="s">
        <v>35</v>
      </c>
      <c r="G170" t="s">
        <v>111</v>
      </c>
      <c r="H170">
        <v>5</v>
      </c>
      <c r="I170">
        <v>398</v>
      </c>
      <c r="J170">
        <v>5</v>
      </c>
      <c r="K170" t="s">
        <v>41</v>
      </c>
      <c r="L170" t="s">
        <v>51</v>
      </c>
      <c r="M1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70">
        <v>1890.5</v>
      </c>
      <c r="O170" t="s">
        <v>26</v>
      </c>
      <c r="P170" t="str">
        <f>_xlfn.IFS(LEFT(indian_retail_raw_1000[[#This Row],[x]],1)="W", "West",LEFT(indian_retail_raw_1000[[#This Row],[x]],1)= "E","East",LEFT(O170,1) = "S", "South",LEFT(O170,1) = "N", "North")</f>
        <v>West</v>
      </c>
      <c r="Q170" t="s">
        <v>35</v>
      </c>
      <c r="R170" t="s">
        <v>16</v>
      </c>
      <c r="S170" t="str">
        <f>TEXT(indian_retail_raw_1000[[#This Row],[Order_Date]],"MMM")</f>
        <v>Jun</v>
      </c>
    </row>
    <row r="171" spans="1:19" x14ac:dyDescent="0.25">
      <c r="A171" t="s">
        <v>664</v>
      </c>
      <c r="B171" s="1">
        <v>45192</v>
      </c>
      <c r="C171" t="s">
        <v>176</v>
      </c>
      <c r="D171">
        <v>30</v>
      </c>
      <c r="E171" t="s">
        <v>16</v>
      </c>
      <c r="F171" t="s">
        <v>17</v>
      </c>
      <c r="G171" t="s">
        <v>274</v>
      </c>
      <c r="H171">
        <v>1</v>
      </c>
      <c r="I171">
        <v>2000</v>
      </c>
      <c r="J171">
        <v>5</v>
      </c>
      <c r="K171" t="s">
        <v>41</v>
      </c>
      <c r="L171" t="s">
        <v>20</v>
      </c>
      <c r="M1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1">
        <v>1900</v>
      </c>
      <c r="O171" t="s">
        <v>26</v>
      </c>
      <c r="P171" t="str">
        <f>_xlfn.IFS(LEFT(indian_retail_raw_1000[[#This Row],[x]],1)="W", "West",LEFT(indian_retail_raw_1000[[#This Row],[x]],1)= "E","East",LEFT(O171,1) = "S", "South",LEFT(O171,1) = "N", "North")</f>
        <v>West</v>
      </c>
      <c r="Q171" t="s">
        <v>17</v>
      </c>
      <c r="R171" t="s">
        <v>16</v>
      </c>
      <c r="S171" t="str">
        <f>TEXT(indian_retail_raw_1000[[#This Row],[Order_Date]],"MMM")</f>
        <v>Sep</v>
      </c>
    </row>
    <row r="172" spans="1:19" x14ac:dyDescent="0.25">
      <c r="A172" t="s">
        <v>785</v>
      </c>
      <c r="B172" s="1">
        <v>45012</v>
      </c>
      <c r="C172" t="s">
        <v>217</v>
      </c>
      <c r="D172">
        <v>53</v>
      </c>
      <c r="E172" t="s">
        <v>23</v>
      </c>
      <c r="F172" t="s">
        <v>17</v>
      </c>
      <c r="G172" t="s">
        <v>94</v>
      </c>
      <c r="H172">
        <v>1</v>
      </c>
      <c r="I172">
        <v>3200</v>
      </c>
      <c r="J172">
        <v>40</v>
      </c>
      <c r="K172" t="s">
        <v>32</v>
      </c>
      <c r="L172" t="s">
        <v>51</v>
      </c>
      <c r="M1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72">
        <v>1920</v>
      </c>
      <c r="O172" t="s">
        <v>38</v>
      </c>
      <c r="P172" t="str">
        <f>_xlfn.IFS(LEFT(indian_retail_raw_1000[[#This Row],[x]],1)="W", "West",LEFT(indian_retail_raw_1000[[#This Row],[x]],1)= "E","East",LEFT(O172,1) = "S", "South",LEFT(O172,1) = "N", "North")</f>
        <v>North</v>
      </c>
      <c r="Q172" t="s">
        <v>17</v>
      </c>
      <c r="R172" t="s">
        <v>23</v>
      </c>
      <c r="S172" t="str">
        <f>TEXT(indian_retail_raw_1000[[#This Row],[Order_Date]],"MMM")</f>
        <v>Mar</v>
      </c>
    </row>
    <row r="173" spans="1:19" x14ac:dyDescent="0.25">
      <c r="A173" t="s">
        <v>249</v>
      </c>
      <c r="B173" s="1">
        <v>45040</v>
      </c>
      <c r="C173" t="s">
        <v>217</v>
      </c>
      <c r="D173">
        <v>64</v>
      </c>
      <c r="E173" t="s">
        <v>23</v>
      </c>
      <c r="F173" t="s">
        <v>250</v>
      </c>
      <c r="G173" t="s">
        <v>186</v>
      </c>
      <c r="H173">
        <v>1</v>
      </c>
      <c r="I173">
        <v>2050</v>
      </c>
      <c r="J173">
        <v>5</v>
      </c>
      <c r="K173" t="s">
        <v>41</v>
      </c>
      <c r="L173" t="s">
        <v>56</v>
      </c>
      <c r="M1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73">
        <v>1947.5</v>
      </c>
      <c r="O173" t="s">
        <v>26</v>
      </c>
      <c r="P173" t="str">
        <f>_xlfn.IFS(LEFT(indian_retail_raw_1000[[#This Row],[x]],1)="W", "West",LEFT(indian_retail_raw_1000[[#This Row],[x]],1)= "E","East",LEFT(O173,1) = "S", "South",LEFT(O173,1) = "N", "North")</f>
        <v>West</v>
      </c>
      <c r="Q173" t="s">
        <v>17</v>
      </c>
      <c r="R173" t="s">
        <v>23</v>
      </c>
      <c r="S173" t="str">
        <f>TEXT(indian_retail_raw_1000[[#This Row],[Order_Date]],"MMM")</f>
        <v>Apr</v>
      </c>
    </row>
    <row r="174" spans="1:19" x14ac:dyDescent="0.25">
      <c r="A174" t="s">
        <v>249</v>
      </c>
      <c r="B174" s="1">
        <v>45040</v>
      </c>
      <c r="C174" t="s">
        <v>217</v>
      </c>
      <c r="D174">
        <v>64</v>
      </c>
      <c r="E174" t="s">
        <v>23</v>
      </c>
      <c r="F174" t="s">
        <v>250</v>
      </c>
      <c r="G174" t="s">
        <v>186</v>
      </c>
      <c r="H174">
        <v>1</v>
      </c>
      <c r="I174">
        <v>2050</v>
      </c>
      <c r="J174">
        <v>5</v>
      </c>
      <c r="K174" t="s">
        <v>41</v>
      </c>
      <c r="L174" t="s">
        <v>56</v>
      </c>
      <c r="M1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74">
        <v>1947.5</v>
      </c>
      <c r="O174" t="s">
        <v>26</v>
      </c>
      <c r="P174" t="str">
        <f>_xlfn.IFS(LEFT(indian_retail_raw_1000[[#This Row],[x]],1)="W", "West",LEFT(indian_retail_raw_1000[[#This Row],[x]],1)= "E","East",LEFT(O174,1) = "S", "South",LEFT(O174,1) = "N", "North")</f>
        <v>West</v>
      </c>
      <c r="Q174" t="s">
        <v>17</v>
      </c>
      <c r="R174" t="s">
        <v>23</v>
      </c>
      <c r="S174" t="str">
        <f>TEXT(indian_retail_raw_1000[[#This Row],[Order_Date]],"MMM")</f>
        <v>Apr</v>
      </c>
    </row>
    <row r="175" spans="1:19" x14ac:dyDescent="0.25">
      <c r="A175" t="s">
        <v>683</v>
      </c>
      <c r="B175" s="1">
        <v>45081</v>
      </c>
      <c r="C175" t="s">
        <v>48</v>
      </c>
      <c r="D175">
        <v>39</v>
      </c>
      <c r="E175" t="s">
        <v>44</v>
      </c>
      <c r="F175" t="s">
        <v>17</v>
      </c>
      <c r="G175" t="s">
        <v>24</v>
      </c>
      <c r="H175">
        <v>1</v>
      </c>
      <c r="I175">
        <v>2200</v>
      </c>
      <c r="J175">
        <v>10</v>
      </c>
      <c r="K175" t="s">
        <v>41</v>
      </c>
      <c r="L175" t="s">
        <v>684</v>
      </c>
      <c r="M1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75">
        <v>1980</v>
      </c>
      <c r="O175" t="s">
        <v>685</v>
      </c>
      <c r="P175" t="str">
        <f>_xlfn.IFS(LEFT(indian_retail_raw_1000[[#This Row],[x]],1)="W", "West",LEFT(indian_retail_raw_1000[[#This Row],[x]],1)= "E","East",LEFT(O175,1) = "S", "South",LEFT(O175,1) = "N", "North")</f>
        <v>South</v>
      </c>
      <c r="Q175" t="s">
        <v>17</v>
      </c>
      <c r="R175" t="s">
        <v>23</v>
      </c>
      <c r="S175" t="str">
        <f>TEXT(indian_retail_raw_1000[[#This Row],[Order_Date]],"MMM")</f>
        <v>Jun</v>
      </c>
    </row>
    <row r="176" spans="1:19" x14ac:dyDescent="0.25">
      <c r="A176" t="s">
        <v>1220</v>
      </c>
      <c r="B176" s="1" t="s">
        <v>1336</v>
      </c>
      <c r="C176" t="s">
        <v>192</v>
      </c>
      <c r="D176">
        <v>30</v>
      </c>
      <c r="E176" t="s">
        <v>475</v>
      </c>
      <c r="F176" t="s">
        <v>17</v>
      </c>
      <c r="G176" t="s">
        <v>49</v>
      </c>
      <c r="H176">
        <v>2</v>
      </c>
      <c r="I176">
        <v>1650</v>
      </c>
      <c r="J176">
        <v>40</v>
      </c>
      <c r="K176" t="s">
        <v>41</v>
      </c>
      <c r="L176" t="s">
        <v>20</v>
      </c>
      <c r="M1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6">
        <v>1980</v>
      </c>
      <c r="O176" t="s">
        <v>379</v>
      </c>
      <c r="P176" t="str">
        <f>_xlfn.IFS(LEFT(indian_retail_raw_1000[[#This Row],[x]],1)="W", "West",LEFT(indian_retail_raw_1000[[#This Row],[x]],1)= "E","East",LEFT(O176,1) = "S", "South",LEFT(O176,1) = "N", "North")</f>
        <v>South</v>
      </c>
      <c r="Q176" t="s">
        <v>17</v>
      </c>
      <c r="R176" t="s">
        <v>138</v>
      </c>
      <c r="S176" t="str">
        <f>TEXT(indian_retail_raw_1000[[#This Row],[Order_Date]],"MMM")</f>
        <v>Null</v>
      </c>
    </row>
    <row r="177" spans="1:19" x14ac:dyDescent="0.25">
      <c r="A177" t="s">
        <v>960</v>
      </c>
      <c r="B177" s="1">
        <v>45230</v>
      </c>
      <c r="C177" t="s">
        <v>160</v>
      </c>
      <c r="D177">
        <v>26</v>
      </c>
      <c r="E177" t="s">
        <v>23</v>
      </c>
      <c r="F177" t="s">
        <v>35</v>
      </c>
      <c r="G177" t="s">
        <v>126</v>
      </c>
      <c r="H177">
        <v>7</v>
      </c>
      <c r="I177">
        <v>316</v>
      </c>
      <c r="J177">
        <v>10</v>
      </c>
      <c r="K177" t="s">
        <v>19</v>
      </c>
      <c r="L177" t="s">
        <v>20</v>
      </c>
      <c r="M1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7">
        <v>1990.8</v>
      </c>
      <c r="O177" t="s">
        <v>21</v>
      </c>
      <c r="P177" t="str">
        <f>_xlfn.IFS(LEFT(indian_retail_raw_1000[[#This Row],[x]],1)="W", "West",LEFT(indian_retail_raw_1000[[#This Row],[x]],1)= "E","East",LEFT(O177,1) = "S", "South",LEFT(O177,1) = "N", "North")</f>
        <v>South</v>
      </c>
      <c r="Q177" t="s">
        <v>35</v>
      </c>
      <c r="R177" t="s">
        <v>23</v>
      </c>
      <c r="S177" t="str">
        <f>TEXT(indian_retail_raw_1000[[#This Row],[Order_Date]],"MMM")</f>
        <v>Oct</v>
      </c>
    </row>
    <row r="178" spans="1:19" x14ac:dyDescent="0.25">
      <c r="A178" t="s">
        <v>618</v>
      </c>
      <c r="B178" s="1">
        <v>45195</v>
      </c>
      <c r="C178" t="s">
        <v>1336</v>
      </c>
      <c r="D178">
        <v>32</v>
      </c>
      <c r="E178" t="s">
        <v>16</v>
      </c>
      <c r="F178" t="s">
        <v>17</v>
      </c>
      <c r="G178" t="s">
        <v>186</v>
      </c>
      <c r="H178">
        <v>1</v>
      </c>
      <c r="I178">
        <v>2000</v>
      </c>
      <c r="J178">
        <v>0</v>
      </c>
      <c r="K178" t="s">
        <v>25</v>
      </c>
      <c r="L178" t="s">
        <v>20</v>
      </c>
      <c r="M1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8">
        <v>2000</v>
      </c>
      <c r="O178" t="s">
        <v>26</v>
      </c>
      <c r="P178" t="str">
        <f>_xlfn.IFS(LEFT(indian_retail_raw_1000[[#This Row],[x]],1)="W", "West",LEFT(indian_retail_raw_1000[[#This Row],[x]],1)= "E","East",LEFT(O178,1) = "S", "South",LEFT(O178,1) = "N", "North")</f>
        <v>West</v>
      </c>
      <c r="Q178" t="s">
        <v>17</v>
      </c>
      <c r="R178" t="s">
        <v>16</v>
      </c>
      <c r="S178" t="str">
        <f>TEXT(indian_retail_raw_1000[[#This Row],[Order_Date]],"MMM")</f>
        <v>Sep</v>
      </c>
    </row>
    <row r="179" spans="1:19" x14ac:dyDescent="0.25">
      <c r="A179" t="s">
        <v>626</v>
      </c>
      <c r="B179" s="1">
        <v>45002</v>
      </c>
      <c r="C179" t="s">
        <v>28</v>
      </c>
      <c r="D179">
        <v>50</v>
      </c>
      <c r="E179" t="s">
        <v>16</v>
      </c>
      <c r="F179" t="s">
        <v>347</v>
      </c>
      <c r="G179" t="s">
        <v>311</v>
      </c>
      <c r="H179">
        <v>1</v>
      </c>
      <c r="I179">
        <v>4000</v>
      </c>
      <c r="J179">
        <v>50</v>
      </c>
      <c r="K179" t="s">
        <v>19</v>
      </c>
      <c r="L179" t="s">
        <v>20</v>
      </c>
      <c r="M1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9">
        <v>2000</v>
      </c>
      <c r="O179" t="s">
        <v>21</v>
      </c>
      <c r="P179" t="str">
        <f>_xlfn.IFS(LEFT(indian_retail_raw_1000[[#This Row],[x]],1)="W", "West",LEFT(indian_retail_raw_1000[[#This Row],[x]],1)= "E","East",LEFT(O179,1) = "S", "South",LEFT(O179,1) = "N", "North")</f>
        <v>South</v>
      </c>
      <c r="Q179" t="s">
        <v>54</v>
      </c>
      <c r="R179" t="s">
        <v>16</v>
      </c>
      <c r="S179" t="str">
        <f>TEXT(indian_retail_raw_1000[[#This Row],[Order_Date]],"MMM")</f>
        <v>Mar</v>
      </c>
    </row>
    <row r="180" spans="1:19" x14ac:dyDescent="0.25">
      <c r="A180" t="s">
        <v>1097</v>
      </c>
      <c r="B180" s="1" t="s">
        <v>1336</v>
      </c>
      <c r="C180" t="s">
        <v>15</v>
      </c>
      <c r="D180">
        <v>65</v>
      </c>
      <c r="E180" t="s">
        <v>16</v>
      </c>
      <c r="F180" t="s">
        <v>17</v>
      </c>
      <c r="G180" t="s">
        <v>274</v>
      </c>
      <c r="H180">
        <v>2</v>
      </c>
      <c r="I180">
        <v>2000</v>
      </c>
      <c r="J180">
        <v>5</v>
      </c>
      <c r="K180" t="s">
        <v>41</v>
      </c>
      <c r="L180" t="s">
        <v>51</v>
      </c>
      <c r="M1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80">
        <v>2000</v>
      </c>
      <c r="O180" t="s">
        <v>33</v>
      </c>
      <c r="P180" t="str">
        <f>_xlfn.IFS(LEFT(indian_retail_raw_1000[[#This Row],[x]],1)="W", "West",LEFT(indian_retail_raw_1000[[#This Row],[x]],1)= "E","East",LEFT(O180,1) = "S", "South",LEFT(O180,1) = "N", "North")</f>
        <v>West</v>
      </c>
      <c r="Q180" t="s">
        <v>17</v>
      </c>
      <c r="R180" t="s">
        <v>16</v>
      </c>
      <c r="S180" t="str">
        <f>TEXT(indian_retail_raw_1000[[#This Row],[Order_Date]],"MMM")</f>
        <v>Null</v>
      </c>
    </row>
    <row r="181" spans="1:19" x14ac:dyDescent="0.25">
      <c r="A181" t="s">
        <v>574</v>
      </c>
      <c r="B181" s="1" t="s">
        <v>1336</v>
      </c>
      <c r="C181" t="s">
        <v>66</v>
      </c>
      <c r="D181">
        <v>46</v>
      </c>
      <c r="E181" t="s">
        <v>23</v>
      </c>
      <c r="F181" t="s">
        <v>17</v>
      </c>
      <c r="G181" t="s">
        <v>18</v>
      </c>
      <c r="H181">
        <v>1</v>
      </c>
      <c r="I181">
        <v>2200</v>
      </c>
      <c r="J181">
        <v>5</v>
      </c>
      <c r="K181" t="s">
        <v>89</v>
      </c>
      <c r="L181" t="s">
        <v>20</v>
      </c>
      <c r="M1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1">
        <v>2090</v>
      </c>
      <c r="O181" t="s">
        <v>26</v>
      </c>
      <c r="P181" t="str">
        <f>_xlfn.IFS(LEFT(indian_retail_raw_1000[[#This Row],[x]],1)="W", "West",LEFT(indian_retail_raw_1000[[#This Row],[x]],1)= "E","East",LEFT(O181,1) = "S", "South",LEFT(O181,1) = "N", "North")</f>
        <v>West</v>
      </c>
      <c r="Q181" t="s">
        <v>17</v>
      </c>
      <c r="R181" t="s">
        <v>23</v>
      </c>
      <c r="S181" t="str">
        <f>TEXT(indian_retail_raw_1000[[#This Row],[Order_Date]],"MMM")</f>
        <v>Null</v>
      </c>
    </row>
    <row r="182" spans="1:19" x14ac:dyDescent="0.25">
      <c r="A182" t="s">
        <v>1219</v>
      </c>
      <c r="B182" s="1">
        <v>45189</v>
      </c>
      <c r="C182" t="s">
        <v>156</v>
      </c>
      <c r="D182">
        <v>59</v>
      </c>
      <c r="E182" t="s">
        <v>23</v>
      </c>
      <c r="F182" t="s">
        <v>17</v>
      </c>
      <c r="G182" t="s">
        <v>18</v>
      </c>
      <c r="H182">
        <v>1</v>
      </c>
      <c r="I182">
        <v>2100</v>
      </c>
      <c r="J182">
        <v>0</v>
      </c>
      <c r="K182" t="s">
        <v>19</v>
      </c>
      <c r="L182" t="s">
        <v>51</v>
      </c>
      <c r="M1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82">
        <v>2100</v>
      </c>
      <c r="O182" t="s">
        <v>21</v>
      </c>
      <c r="P182" t="str">
        <f>_xlfn.IFS(LEFT(indian_retail_raw_1000[[#This Row],[x]],1)="W", "West",LEFT(indian_retail_raw_1000[[#This Row],[x]],1)= "E","East",LEFT(O182,1) = "S", "South",LEFT(O182,1) = "N", "North")</f>
        <v>South</v>
      </c>
      <c r="Q182" t="s">
        <v>17</v>
      </c>
      <c r="R182" t="s">
        <v>23</v>
      </c>
      <c r="S182" t="str">
        <f>TEXT(indian_retail_raw_1000[[#This Row],[Order_Date]],"MMM")</f>
        <v>Sep</v>
      </c>
    </row>
    <row r="183" spans="1:19" x14ac:dyDescent="0.25">
      <c r="A183" t="s">
        <v>858</v>
      </c>
      <c r="B183" s="1">
        <v>45252</v>
      </c>
      <c r="C183" t="s">
        <v>1336</v>
      </c>
      <c r="D183">
        <v>28</v>
      </c>
      <c r="E183" t="s">
        <v>16</v>
      </c>
      <c r="F183" t="s">
        <v>35</v>
      </c>
      <c r="G183" t="s">
        <v>213</v>
      </c>
      <c r="H183">
        <v>6</v>
      </c>
      <c r="I183">
        <v>501</v>
      </c>
      <c r="J183">
        <v>30</v>
      </c>
      <c r="K183" t="s">
        <v>25</v>
      </c>
      <c r="L183" t="s">
        <v>20</v>
      </c>
      <c r="M1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3">
        <v>2104.1999999999998</v>
      </c>
      <c r="O183" t="s">
        <v>295</v>
      </c>
      <c r="P183" t="str">
        <f>_xlfn.IFS(LEFT(indian_retail_raw_1000[[#This Row],[x]],1)="W", "West",LEFT(indian_retail_raw_1000[[#This Row],[x]],1)= "E","East",LEFT(O183,1) = "S", "South",LEFT(O183,1) = "N", "North")</f>
        <v>East</v>
      </c>
      <c r="Q183" t="s">
        <v>35</v>
      </c>
      <c r="R183" t="s">
        <v>16</v>
      </c>
      <c r="S183" t="str">
        <f>TEXT(indian_retail_raw_1000[[#This Row],[Order_Date]],"MMM")</f>
        <v>Nov</v>
      </c>
    </row>
    <row r="184" spans="1:19" x14ac:dyDescent="0.25">
      <c r="A184" t="s">
        <v>858</v>
      </c>
      <c r="B184" s="1">
        <v>45252</v>
      </c>
      <c r="C184" t="s">
        <v>1336</v>
      </c>
      <c r="D184">
        <v>28</v>
      </c>
      <c r="E184" t="s">
        <v>16</v>
      </c>
      <c r="F184" t="s">
        <v>35</v>
      </c>
      <c r="G184" t="s">
        <v>213</v>
      </c>
      <c r="H184">
        <v>6</v>
      </c>
      <c r="I184">
        <v>501</v>
      </c>
      <c r="J184">
        <v>30</v>
      </c>
      <c r="K184" t="s">
        <v>25</v>
      </c>
      <c r="L184" t="s">
        <v>20</v>
      </c>
      <c r="M1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4">
        <v>2104.1999999999998</v>
      </c>
      <c r="O184" t="s">
        <v>295</v>
      </c>
      <c r="P184" t="str">
        <f>_xlfn.IFS(LEFT(indian_retail_raw_1000[[#This Row],[x]],1)="W", "West",LEFT(indian_retail_raw_1000[[#This Row],[x]],1)= "E","East",LEFT(O184,1) = "S", "South",LEFT(O184,1) = "N", "North")</f>
        <v>East</v>
      </c>
      <c r="Q184" t="s">
        <v>35</v>
      </c>
      <c r="R184" t="s">
        <v>16</v>
      </c>
      <c r="S184" t="str">
        <f>TEXT(indian_retail_raw_1000[[#This Row],[Order_Date]],"MMM")</f>
        <v>Nov</v>
      </c>
    </row>
    <row r="185" spans="1:19" x14ac:dyDescent="0.25">
      <c r="A185" t="s">
        <v>1069</v>
      </c>
      <c r="B185" s="1">
        <v>44984</v>
      </c>
      <c r="C185" t="s">
        <v>28</v>
      </c>
      <c r="D185">
        <v>62</v>
      </c>
      <c r="E185" t="s">
        <v>16</v>
      </c>
      <c r="F185" t="s">
        <v>35</v>
      </c>
      <c r="G185" t="s">
        <v>147</v>
      </c>
      <c r="H185">
        <v>5</v>
      </c>
      <c r="I185">
        <v>427</v>
      </c>
      <c r="J185">
        <v>0</v>
      </c>
      <c r="K185" t="s">
        <v>19</v>
      </c>
      <c r="L185" t="s">
        <v>56</v>
      </c>
      <c r="M1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85">
        <v>2135</v>
      </c>
      <c r="O185" t="s">
        <v>38</v>
      </c>
      <c r="P185" t="str">
        <f>_xlfn.IFS(LEFT(indian_retail_raw_1000[[#This Row],[x]],1)="W", "West",LEFT(indian_retail_raw_1000[[#This Row],[x]],1)= "E","East",LEFT(O185,1) = "S", "South",LEFT(O185,1) = "N", "North")</f>
        <v>North</v>
      </c>
      <c r="Q185" t="s">
        <v>35</v>
      </c>
      <c r="R185" t="s">
        <v>16</v>
      </c>
      <c r="S185" t="str">
        <f>TEXT(indian_retail_raw_1000[[#This Row],[Order_Date]],"MMM")</f>
        <v>Feb</v>
      </c>
    </row>
    <row r="186" spans="1:19" x14ac:dyDescent="0.25">
      <c r="A186" t="s">
        <v>576</v>
      </c>
      <c r="B186" s="1">
        <v>44937</v>
      </c>
      <c r="C186" t="s">
        <v>1336</v>
      </c>
      <c r="D186">
        <v>37</v>
      </c>
      <c r="E186" t="s">
        <v>16</v>
      </c>
      <c r="F186" t="s">
        <v>35</v>
      </c>
      <c r="G186" t="s">
        <v>139</v>
      </c>
      <c r="H186">
        <v>5</v>
      </c>
      <c r="I186">
        <v>479</v>
      </c>
      <c r="J186">
        <v>10</v>
      </c>
      <c r="K186" t="s">
        <v>222</v>
      </c>
      <c r="L186" t="s">
        <v>20</v>
      </c>
      <c r="M1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6">
        <v>2155.5</v>
      </c>
      <c r="O186" t="s">
        <v>38</v>
      </c>
      <c r="P186" t="str">
        <f>_xlfn.IFS(LEFT(indian_retail_raw_1000[[#This Row],[x]],1)="W", "West",LEFT(indian_retail_raw_1000[[#This Row],[x]],1)= "E","East",LEFT(O186,1) = "S", "South",LEFT(O186,1) = "N", "North")</f>
        <v>North</v>
      </c>
      <c r="Q186" t="s">
        <v>35</v>
      </c>
      <c r="R186" t="s">
        <v>16</v>
      </c>
      <c r="S186" t="str">
        <f>TEXT(indian_retail_raw_1000[[#This Row],[Order_Date]],"MMM")</f>
        <v>Jan</v>
      </c>
    </row>
    <row r="187" spans="1:19" x14ac:dyDescent="0.25">
      <c r="A187" t="s">
        <v>636</v>
      </c>
      <c r="B187" s="1">
        <v>45078</v>
      </c>
      <c r="C187" t="s">
        <v>1336</v>
      </c>
      <c r="D187">
        <v>21</v>
      </c>
      <c r="E187" t="s">
        <v>16</v>
      </c>
      <c r="F187" t="s">
        <v>35</v>
      </c>
      <c r="G187" t="s">
        <v>63</v>
      </c>
      <c r="H187">
        <v>1</v>
      </c>
      <c r="I187">
        <v>2273</v>
      </c>
      <c r="J187">
        <v>5</v>
      </c>
      <c r="K187" t="s">
        <v>41</v>
      </c>
      <c r="L187" t="s">
        <v>20</v>
      </c>
      <c r="M1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7">
        <v>2159.35</v>
      </c>
      <c r="O187" t="s">
        <v>379</v>
      </c>
      <c r="P187" t="str">
        <f>_xlfn.IFS(LEFT(indian_retail_raw_1000[[#This Row],[x]],1)="W", "West",LEFT(indian_retail_raw_1000[[#This Row],[x]],1)= "E","East",LEFT(O187,1) = "S", "South",LEFT(O187,1) = "N", "North")</f>
        <v>South</v>
      </c>
      <c r="Q187" t="s">
        <v>35</v>
      </c>
      <c r="R187" t="s">
        <v>16</v>
      </c>
      <c r="S187" t="str">
        <f>TEXT(indian_retail_raw_1000[[#This Row],[Order_Date]],"MMM")</f>
        <v>Jun</v>
      </c>
    </row>
    <row r="188" spans="1:19" x14ac:dyDescent="0.25">
      <c r="A188" t="s">
        <v>1109</v>
      </c>
      <c r="B188" s="1" t="s">
        <v>1336</v>
      </c>
      <c r="C188" t="s">
        <v>1336</v>
      </c>
      <c r="D188">
        <v>35</v>
      </c>
      <c r="E188" t="s">
        <v>23</v>
      </c>
      <c r="F188" t="s">
        <v>17</v>
      </c>
      <c r="G188" t="s">
        <v>189</v>
      </c>
      <c r="H188">
        <v>1</v>
      </c>
      <c r="I188">
        <v>2400</v>
      </c>
      <c r="J188">
        <v>10</v>
      </c>
      <c r="K188" t="s">
        <v>222</v>
      </c>
      <c r="L188" t="s">
        <v>56</v>
      </c>
      <c r="M1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88">
        <v>2160</v>
      </c>
      <c r="O188" t="s">
        <v>45</v>
      </c>
      <c r="P188" t="str">
        <f>_xlfn.IFS(LEFT(indian_retail_raw_1000[[#This Row],[x]],1)="W", "West",LEFT(indian_retail_raw_1000[[#This Row],[x]],1)= "E","East",LEFT(O188,1) = "S", "South",LEFT(O188,1) = "N", "North")</f>
        <v>East</v>
      </c>
      <c r="Q188" t="s">
        <v>17</v>
      </c>
      <c r="R188" t="s">
        <v>23</v>
      </c>
      <c r="S188" t="str">
        <f>TEXT(indian_retail_raw_1000[[#This Row],[Order_Date]],"MMM")</f>
        <v>Null</v>
      </c>
    </row>
    <row r="189" spans="1:19" x14ac:dyDescent="0.25">
      <c r="A189" t="s">
        <v>181</v>
      </c>
      <c r="B189" s="1">
        <v>45275</v>
      </c>
      <c r="C189" t="s">
        <v>48</v>
      </c>
      <c r="D189">
        <v>47</v>
      </c>
      <c r="E189" t="s">
        <v>16</v>
      </c>
      <c r="F189" t="s">
        <v>17</v>
      </c>
      <c r="G189" t="s">
        <v>18</v>
      </c>
      <c r="H189">
        <v>1</v>
      </c>
      <c r="I189">
        <v>2300</v>
      </c>
      <c r="J189">
        <v>5</v>
      </c>
      <c r="K189" t="s">
        <v>50</v>
      </c>
      <c r="L189" t="s">
        <v>51</v>
      </c>
      <c r="M1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89">
        <v>2185</v>
      </c>
      <c r="O189" t="s">
        <v>26</v>
      </c>
      <c r="P189" t="str">
        <f>_xlfn.IFS(LEFT(indian_retail_raw_1000[[#This Row],[x]],1)="W", "West",LEFT(indian_retail_raw_1000[[#This Row],[x]],1)= "E","East",LEFT(O189,1) = "S", "South",LEFT(O189,1) = "N", "North")</f>
        <v>West</v>
      </c>
      <c r="Q189" t="s">
        <v>17</v>
      </c>
      <c r="R189" t="s">
        <v>16</v>
      </c>
      <c r="S189" t="str">
        <f>TEXT(indian_retail_raw_1000[[#This Row],[Order_Date]],"MMM")</f>
        <v>Dec</v>
      </c>
    </row>
    <row r="190" spans="1:19" x14ac:dyDescent="0.25">
      <c r="A190" t="s">
        <v>164</v>
      </c>
      <c r="B190" s="1">
        <v>45048</v>
      </c>
      <c r="C190" t="s">
        <v>165</v>
      </c>
      <c r="D190">
        <v>33</v>
      </c>
      <c r="E190" t="s">
        <v>16</v>
      </c>
      <c r="F190" t="s">
        <v>35</v>
      </c>
      <c r="G190" t="s">
        <v>166</v>
      </c>
      <c r="H190">
        <v>5</v>
      </c>
      <c r="I190">
        <v>731</v>
      </c>
      <c r="J190">
        <v>40</v>
      </c>
      <c r="K190" t="s">
        <v>19</v>
      </c>
      <c r="L190" t="s">
        <v>20</v>
      </c>
      <c r="M1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0">
        <v>2193</v>
      </c>
      <c r="O190" t="s">
        <v>167</v>
      </c>
      <c r="P190" t="str">
        <f>_xlfn.IFS(LEFT(indian_retail_raw_1000[[#This Row],[x]],1)="W", "West",LEFT(indian_retail_raw_1000[[#This Row],[x]],1)= "E","East",LEFT(O190,1) = "S", "South",LEFT(O190,1) = "N", "North")</f>
        <v>North</v>
      </c>
      <c r="Q190" t="s">
        <v>35</v>
      </c>
      <c r="R190" t="s">
        <v>16</v>
      </c>
      <c r="S190" t="str">
        <f>TEXT(indian_retail_raw_1000[[#This Row],[Order_Date]],"MMM")</f>
        <v>May</v>
      </c>
    </row>
    <row r="191" spans="1:19" x14ac:dyDescent="0.25">
      <c r="A191" t="s">
        <v>1303</v>
      </c>
      <c r="B191" s="1" t="s">
        <v>1336</v>
      </c>
      <c r="C191" t="s">
        <v>1336</v>
      </c>
      <c r="D191">
        <v>56</v>
      </c>
      <c r="E191" t="s">
        <v>23</v>
      </c>
      <c r="F191" t="s">
        <v>35</v>
      </c>
      <c r="G191" t="s">
        <v>36</v>
      </c>
      <c r="H191">
        <v>4</v>
      </c>
      <c r="I191">
        <v>733</v>
      </c>
      <c r="J191">
        <v>25</v>
      </c>
      <c r="K191" t="s">
        <v>50</v>
      </c>
      <c r="L191" t="s">
        <v>20</v>
      </c>
      <c r="M1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1">
        <v>2199</v>
      </c>
      <c r="O191" t="s">
        <v>167</v>
      </c>
      <c r="P191" t="str">
        <f>_xlfn.IFS(LEFT(indian_retail_raw_1000[[#This Row],[x]],1)="W", "West",LEFT(indian_retail_raw_1000[[#This Row],[x]],1)= "E","East",LEFT(O191,1) = "S", "South",LEFT(O191,1) = "N", "North")</f>
        <v>North</v>
      </c>
      <c r="Q191" t="s">
        <v>35</v>
      </c>
      <c r="R191" t="s">
        <v>23</v>
      </c>
      <c r="S191" t="str">
        <f>TEXT(indian_retail_raw_1000[[#This Row],[Order_Date]],"MMM")</f>
        <v>Null</v>
      </c>
    </row>
    <row r="192" spans="1:19" x14ac:dyDescent="0.25">
      <c r="A192" t="s">
        <v>71</v>
      </c>
      <c r="B192" s="1">
        <v>45182</v>
      </c>
      <c r="C192" t="s">
        <v>72</v>
      </c>
      <c r="D192">
        <v>36</v>
      </c>
      <c r="E192" t="s">
        <v>73</v>
      </c>
      <c r="F192" t="s">
        <v>30</v>
      </c>
      <c r="G192" t="s">
        <v>31</v>
      </c>
      <c r="H192">
        <v>2</v>
      </c>
      <c r="I192">
        <v>2218</v>
      </c>
      <c r="J192">
        <v>50</v>
      </c>
      <c r="K192" t="s">
        <v>41</v>
      </c>
      <c r="L192" t="s">
        <v>20</v>
      </c>
      <c r="M1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2">
        <v>2218</v>
      </c>
      <c r="O192" t="s">
        <v>74</v>
      </c>
      <c r="P192" t="str">
        <f>_xlfn.IFS(LEFT(indian_retail_raw_1000[[#This Row],[x]],1)="W", "West",LEFT(indian_retail_raw_1000[[#This Row],[x]],1)= "E","East",LEFT(O192,1) = "S", "South",LEFT(O192,1) = "N", "North")</f>
        <v>West</v>
      </c>
      <c r="Q192" t="s">
        <v>30</v>
      </c>
      <c r="R192" t="s">
        <v>23</v>
      </c>
      <c r="S192" t="str">
        <f>TEXT(indian_retail_raw_1000[[#This Row],[Order_Date]],"MMM")</f>
        <v>Sep</v>
      </c>
    </row>
    <row r="193" spans="1:19" x14ac:dyDescent="0.25">
      <c r="A193" t="s">
        <v>1103</v>
      </c>
      <c r="B193" s="1">
        <v>45086</v>
      </c>
      <c r="C193" t="s">
        <v>110</v>
      </c>
      <c r="D193">
        <v>25</v>
      </c>
      <c r="E193" t="s">
        <v>16</v>
      </c>
      <c r="F193" t="s">
        <v>30</v>
      </c>
      <c r="G193" t="s">
        <v>294</v>
      </c>
      <c r="H193">
        <v>3</v>
      </c>
      <c r="I193">
        <v>744</v>
      </c>
      <c r="J193">
        <v>0</v>
      </c>
      <c r="K193" t="s">
        <v>19</v>
      </c>
      <c r="L193" t="s">
        <v>417</v>
      </c>
      <c r="M1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93">
        <v>2232</v>
      </c>
      <c r="O193" t="s">
        <v>21</v>
      </c>
      <c r="P193" t="str">
        <f>_xlfn.IFS(LEFT(indian_retail_raw_1000[[#This Row],[x]],1)="W", "West",LEFT(indian_retail_raw_1000[[#This Row],[x]],1)= "E","East",LEFT(O193,1) = "S", "South",LEFT(O193,1) = "N", "North")</f>
        <v>South</v>
      </c>
      <c r="Q193" t="s">
        <v>30</v>
      </c>
      <c r="R193" t="s">
        <v>16</v>
      </c>
      <c r="S193" t="str">
        <f>TEXT(indian_retail_raw_1000[[#This Row],[Order_Date]],"MMM")</f>
        <v>Jun</v>
      </c>
    </row>
    <row r="194" spans="1:19" x14ac:dyDescent="0.25">
      <c r="A194" t="s">
        <v>325</v>
      </c>
      <c r="B194" s="1">
        <v>45080</v>
      </c>
      <c r="C194" t="s">
        <v>72</v>
      </c>
      <c r="D194">
        <v>63</v>
      </c>
      <c r="E194" t="s">
        <v>16</v>
      </c>
      <c r="F194" t="s">
        <v>30</v>
      </c>
      <c r="G194" t="s">
        <v>294</v>
      </c>
      <c r="H194">
        <v>9</v>
      </c>
      <c r="I194">
        <v>415</v>
      </c>
      <c r="J194">
        <v>40</v>
      </c>
      <c r="K194" t="s">
        <v>326</v>
      </c>
      <c r="L194" t="s">
        <v>20</v>
      </c>
      <c r="M1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4">
        <v>2241</v>
      </c>
      <c r="O194" t="s">
        <v>26</v>
      </c>
      <c r="P194" t="str">
        <f>_xlfn.IFS(LEFT(indian_retail_raw_1000[[#This Row],[x]],1)="W", "West",LEFT(indian_retail_raw_1000[[#This Row],[x]],1)= "E","East",LEFT(O194,1) = "S", "South",LEFT(O194,1) = "N", "North")</f>
        <v>West</v>
      </c>
      <c r="Q194" t="s">
        <v>30</v>
      </c>
      <c r="R194" t="s">
        <v>16</v>
      </c>
      <c r="S194" t="str">
        <f>TEXT(indian_retail_raw_1000[[#This Row],[Order_Date]],"MMM")</f>
        <v>Jun</v>
      </c>
    </row>
    <row r="195" spans="1:19" x14ac:dyDescent="0.25">
      <c r="A195" t="s">
        <v>343</v>
      </c>
      <c r="B195" s="1">
        <v>45275</v>
      </c>
      <c r="C195" t="s">
        <v>102</v>
      </c>
      <c r="D195">
        <v>42</v>
      </c>
      <c r="E195" t="s">
        <v>138</v>
      </c>
      <c r="F195" t="s">
        <v>30</v>
      </c>
      <c r="G195" t="s">
        <v>224</v>
      </c>
      <c r="H195">
        <v>3</v>
      </c>
      <c r="I195">
        <v>788</v>
      </c>
      <c r="J195">
        <v>5</v>
      </c>
      <c r="K195" t="s">
        <v>41</v>
      </c>
      <c r="L195" t="s">
        <v>20</v>
      </c>
      <c r="M1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5">
        <v>2245.8000000000002</v>
      </c>
      <c r="O195" t="s">
        <v>21</v>
      </c>
      <c r="P195" t="str">
        <f>_xlfn.IFS(LEFT(indian_retail_raw_1000[[#This Row],[x]],1)="W", "West",LEFT(indian_retail_raw_1000[[#This Row],[x]],1)= "E","East",LEFT(O195,1) = "S", "South",LEFT(O195,1) = "N", "North")</f>
        <v>South</v>
      </c>
      <c r="Q195" t="s">
        <v>30</v>
      </c>
      <c r="R195" t="s">
        <v>138</v>
      </c>
      <c r="S195" t="str">
        <f>TEXT(indian_retail_raw_1000[[#This Row],[Order_Date]],"MMM")</f>
        <v>Dec</v>
      </c>
    </row>
    <row r="196" spans="1:19" x14ac:dyDescent="0.25">
      <c r="A196" t="s">
        <v>766</v>
      </c>
      <c r="B196" s="1" t="s">
        <v>1336</v>
      </c>
      <c r="C196" t="s">
        <v>152</v>
      </c>
      <c r="D196">
        <v>56</v>
      </c>
      <c r="E196" t="s">
        <v>16</v>
      </c>
      <c r="F196" t="s">
        <v>35</v>
      </c>
      <c r="G196" t="s">
        <v>166</v>
      </c>
      <c r="H196">
        <v>6</v>
      </c>
      <c r="I196">
        <v>538</v>
      </c>
      <c r="J196">
        <v>30</v>
      </c>
      <c r="K196" t="s">
        <v>89</v>
      </c>
      <c r="L196" t="s">
        <v>20</v>
      </c>
      <c r="M1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6">
        <v>2259.6</v>
      </c>
      <c r="O196" t="s">
        <v>26</v>
      </c>
      <c r="P196" t="str">
        <f>_xlfn.IFS(LEFT(indian_retail_raw_1000[[#This Row],[x]],1)="W", "West",LEFT(indian_retail_raw_1000[[#This Row],[x]],1)= "E","East",LEFT(O196,1) = "S", "South",LEFT(O196,1) = "N", "North")</f>
        <v>West</v>
      </c>
      <c r="Q196" t="s">
        <v>35</v>
      </c>
      <c r="R196" t="s">
        <v>16</v>
      </c>
      <c r="S196" t="str">
        <f>TEXT(indian_retail_raw_1000[[#This Row],[Order_Date]],"MMM")</f>
        <v>Null</v>
      </c>
    </row>
    <row r="197" spans="1:19" x14ac:dyDescent="0.25">
      <c r="A197" t="s">
        <v>938</v>
      </c>
      <c r="B197" s="1">
        <v>44960</v>
      </c>
      <c r="C197" t="s">
        <v>1336</v>
      </c>
      <c r="D197">
        <v>47</v>
      </c>
      <c r="E197" t="s">
        <v>23</v>
      </c>
      <c r="F197" t="s">
        <v>35</v>
      </c>
      <c r="G197" t="s">
        <v>331</v>
      </c>
      <c r="H197">
        <v>8</v>
      </c>
      <c r="I197">
        <v>355</v>
      </c>
      <c r="J197">
        <v>20</v>
      </c>
      <c r="K197" t="s">
        <v>19</v>
      </c>
      <c r="L197" t="s">
        <v>20</v>
      </c>
      <c r="M1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7">
        <v>2272</v>
      </c>
      <c r="O197" t="s">
        <v>38</v>
      </c>
      <c r="P197" t="str">
        <f>_xlfn.IFS(LEFT(indian_retail_raw_1000[[#This Row],[x]],1)="W", "West",LEFT(indian_retail_raw_1000[[#This Row],[x]],1)= "E","East",LEFT(O197,1) = "S", "South",LEFT(O197,1) = "N", "North")</f>
        <v>North</v>
      </c>
      <c r="Q197" t="s">
        <v>35</v>
      </c>
      <c r="R197" t="s">
        <v>23</v>
      </c>
      <c r="S197" t="str">
        <f>TEXT(indian_retail_raw_1000[[#This Row],[Order_Date]],"MMM")</f>
        <v>Feb</v>
      </c>
    </row>
    <row r="198" spans="1:19" x14ac:dyDescent="0.25">
      <c r="A198" t="s">
        <v>1177</v>
      </c>
      <c r="B198" s="1" t="s">
        <v>1336</v>
      </c>
      <c r="C198" t="s">
        <v>1336</v>
      </c>
      <c r="D198">
        <v>60</v>
      </c>
      <c r="E198" t="s">
        <v>16</v>
      </c>
      <c r="F198" t="s">
        <v>17</v>
      </c>
      <c r="G198" t="s">
        <v>40</v>
      </c>
      <c r="H198">
        <v>1</v>
      </c>
      <c r="I198">
        <v>4550</v>
      </c>
      <c r="J198">
        <v>50</v>
      </c>
      <c r="K198" t="s">
        <v>50</v>
      </c>
      <c r="L198" t="s">
        <v>51</v>
      </c>
      <c r="M1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98">
        <v>2275</v>
      </c>
      <c r="O198" t="s">
        <v>685</v>
      </c>
      <c r="P198" t="str">
        <f>_xlfn.IFS(LEFT(indian_retail_raw_1000[[#This Row],[x]],1)="W", "West",LEFT(indian_retail_raw_1000[[#This Row],[x]],1)= "E","East",LEFT(O198,1) = "S", "South",LEFT(O198,1) = "N", "North")</f>
        <v>South</v>
      </c>
      <c r="Q198" t="s">
        <v>17</v>
      </c>
      <c r="R198" t="s">
        <v>16</v>
      </c>
      <c r="S198" t="str">
        <f>TEXT(indian_retail_raw_1000[[#This Row],[Order_Date]],"MMM")</f>
        <v>Null</v>
      </c>
    </row>
    <row r="199" spans="1:19" x14ac:dyDescent="0.25">
      <c r="A199" t="s">
        <v>482</v>
      </c>
      <c r="B199" s="1" t="s">
        <v>1336</v>
      </c>
      <c r="C199" t="s">
        <v>48</v>
      </c>
      <c r="D199">
        <v>20</v>
      </c>
      <c r="E199" t="s">
        <v>16</v>
      </c>
      <c r="F199" t="s">
        <v>35</v>
      </c>
      <c r="G199" t="s">
        <v>147</v>
      </c>
      <c r="H199">
        <v>6</v>
      </c>
      <c r="I199">
        <v>400</v>
      </c>
      <c r="J199">
        <v>5</v>
      </c>
      <c r="K199" t="s">
        <v>25</v>
      </c>
      <c r="L199" t="s">
        <v>20</v>
      </c>
      <c r="M1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9">
        <v>2280</v>
      </c>
      <c r="O199" t="s">
        <v>38</v>
      </c>
      <c r="P199" t="str">
        <f>_xlfn.IFS(LEFT(indian_retail_raw_1000[[#This Row],[x]],1)="W", "West",LEFT(indian_retail_raw_1000[[#This Row],[x]],1)= "E","East",LEFT(O199,1) = "S", "South",LEFT(O199,1) = "N", "North")</f>
        <v>North</v>
      </c>
      <c r="Q199" t="s">
        <v>35</v>
      </c>
      <c r="R199" t="s">
        <v>16</v>
      </c>
      <c r="S199" t="str">
        <f>TEXT(indian_retail_raw_1000[[#This Row],[Order_Date]],"MMM")</f>
        <v>Null</v>
      </c>
    </row>
    <row r="200" spans="1:19" x14ac:dyDescent="0.25">
      <c r="A200" t="s">
        <v>1143</v>
      </c>
      <c r="B200" s="1" t="s">
        <v>1336</v>
      </c>
      <c r="C200" t="s">
        <v>160</v>
      </c>
      <c r="D200">
        <v>43</v>
      </c>
      <c r="E200" t="s">
        <v>23</v>
      </c>
      <c r="F200" t="s">
        <v>347</v>
      </c>
      <c r="G200" t="s">
        <v>348</v>
      </c>
      <c r="H200">
        <v>2</v>
      </c>
      <c r="I200">
        <v>1900</v>
      </c>
      <c r="J200">
        <v>40</v>
      </c>
      <c r="K200" t="s">
        <v>19</v>
      </c>
      <c r="L200" t="s">
        <v>20</v>
      </c>
      <c r="M2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00">
        <v>2280</v>
      </c>
      <c r="O200" t="s">
        <v>38</v>
      </c>
      <c r="P200" t="str">
        <f>_xlfn.IFS(LEFT(indian_retail_raw_1000[[#This Row],[x]],1)="W", "West",LEFT(indian_retail_raw_1000[[#This Row],[x]],1)= "E","East",LEFT(O200,1) = "S", "South",LEFT(O200,1) = "N", "North")</f>
        <v>North</v>
      </c>
      <c r="Q200" t="s">
        <v>54</v>
      </c>
      <c r="R200" t="s">
        <v>23</v>
      </c>
      <c r="S200" t="str">
        <f>TEXT(indian_retail_raw_1000[[#This Row],[Order_Date]],"MMM")</f>
        <v>Null</v>
      </c>
    </row>
    <row r="201" spans="1:19" x14ac:dyDescent="0.25">
      <c r="A201" t="s">
        <v>827</v>
      </c>
      <c r="B201" s="1">
        <v>45238</v>
      </c>
      <c r="C201" t="s">
        <v>170</v>
      </c>
      <c r="D201">
        <v>64</v>
      </c>
      <c r="E201" t="s">
        <v>23</v>
      </c>
      <c r="F201" t="s">
        <v>30</v>
      </c>
      <c r="G201" t="s">
        <v>153</v>
      </c>
      <c r="H201">
        <v>2</v>
      </c>
      <c r="I201">
        <v>1915</v>
      </c>
      <c r="J201">
        <v>40</v>
      </c>
      <c r="K201" t="s">
        <v>50</v>
      </c>
      <c r="L201" t="s">
        <v>20</v>
      </c>
      <c r="M2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01">
        <v>2298</v>
      </c>
      <c r="O201" t="s">
        <v>21</v>
      </c>
      <c r="P201" t="str">
        <f>_xlfn.IFS(LEFT(indian_retail_raw_1000[[#This Row],[x]],1)="W", "West",LEFT(indian_retail_raw_1000[[#This Row],[x]],1)= "E","East",LEFT(O201,1) = "S", "South",LEFT(O201,1) = "N", "North")</f>
        <v>South</v>
      </c>
      <c r="Q201" t="s">
        <v>30</v>
      </c>
      <c r="R201" t="s">
        <v>23</v>
      </c>
      <c r="S201" t="str">
        <f>TEXT(indian_retail_raw_1000[[#This Row],[Order_Date]],"MMM")</f>
        <v>Nov</v>
      </c>
    </row>
    <row r="202" spans="1:19" x14ac:dyDescent="0.25">
      <c r="A202" t="s">
        <v>925</v>
      </c>
      <c r="B202" s="1" t="s">
        <v>1336</v>
      </c>
      <c r="C202" t="s">
        <v>62</v>
      </c>
      <c r="D202">
        <v>61</v>
      </c>
      <c r="E202" t="s">
        <v>16</v>
      </c>
      <c r="F202" t="s">
        <v>17</v>
      </c>
      <c r="G202" t="s">
        <v>94</v>
      </c>
      <c r="H202">
        <v>1</v>
      </c>
      <c r="I202">
        <v>2300</v>
      </c>
      <c r="K202" t="s">
        <v>41</v>
      </c>
      <c r="L202" t="s">
        <v>51</v>
      </c>
      <c r="M2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02">
        <v>2300</v>
      </c>
      <c r="O202" t="s">
        <v>21</v>
      </c>
      <c r="P202" t="str">
        <f>_xlfn.IFS(LEFT(indian_retail_raw_1000[[#This Row],[x]],1)="W", "West",LEFT(indian_retail_raw_1000[[#This Row],[x]],1)= "E","East",LEFT(O202,1) = "S", "South",LEFT(O202,1) = "N", "North")</f>
        <v>South</v>
      </c>
      <c r="Q202" t="s">
        <v>17</v>
      </c>
      <c r="R202" t="s">
        <v>16</v>
      </c>
      <c r="S202" t="str">
        <f>TEXT(indian_retail_raw_1000[[#This Row],[Order_Date]],"MMM")</f>
        <v>Null</v>
      </c>
    </row>
    <row r="203" spans="1:19" x14ac:dyDescent="0.25">
      <c r="A203" t="s">
        <v>341</v>
      </c>
      <c r="B203" s="1">
        <v>45089</v>
      </c>
      <c r="C203" t="s">
        <v>152</v>
      </c>
      <c r="D203">
        <v>48</v>
      </c>
      <c r="E203" t="s">
        <v>16</v>
      </c>
      <c r="F203" t="s">
        <v>35</v>
      </c>
      <c r="G203" t="s">
        <v>257</v>
      </c>
      <c r="H203">
        <v>3</v>
      </c>
      <c r="I203">
        <v>1023</v>
      </c>
      <c r="J203">
        <v>25</v>
      </c>
      <c r="K203" t="s">
        <v>50</v>
      </c>
      <c r="L203" t="s">
        <v>20</v>
      </c>
      <c r="M2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03">
        <v>2301.75</v>
      </c>
      <c r="O203" t="s">
        <v>26</v>
      </c>
      <c r="P203" t="str">
        <f>_xlfn.IFS(LEFT(indian_retail_raw_1000[[#This Row],[x]],1)="W", "West",LEFT(indian_retail_raw_1000[[#This Row],[x]],1)= "E","East",LEFT(O203,1) = "S", "South",LEFT(O203,1) = "N", "North")</f>
        <v>West</v>
      </c>
      <c r="Q203" t="s">
        <v>35</v>
      </c>
      <c r="R203" t="s">
        <v>16</v>
      </c>
      <c r="S203" t="str">
        <f>TEXT(indian_retail_raw_1000[[#This Row],[Order_Date]],"MMM")</f>
        <v>Jun</v>
      </c>
    </row>
    <row r="204" spans="1:19" x14ac:dyDescent="0.25">
      <c r="A204" t="s">
        <v>1280</v>
      </c>
      <c r="B204" s="1">
        <v>45085</v>
      </c>
      <c r="C204" t="s">
        <v>28</v>
      </c>
      <c r="D204">
        <v>28</v>
      </c>
      <c r="E204" t="s">
        <v>16</v>
      </c>
      <c r="F204" t="s">
        <v>35</v>
      </c>
      <c r="G204" t="s">
        <v>213</v>
      </c>
      <c r="H204">
        <v>6</v>
      </c>
      <c r="I204">
        <v>519</v>
      </c>
      <c r="J204">
        <v>25</v>
      </c>
      <c r="K204" t="s">
        <v>19</v>
      </c>
      <c r="L204" t="s">
        <v>56</v>
      </c>
      <c r="M2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04">
        <v>2335.5</v>
      </c>
      <c r="O204" t="s">
        <v>349</v>
      </c>
      <c r="P204" t="str">
        <f>_xlfn.IFS(LEFT(indian_retail_raw_1000[[#This Row],[x]],1)="W", "West",LEFT(indian_retail_raw_1000[[#This Row],[x]],1)= "E","East",LEFT(O204,1) = "S", "South",LEFT(O204,1) = "N", "North")</f>
        <v>South</v>
      </c>
      <c r="Q204" t="s">
        <v>35</v>
      </c>
      <c r="R204" t="s">
        <v>16</v>
      </c>
      <c r="S204" t="str">
        <f>TEXT(indian_retail_raw_1000[[#This Row],[Order_Date]],"MMM")</f>
        <v>Jun</v>
      </c>
    </row>
    <row r="205" spans="1:19" x14ac:dyDescent="0.25">
      <c r="A205" t="s">
        <v>306</v>
      </c>
      <c r="B205" s="1" t="s">
        <v>1336</v>
      </c>
      <c r="C205" t="s">
        <v>170</v>
      </c>
      <c r="D205">
        <v>37</v>
      </c>
      <c r="E205" t="s">
        <v>23</v>
      </c>
      <c r="F205" t="s">
        <v>35</v>
      </c>
      <c r="G205" t="s">
        <v>257</v>
      </c>
      <c r="H205">
        <v>6</v>
      </c>
      <c r="I205">
        <v>787</v>
      </c>
      <c r="J205">
        <v>50</v>
      </c>
      <c r="K205" t="s">
        <v>50</v>
      </c>
      <c r="L205" t="s">
        <v>20</v>
      </c>
      <c r="M2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05">
        <v>2361</v>
      </c>
      <c r="O205" t="s">
        <v>38</v>
      </c>
      <c r="P205" t="str">
        <f>_xlfn.IFS(LEFT(indian_retail_raw_1000[[#This Row],[x]],1)="W", "West",LEFT(indian_retail_raw_1000[[#This Row],[x]],1)= "E","East",LEFT(O205,1) = "S", "South",LEFT(O205,1) = "N", "North")</f>
        <v>North</v>
      </c>
      <c r="Q205" t="s">
        <v>35</v>
      </c>
      <c r="R205" t="s">
        <v>23</v>
      </c>
      <c r="S205" t="str">
        <f>TEXT(indian_retail_raw_1000[[#This Row],[Order_Date]],"MMM")</f>
        <v>Null</v>
      </c>
    </row>
    <row r="206" spans="1:19" x14ac:dyDescent="0.25">
      <c r="A206" t="s">
        <v>1053</v>
      </c>
      <c r="B206" s="1">
        <v>45263</v>
      </c>
      <c r="C206" t="s">
        <v>102</v>
      </c>
      <c r="D206">
        <v>62</v>
      </c>
      <c r="E206" t="s">
        <v>23</v>
      </c>
      <c r="F206" t="s">
        <v>17</v>
      </c>
      <c r="G206" t="s">
        <v>49</v>
      </c>
      <c r="H206">
        <v>2</v>
      </c>
      <c r="I206">
        <v>1700</v>
      </c>
      <c r="J206">
        <v>30</v>
      </c>
      <c r="K206" t="s">
        <v>32</v>
      </c>
      <c r="L206" t="s">
        <v>56</v>
      </c>
      <c r="M2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06">
        <v>2380</v>
      </c>
      <c r="O206" t="s">
        <v>21</v>
      </c>
      <c r="P206" t="str">
        <f>_xlfn.IFS(LEFT(indian_retail_raw_1000[[#This Row],[x]],1)="W", "West",LEFT(indian_retail_raw_1000[[#This Row],[x]],1)= "E","East",LEFT(O206,1) = "S", "South",LEFT(O206,1) = "N", "North")</f>
        <v>South</v>
      </c>
      <c r="Q206" t="s">
        <v>17</v>
      </c>
      <c r="R206" t="s">
        <v>23</v>
      </c>
      <c r="S206" t="str">
        <f>TEXT(indian_retail_raw_1000[[#This Row],[Order_Date]],"MMM")</f>
        <v>Dec</v>
      </c>
    </row>
    <row r="207" spans="1:19" x14ac:dyDescent="0.25">
      <c r="A207" t="s">
        <v>1276</v>
      </c>
      <c r="B207" s="1" t="s">
        <v>1336</v>
      </c>
      <c r="C207" t="s">
        <v>43</v>
      </c>
      <c r="D207">
        <v>28</v>
      </c>
      <c r="E207" t="s">
        <v>16</v>
      </c>
      <c r="F207" t="s">
        <v>17</v>
      </c>
      <c r="G207" t="s">
        <v>186</v>
      </c>
      <c r="H207">
        <v>2</v>
      </c>
      <c r="I207">
        <v>1700</v>
      </c>
      <c r="J207">
        <v>30</v>
      </c>
      <c r="K207" t="s">
        <v>41</v>
      </c>
      <c r="L207" t="s">
        <v>56</v>
      </c>
      <c r="M2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07">
        <v>2380</v>
      </c>
      <c r="O207" t="s">
        <v>149</v>
      </c>
      <c r="P207" t="str">
        <f>_xlfn.IFS(LEFT(indian_retail_raw_1000[[#This Row],[x]],1)="W", "West",LEFT(indian_retail_raw_1000[[#This Row],[x]],1)= "E","East",LEFT(O207,1) = "S", "South",LEFT(O207,1) = "N", "North")</f>
        <v>West</v>
      </c>
      <c r="Q207" t="s">
        <v>17</v>
      </c>
      <c r="R207" t="s">
        <v>16</v>
      </c>
      <c r="S207" t="str">
        <f>TEXT(indian_retail_raw_1000[[#This Row],[Order_Date]],"MMM")</f>
        <v>Null</v>
      </c>
    </row>
    <row r="208" spans="1:19" x14ac:dyDescent="0.25">
      <c r="A208" t="s">
        <v>187</v>
      </c>
      <c r="B208" s="1">
        <v>44982</v>
      </c>
      <c r="C208" t="s">
        <v>188</v>
      </c>
      <c r="D208">
        <v>35</v>
      </c>
      <c r="E208" t="s">
        <v>23</v>
      </c>
      <c r="F208" t="s">
        <v>17</v>
      </c>
      <c r="G208" t="s">
        <v>189</v>
      </c>
      <c r="H208">
        <v>1</v>
      </c>
      <c r="I208">
        <v>2650</v>
      </c>
      <c r="J208">
        <v>10</v>
      </c>
      <c r="K208" t="s">
        <v>41</v>
      </c>
      <c r="L208" t="s">
        <v>51</v>
      </c>
      <c r="M2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08">
        <v>2385</v>
      </c>
      <c r="O208" t="s">
        <v>26</v>
      </c>
      <c r="P208" t="str">
        <f>_xlfn.IFS(LEFT(indian_retail_raw_1000[[#This Row],[x]],1)="W", "West",LEFT(indian_retail_raw_1000[[#This Row],[x]],1)= "E","East",LEFT(O208,1) = "S", "South",LEFT(O208,1) = "N", "North")</f>
        <v>West</v>
      </c>
      <c r="Q208" t="s">
        <v>17</v>
      </c>
      <c r="R208" t="s">
        <v>23</v>
      </c>
      <c r="S208" t="str">
        <f>TEXT(indian_retail_raw_1000[[#This Row],[Order_Date]],"MMM")</f>
        <v>Feb</v>
      </c>
    </row>
    <row r="209" spans="1:19" x14ac:dyDescent="0.25">
      <c r="A209" t="s">
        <v>430</v>
      </c>
      <c r="B209" s="1">
        <v>45172</v>
      </c>
      <c r="C209" t="s">
        <v>431</v>
      </c>
      <c r="D209">
        <v>36</v>
      </c>
      <c r="E209" t="s">
        <v>23</v>
      </c>
      <c r="F209" t="s">
        <v>35</v>
      </c>
      <c r="G209" t="s">
        <v>271</v>
      </c>
      <c r="H209">
        <v>4</v>
      </c>
      <c r="I209">
        <v>600</v>
      </c>
      <c r="J209">
        <v>0</v>
      </c>
      <c r="K209" t="s">
        <v>41</v>
      </c>
      <c r="L209" t="s">
        <v>20</v>
      </c>
      <c r="M2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09">
        <v>2400</v>
      </c>
      <c r="O209" t="s">
        <v>21</v>
      </c>
      <c r="P209" t="str">
        <f>_xlfn.IFS(LEFT(indian_retail_raw_1000[[#This Row],[x]],1)="W", "West",LEFT(indian_retail_raw_1000[[#This Row],[x]],1)= "E","East",LEFT(O209,1) = "S", "South",LEFT(O209,1) = "N", "North")</f>
        <v>South</v>
      </c>
      <c r="Q209" t="s">
        <v>35</v>
      </c>
      <c r="R209" t="s">
        <v>23</v>
      </c>
      <c r="S209" t="str">
        <f>TEXT(indian_retail_raw_1000[[#This Row],[Order_Date]],"MMM")</f>
        <v>Sep</v>
      </c>
    </row>
    <row r="210" spans="1:19" x14ac:dyDescent="0.25">
      <c r="A210" t="s">
        <v>1153</v>
      </c>
      <c r="B210" s="1">
        <v>44963</v>
      </c>
      <c r="C210" t="s">
        <v>1336</v>
      </c>
      <c r="D210">
        <v>27</v>
      </c>
      <c r="E210" t="s">
        <v>23</v>
      </c>
      <c r="F210" t="s">
        <v>433</v>
      </c>
      <c r="G210" t="s">
        <v>49</v>
      </c>
      <c r="H210">
        <v>3</v>
      </c>
      <c r="I210">
        <v>800</v>
      </c>
      <c r="J210">
        <v>0</v>
      </c>
      <c r="K210" t="s">
        <v>41</v>
      </c>
      <c r="L210" t="s">
        <v>51</v>
      </c>
      <c r="M2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10">
        <v>2400</v>
      </c>
      <c r="O210" t="s">
        <v>21</v>
      </c>
      <c r="P210" t="str">
        <f>_xlfn.IFS(LEFT(indian_retail_raw_1000[[#This Row],[x]],1)="W", "West",LEFT(indian_retail_raw_1000[[#This Row],[x]],1)= "E","East",LEFT(O210,1) = "S", "South",LEFT(O210,1) = "N", "North")</f>
        <v>South</v>
      </c>
      <c r="Q210" t="s">
        <v>17</v>
      </c>
      <c r="R210" t="s">
        <v>23</v>
      </c>
      <c r="S210" t="str">
        <f>TEXT(indian_retail_raw_1000[[#This Row],[Order_Date]],"MMM")</f>
        <v>Feb</v>
      </c>
    </row>
    <row r="211" spans="1:19" x14ac:dyDescent="0.25">
      <c r="A211" t="s">
        <v>1195</v>
      </c>
      <c r="B211" s="1">
        <v>44932</v>
      </c>
      <c r="C211" t="s">
        <v>1336</v>
      </c>
      <c r="D211">
        <v>22</v>
      </c>
      <c r="E211" t="s">
        <v>23</v>
      </c>
      <c r="F211" t="s">
        <v>17</v>
      </c>
      <c r="G211" t="s">
        <v>186</v>
      </c>
      <c r="H211">
        <v>1</v>
      </c>
      <c r="I211">
        <v>2400</v>
      </c>
      <c r="J211">
        <v>0</v>
      </c>
      <c r="K211" t="s">
        <v>50</v>
      </c>
      <c r="L211" t="s">
        <v>20</v>
      </c>
      <c r="M2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1">
        <v>2400</v>
      </c>
      <c r="O211" t="s">
        <v>21</v>
      </c>
      <c r="P211" t="str">
        <f>_xlfn.IFS(LEFT(indian_retail_raw_1000[[#This Row],[x]],1)="W", "West",LEFT(indian_retail_raw_1000[[#This Row],[x]],1)= "E","East",LEFT(O211,1) = "S", "South",LEFT(O211,1) = "N", "North")</f>
        <v>South</v>
      </c>
      <c r="Q211" t="s">
        <v>17</v>
      </c>
      <c r="R211" t="s">
        <v>23</v>
      </c>
      <c r="S211" t="str">
        <f>TEXT(indian_retail_raw_1000[[#This Row],[Order_Date]],"MMM")</f>
        <v>Jan</v>
      </c>
    </row>
    <row r="212" spans="1:19" x14ac:dyDescent="0.25">
      <c r="A212" t="s">
        <v>668</v>
      </c>
      <c r="B212" s="1">
        <v>45226</v>
      </c>
      <c r="C212" t="s">
        <v>43</v>
      </c>
      <c r="D212">
        <v>46</v>
      </c>
      <c r="E212" t="s">
        <v>16</v>
      </c>
      <c r="F212" t="s">
        <v>35</v>
      </c>
      <c r="G212" t="s">
        <v>111</v>
      </c>
      <c r="H212">
        <v>7</v>
      </c>
      <c r="I212">
        <v>347</v>
      </c>
      <c r="J212">
        <v>0</v>
      </c>
      <c r="K212" t="s">
        <v>41</v>
      </c>
      <c r="L212" t="s">
        <v>20</v>
      </c>
      <c r="M2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2">
        <v>2429</v>
      </c>
      <c r="O212" t="s">
        <v>26</v>
      </c>
      <c r="P212" t="str">
        <f>_xlfn.IFS(LEFT(indian_retail_raw_1000[[#This Row],[x]],1)="W", "West",LEFT(indian_retail_raw_1000[[#This Row],[x]],1)= "E","East",LEFT(O212,1) = "S", "South",LEFT(O212,1) = "N", "North")</f>
        <v>West</v>
      </c>
      <c r="Q212" t="s">
        <v>35</v>
      </c>
      <c r="R212" t="s">
        <v>16</v>
      </c>
      <c r="S212" t="str">
        <f>TEXT(indian_retail_raw_1000[[#This Row],[Order_Date]],"MMM")</f>
        <v>Oct</v>
      </c>
    </row>
    <row r="213" spans="1:19" x14ac:dyDescent="0.25">
      <c r="A213" t="s">
        <v>131</v>
      </c>
      <c r="B213" s="1">
        <v>44993</v>
      </c>
      <c r="C213" t="s">
        <v>628</v>
      </c>
      <c r="D213">
        <v>65</v>
      </c>
      <c r="E213" t="s">
        <v>16</v>
      </c>
      <c r="F213" t="s">
        <v>30</v>
      </c>
      <c r="G213" t="s">
        <v>67</v>
      </c>
      <c r="H213">
        <v>1</v>
      </c>
      <c r="I213">
        <v>2557</v>
      </c>
      <c r="J213">
        <v>5</v>
      </c>
      <c r="K213" t="s">
        <v>41</v>
      </c>
      <c r="L213" t="s">
        <v>51</v>
      </c>
      <c r="M2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13">
        <v>2429.15</v>
      </c>
      <c r="O213" t="s">
        <v>45</v>
      </c>
      <c r="P213" t="str">
        <f>_xlfn.IFS(LEFT(indian_retail_raw_1000[[#This Row],[x]],1)="W", "West",LEFT(indian_retail_raw_1000[[#This Row],[x]],1)= "E","East",LEFT(O213,1) = "S", "South",LEFT(O213,1) = "N", "North")</f>
        <v>East</v>
      </c>
      <c r="Q213" t="s">
        <v>30</v>
      </c>
      <c r="R213" t="s">
        <v>16</v>
      </c>
      <c r="S213" t="str">
        <f>TEXT(indian_retail_raw_1000[[#This Row],[Order_Date]],"MMM")</f>
        <v>Mar</v>
      </c>
    </row>
    <row r="214" spans="1:19" x14ac:dyDescent="0.25">
      <c r="A214" t="s">
        <v>446</v>
      </c>
      <c r="B214" s="1">
        <v>45276</v>
      </c>
      <c r="C214" t="s">
        <v>156</v>
      </c>
      <c r="E214" t="s">
        <v>23</v>
      </c>
      <c r="F214" t="s">
        <v>17</v>
      </c>
      <c r="G214" t="s">
        <v>49</v>
      </c>
      <c r="H214">
        <v>2</v>
      </c>
      <c r="I214">
        <v>1350</v>
      </c>
      <c r="J214">
        <v>10</v>
      </c>
      <c r="K214" t="s">
        <v>50</v>
      </c>
      <c r="L214" t="s">
        <v>20</v>
      </c>
      <c r="M2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4">
        <v>2430</v>
      </c>
      <c r="O214" t="s">
        <v>26</v>
      </c>
      <c r="P214" t="str">
        <f>_xlfn.IFS(LEFT(indian_retail_raw_1000[[#This Row],[x]],1)="W", "West",LEFT(indian_retail_raw_1000[[#This Row],[x]],1)= "E","East",LEFT(O214,1) = "S", "South",LEFT(O214,1) = "N", "North")</f>
        <v>West</v>
      </c>
      <c r="Q214" t="s">
        <v>17</v>
      </c>
      <c r="R214" t="s">
        <v>23</v>
      </c>
      <c r="S214" t="str">
        <f>TEXT(indian_retail_raw_1000[[#This Row],[Order_Date]],"MMM")</f>
        <v>Dec</v>
      </c>
    </row>
    <row r="215" spans="1:19" x14ac:dyDescent="0.25">
      <c r="A215" t="s">
        <v>1122</v>
      </c>
      <c r="B215" s="1">
        <v>45288</v>
      </c>
      <c r="C215" t="s">
        <v>211</v>
      </c>
      <c r="D215">
        <v>42</v>
      </c>
      <c r="E215" t="s">
        <v>23</v>
      </c>
      <c r="F215" t="s">
        <v>35</v>
      </c>
      <c r="G215" t="s">
        <v>99</v>
      </c>
      <c r="H215">
        <v>4</v>
      </c>
      <c r="I215">
        <v>1221</v>
      </c>
      <c r="J215">
        <v>50</v>
      </c>
      <c r="K215" t="s">
        <v>41</v>
      </c>
      <c r="L215" t="s">
        <v>100</v>
      </c>
      <c r="M2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15">
        <v>2442</v>
      </c>
      <c r="O215" t="s">
        <v>409</v>
      </c>
      <c r="P215" t="str">
        <f>_xlfn.IFS(LEFT(indian_retail_raw_1000[[#This Row],[x]],1)="W", "West",LEFT(indian_retail_raw_1000[[#This Row],[x]],1)= "E","East",LEFT(O215,1) = "S", "South",LEFT(O215,1) = "N", "North")</f>
        <v>South</v>
      </c>
      <c r="Q215" t="s">
        <v>35</v>
      </c>
      <c r="R215" t="s">
        <v>23</v>
      </c>
      <c r="S215" t="str">
        <f>TEXT(indian_retail_raw_1000[[#This Row],[Order_Date]],"MMM")</f>
        <v>Dec</v>
      </c>
    </row>
    <row r="216" spans="1:19" x14ac:dyDescent="0.25">
      <c r="A216" t="s">
        <v>902</v>
      </c>
      <c r="B216" s="1">
        <v>45133</v>
      </c>
      <c r="C216" t="s">
        <v>170</v>
      </c>
      <c r="D216">
        <v>63</v>
      </c>
      <c r="E216" t="s">
        <v>138</v>
      </c>
      <c r="F216" t="s">
        <v>17</v>
      </c>
      <c r="G216" t="s">
        <v>274</v>
      </c>
      <c r="H216">
        <v>2</v>
      </c>
      <c r="I216">
        <v>2450</v>
      </c>
      <c r="J216">
        <v>50</v>
      </c>
      <c r="K216" t="s">
        <v>41</v>
      </c>
      <c r="L216" t="s">
        <v>20</v>
      </c>
      <c r="M2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6">
        <v>2450</v>
      </c>
      <c r="O216" t="s">
        <v>21</v>
      </c>
      <c r="P216" t="str">
        <f>_xlfn.IFS(LEFT(indian_retail_raw_1000[[#This Row],[x]],1)="W", "West",LEFT(indian_retail_raw_1000[[#This Row],[x]],1)= "E","East",LEFT(O216,1) = "S", "South",LEFT(O216,1) = "N", "North")</f>
        <v>South</v>
      </c>
      <c r="Q216" t="s">
        <v>17</v>
      </c>
      <c r="R216" t="s">
        <v>138</v>
      </c>
      <c r="S216" t="str">
        <f>TEXT(indian_retail_raw_1000[[#This Row],[Order_Date]],"MMM")</f>
        <v>Jul</v>
      </c>
    </row>
    <row r="217" spans="1:19" x14ac:dyDescent="0.25">
      <c r="A217" t="s">
        <v>267</v>
      </c>
      <c r="B217" s="1" t="s">
        <v>1336</v>
      </c>
      <c r="C217" t="s">
        <v>156</v>
      </c>
      <c r="D217">
        <v>24</v>
      </c>
      <c r="E217" t="s">
        <v>23</v>
      </c>
      <c r="F217" t="s">
        <v>30</v>
      </c>
      <c r="G217" t="s">
        <v>268</v>
      </c>
      <c r="H217">
        <v>2</v>
      </c>
      <c r="I217">
        <v>1227</v>
      </c>
      <c r="J217">
        <v>0</v>
      </c>
      <c r="K217" t="s">
        <v>95</v>
      </c>
      <c r="L217" t="s">
        <v>20</v>
      </c>
      <c r="M2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7">
        <v>2454</v>
      </c>
      <c r="O217" t="s">
        <v>26</v>
      </c>
      <c r="P217" t="str">
        <f>_xlfn.IFS(LEFT(indian_retail_raw_1000[[#This Row],[x]],1)="W", "West",LEFT(indian_retail_raw_1000[[#This Row],[x]],1)= "E","East",LEFT(O217,1) = "S", "South",LEFT(O217,1) = "N", "North")</f>
        <v>West</v>
      </c>
      <c r="Q217" t="s">
        <v>30</v>
      </c>
      <c r="R217" t="s">
        <v>23</v>
      </c>
      <c r="S217" t="str">
        <f>TEXT(indian_retail_raw_1000[[#This Row],[Order_Date]],"MMM")</f>
        <v>Null</v>
      </c>
    </row>
    <row r="218" spans="1:19" x14ac:dyDescent="0.25">
      <c r="A218" t="s">
        <v>1101</v>
      </c>
      <c r="B218" s="1">
        <v>45118</v>
      </c>
      <c r="C218" t="s">
        <v>102</v>
      </c>
      <c r="D218">
        <v>23</v>
      </c>
      <c r="E218" t="s">
        <v>16</v>
      </c>
      <c r="F218" t="s">
        <v>177</v>
      </c>
      <c r="G218" t="s">
        <v>271</v>
      </c>
      <c r="H218">
        <v>6</v>
      </c>
      <c r="I218">
        <v>431</v>
      </c>
      <c r="J218">
        <v>5</v>
      </c>
      <c r="K218" t="s">
        <v>19</v>
      </c>
      <c r="L218" t="s">
        <v>20</v>
      </c>
      <c r="M2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8">
        <v>2456.6999999999998</v>
      </c>
      <c r="O218" t="s">
        <v>26</v>
      </c>
      <c r="P218" t="str">
        <f>_xlfn.IFS(LEFT(indian_retail_raw_1000[[#This Row],[x]],1)="W", "West",LEFT(indian_retail_raw_1000[[#This Row],[x]],1)= "E","East",LEFT(O218,1) = "S", "South",LEFT(O218,1) = "N", "North")</f>
        <v>West</v>
      </c>
      <c r="Q218" t="s">
        <v>35</v>
      </c>
      <c r="R218" t="s">
        <v>16</v>
      </c>
      <c r="S218" t="str">
        <f>TEXT(indian_retail_raw_1000[[#This Row],[Order_Date]],"MMM")</f>
        <v>Jul</v>
      </c>
    </row>
    <row r="219" spans="1:19" x14ac:dyDescent="0.25">
      <c r="A219" t="s">
        <v>298</v>
      </c>
      <c r="B219" s="1" t="s">
        <v>1336</v>
      </c>
      <c r="C219" t="s">
        <v>66</v>
      </c>
      <c r="D219">
        <v>47</v>
      </c>
      <c r="E219" t="s">
        <v>16</v>
      </c>
      <c r="F219" t="s">
        <v>35</v>
      </c>
      <c r="G219" t="s">
        <v>203</v>
      </c>
      <c r="H219">
        <v>6</v>
      </c>
      <c r="I219">
        <v>827</v>
      </c>
      <c r="J219">
        <v>50</v>
      </c>
      <c r="K219" t="s">
        <v>41</v>
      </c>
      <c r="L219" t="s">
        <v>20</v>
      </c>
      <c r="M2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9">
        <v>2481</v>
      </c>
      <c r="O219" t="s">
        <v>26</v>
      </c>
      <c r="P219" t="str">
        <f>_xlfn.IFS(LEFT(indian_retail_raw_1000[[#This Row],[x]],1)="W", "West",LEFT(indian_retail_raw_1000[[#This Row],[x]],1)= "E","East",LEFT(O219,1) = "S", "South",LEFT(O219,1) = "N", "North")</f>
        <v>West</v>
      </c>
      <c r="Q219" t="s">
        <v>35</v>
      </c>
      <c r="R219" t="s">
        <v>16</v>
      </c>
      <c r="S219" t="str">
        <f>TEXT(indian_retail_raw_1000[[#This Row],[Order_Date]],"MMM")</f>
        <v>Null</v>
      </c>
    </row>
    <row r="220" spans="1:19" x14ac:dyDescent="0.25">
      <c r="A220" t="s">
        <v>423</v>
      </c>
      <c r="B220" s="1" t="s">
        <v>1336</v>
      </c>
      <c r="C220" t="s">
        <v>62</v>
      </c>
      <c r="D220">
        <v>49</v>
      </c>
      <c r="E220" t="s">
        <v>16</v>
      </c>
      <c r="F220" t="s">
        <v>35</v>
      </c>
      <c r="G220" t="s">
        <v>99</v>
      </c>
      <c r="H220">
        <v>4</v>
      </c>
      <c r="I220">
        <v>656</v>
      </c>
      <c r="J220">
        <v>5</v>
      </c>
      <c r="K220" t="s">
        <v>41</v>
      </c>
      <c r="L220" t="s">
        <v>20</v>
      </c>
      <c r="M2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0">
        <v>2492.8000000000002</v>
      </c>
      <c r="O220" t="s">
        <v>21</v>
      </c>
      <c r="P220" t="str">
        <f>_xlfn.IFS(LEFT(indian_retail_raw_1000[[#This Row],[x]],1)="W", "West",LEFT(indian_retail_raw_1000[[#This Row],[x]],1)= "E","East",LEFT(O220,1) = "S", "South",LEFT(O220,1) = "N", "North")</f>
        <v>South</v>
      </c>
      <c r="Q220" t="s">
        <v>35</v>
      </c>
      <c r="R220" t="s">
        <v>16</v>
      </c>
      <c r="S220" t="str">
        <f>TEXT(indian_retail_raw_1000[[#This Row],[Order_Date]],"MMM")</f>
        <v>Null</v>
      </c>
    </row>
    <row r="221" spans="1:19" x14ac:dyDescent="0.25">
      <c r="A221" t="s">
        <v>582</v>
      </c>
      <c r="B221" s="1">
        <v>45021</v>
      </c>
      <c r="C221" t="s">
        <v>192</v>
      </c>
      <c r="D221">
        <v>47</v>
      </c>
      <c r="E221" t="s">
        <v>16</v>
      </c>
      <c r="F221" t="s">
        <v>54</v>
      </c>
      <c r="G221" t="s">
        <v>348</v>
      </c>
      <c r="H221">
        <v>1</v>
      </c>
      <c r="I221">
        <v>2500</v>
      </c>
      <c r="J221">
        <v>0</v>
      </c>
      <c r="K221" t="s">
        <v>41</v>
      </c>
      <c r="L221" t="s">
        <v>20</v>
      </c>
      <c r="M2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1">
        <v>2500</v>
      </c>
      <c r="O221" t="s">
        <v>26</v>
      </c>
      <c r="P221" t="str">
        <f>_xlfn.IFS(LEFT(indian_retail_raw_1000[[#This Row],[x]],1)="W", "West",LEFT(indian_retail_raw_1000[[#This Row],[x]],1)= "E","East",LEFT(O221,1) = "S", "South",LEFT(O221,1) = "N", "North")</f>
        <v>West</v>
      </c>
      <c r="Q221" t="s">
        <v>54</v>
      </c>
      <c r="R221" t="s">
        <v>16</v>
      </c>
      <c r="S221" t="str">
        <f>TEXT(indian_retail_raw_1000[[#This Row],[Order_Date]],"MMM")</f>
        <v>Apr</v>
      </c>
    </row>
    <row r="222" spans="1:19" x14ac:dyDescent="0.25">
      <c r="A222" t="s">
        <v>1057</v>
      </c>
      <c r="B222" s="1">
        <v>45079</v>
      </c>
      <c r="C222" t="s">
        <v>102</v>
      </c>
      <c r="D222">
        <v>38</v>
      </c>
      <c r="E222" t="s">
        <v>16</v>
      </c>
      <c r="F222" t="s">
        <v>17</v>
      </c>
      <c r="G222" t="s">
        <v>49</v>
      </c>
      <c r="H222">
        <v>2</v>
      </c>
      <c r="I222">
        <v>1250</v>
      </c>
      <c r="J222">
        <v>0</v>
      </c>
      <c r="K222" t="s">
        <v>41</v>
      </c>
      <c r="L222" t="s">
        <v>20</v>
      </c>
      <c r="M2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2">
        <v>2500</v>
      </c>
      <c r="O222" t="s">
        <v>38</v>
      </c>
      <c r="P222" t="str">
        <f>_xlfn.IFS(LEFT(indian_retail_raw_1000[[#This Row],[x]],1)="W", "West",LEFT(indian_retail_raw_1000[[#This Row],[x]],1)= "E","East",LEFT(O222,1) = "S", "South",LEFT(O222,1) = "N", "North")</f>
        <v>North</v>
      </c>
      <c r="Q222" t="s">
        <v>17</v>
      </c>
      <c r="R222" t="s">
        <v>16</v>
      </c>
      <c r="S222" t="str">
        <f>TEXT(indian_retail_raw_1000[[#This Row],[Order_Date]],"MMM")</f>
        <v>Jun</v>
      </c>
    </row>
    <row r="223" spans="1:19" x14ac:dyDescent="0.25">
      <c r="A223" t="s">
        <v>302</v>
      </c>
      <c r="B223" s="1">
        <v>45113</v>
      </c>
      <c r="C223" t="s">
        <v>165</v>
      </c>
      <c r="D223">
        <v>58</v>
      </c>
      <c r="E223" t="s">
        <v>16</v>
      </c>
      <c r="F223" t="s">
        <v>30</v>
      </c>
      <c r="G223" t="s">
        <v>224</v>
      </c>
      <c r="H223">
        <v>6</v>
      </c>
      <c r="I223">
        <v>834</v>
      </c>
      <c r="J223">
        <v>50</v>
      </c>
      <c r="K223" t="s">
        <v>41</v>
      </c>
      <c r="L223" t="s">
        <v>51</v>
      </c>
      <c r="M2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23">
        <v>2502</v>
      </c>
      <c r="O223" t="s">
        <v>38</v>
      </c>
      <c r="P223" t="str">
        <f>_xlfn.IFS(LEFT(indian_retail_raw_1000[[#This Row],[x]],1)="W", "West",LEFT(indian_retail_raw_1000[[#This Row],[x]],1)= "E","East",LEFT(O223,1) = "S", "South",LEFT(O223,1) = "N", "North")</f>
        <v>North</v>
      </c>
      <c r="Q223" t="s">
        <v>30</v>
      </c>
      <c r="R223" t="s">
        <v>16</v>
      </c>
      <c r="S223" t="str">
        <f>TEXT(indian_retail_raw_1000[[#This Row],[Order_Date]],"MMM")</f>
        <v>Jul</v>
      </c>
    </row>
    <row r="224" spans="1:19" x14ac:dyDescent="0.25">
      <c r="A224" t="s">
        <v>737</v>
      </c>
      <c r="B224" s="1" t="s">
        <v>1336</v>
      </c>
      <c r="C224" t="s">
        <v>62</v>
      </c>
      <c r="D224">
        <v>42</v>
      </c>
      <c r="E224" t="s">
        <v>23</v>
      </c>
      <c r="F224" t="s">
        <v>17</v>
      </c>
      <c r="G224" t="s">
        <v>186</v>
      </c>
      <c r="H224">
        <v>2</v>
      </c>
      <c r="I224">
        <v>1400</v>
      </c>
      <c r="J224">
        <v>10</v>
      </c>
      <c r="K224" t="s">
        <v>50</v>
      </c>
      <c r="L224" t="s">
        <v>20</v>
      </c>
      <c r="M2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4">
        <v>2520</v>
      </c>
      <c r="O224" t="s">
        <v>45</v>
      </c>
      <c r="P224" t="str">
        <f>_xlfn.IFS(LEFT(indian_retail_raw_1000[[#This Row],[x]],1)="W", "West",LEFT(indian_retail_raw_1000[[#This Row],[x]],1)= "E","East",LEFT(O224,1) = "S", "South",LEFT(O224,1) = "N", "North")</f>
        <v>East</v>
      </c>
      <c r="Q224" t="s">
        <v>17</v>
      </c>
      <c r="R224" t="s">
        <v>23</v>
      </c>
      <c r="S224" t="str">
        <f>TEXT(indian_retail_raw_1000[[#This Row],[Order_Date]],"MMM")</f>
        <v>Null</v>
      </c>
    </row>
    <row r="225" spans="1:19" x14ac:dyDescent="0.25">
      <c r="A225" t="s">
        <v>662</v>
      </c>
      <c r="B225" s="1">
        <v>44981</v>
      </c>
      <c r="C225" t="s">
        <v>53</v>
      </c>
      <c r="D225">
        <v>43</v>
      </c>
      <c r="E225" t="s">
        <v>16</v>
      </c>
      <c r="F225" t="s">
        <v>30</v>
      </c>
      <c r="G225" t="s">
        <v>224</v>
      </c>
      <c r="H225">
        <v>2</v>
      </c>
      <c r="I225">
        <v>1327</v>
      </c>
      <c r="J225">
        <v>5</v>
      </c>
      <c r="K225" t="s">
        <v>19</v>
      </c>
      <c r="L225" t="s">
        <v>20</v>
      </c>
      <c r="M2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5">
        <v>2521.3000000000002</v>
      </c>
      <c r="O225" t="s">
        <v>26</v>
      </c>
      <c r="P225" t="str">
        <f>_xlfn.IFS(LEFT(indian_retail_raw_1000[[#This Row],[x]],1)="W", "West",LEFT(indian_retail_raw_1000[[#This Row],[x]],1)= "E","East",LEFT(O225,1) = "S", "South",LEFT(O225,1) = "N", "North")</f>
        <v>West</v>
      </c>
      <c r="Q225" t="s">
        <v>30</v>
      </c>
      <c r="R225" t="s">
        <v>16</v>
      </c>
      <c r="S225" t="str">
        <f>TEXT(indian_retail_raw_1000[[#This Row],[Order_Date]],"MMM")</f>
        <v>Feb</v>
      </c>
    </row>
    <row r="226" spans="1:19" x14ac:dyDescent="0.25">
      <c r="A226" t="s">
        <v>93</v>
      </c>
      <c r="B226" s="1">
        <v>45240</v>
      </c>
      <c r="C226" t="s">
        <v>76</v>
      </c>
      <c r="D226">
        <v>150</v>
      </c>
      <c r="E226" t="s">
        <v>23</v>
      </c>
      <c r="F226" t="s">
        <v>17</v>
      </c>
      <c r="G226" t="s">
        <v>94</v>
      </c>
      <c r="H226">
        <v>3</v>
      </c>
      <c r="I226">
        <v>1700</v>
      </c>
      <c r="J226">
        <v>50</v>
      </c>
      <c r="K226" t="s">
        <v>95</v>
      </c>
      <c r="L226" t="s">
        <v>51</v>
      </c>
      <c r="M2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26">
        <v>2550</v>
      </c>
      <c r="O226" t="s">
        <v>38</v>
      </c>
      <c r="P226" t="str">
        <f>_xlfn.IFS(LEFT(indian_retail_raw_1000[[#This Row],[x]],1)="W", "West",LEFT(indian_retail_raw_1000[[#This Row],[x]],1)= "E","East",LEFT(O226,1) = "S", "South",LEFT(O226,1) = "N", "North")</f>
        <v>North</v>
      </c>
      <c r="Q226" t="s">
        <v>17</v>
      </c>
      <c r="R226" t="s">
        <v>23</v>
      </c>
      <c r="S226" t="str">
        <f>TEXT(indian_retail_raw_1000[[#This Row],[Order_Date]],"MMM")</f>
        <v>Nov</v>
      </c>
    </row>
    <row r="227" spans="1:19" x14ac:dyDescent="0.25">
      <c r="A227" t="s">
        <v>419</v>
      </c>
      <c r="B227" s="1">
        <v>45258</v>
      </c>
      <c r="C227" t="s">
        <v>318</v>
      </c>
      <c r="D227">
        <v>18</v>
      </c>
      <c r="E227" t="s">
        <v>23</v>
      </c>
      <c r="F227" t="s">
        <v>35</v>
      </c>
      <c r="G227" t="s">
        <v>331</v>
      </c>
      <c r="H227">
        <v>9</v>
      </c>
      <c r="I227">
        <v>284</v>
      </c>
      <c r="K227" t="s">
        <v>19</v>
      </c>
      <c r="L227" t="s">
        <v>20</v>
      </c>
      <c r="M2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7">
        <v>2556</v>
      </c>
      <c r="O227" t="s">
        <v>45</v>
      </c>
      <c r="P227" t="str">
        <f>_xlfn.IFS(LEFT(indian_retail_raw_1000[[#This Row],[x]],1)="W", "West",LEFT(indian_retail_raw_1000[[#This Row],[x]],1)= "E","East",LEFT(O227,1) = "S", "South",LEFT(O227,1) = "N", "North")</f>
        <v>East</v>
      </c>
      <c r="Q227" t="s">
        <v>35</v>
      </c>
      <c r="R227" t="s">
        <v>23</v>
      </c>
      <c r="S227" t="str">
        <f>TEXT(indian_retail_raw_1000[[#This Row],[Order_Date]],"MMM")</f>
        <v>Nov</v>
      </c>
    </row>
    <row r="228" spans="1:19" x14ac:dyDescent="0.25">
      <c r="A228" t="s">
        <v>161</v>
      </c>
      <c r="B228" s="1">
        <v>45140</v>
      </c>
      <c r="C228" t="s">
        <v>1336</v>
      </c>
      <c r="D228">
        <v>35</v>
      </c>
      <c r="E228" t="s">
        <v>16</v>
      </c>
      <c r="F228" t="s">
        <v>35</v>
      </c>
      <c r="G228" t="s">
        <v>126</v>
      </c>
      <c r="H228">
        <v>9</v>
      </c>
      <c r="I228">
        <v>475</v>
      </c>
      <c r="J228">
        <v>40</v>
      </c>
      <c r="K228" t="s">
        <v>41</v>
      </c>
      <c r="L228" t="s">
        <v>20</v>
      </c>
      <c r="M2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8">
        <v>2565</v>
      </c>
      <c r="O228" t="s">
        <v>45</v>
      </c>
      <c r="P228" t="str">
        <f>_xlfn.IFS(LEFT(indian_retail_raw_1000[[#This Row],[x]],1)="W", "West",LEFT(indian_retail_raw_1000[[#This Row],[x]],1)= "E","East",LEFT(O228,1) = "S", "South",LEFT(O228,1) = "N", "North")</f>
        <v>East</v>
      </c>
      <c r="Q228" t="s">
        <v>35</v>
      </c>
      <c r="R228" t="s">
        <v>16</v>
      </c>
      <c r="S228" t="str">
        <f>TEXT(indian_retail_raw_1000[[#This Row],[Order_Date]],"MMM")</f>
        <v>Aug</v>
      </c>
    </row>
    <row r="229" spans="1:19" x14ac:dyDescent="0.25">
      <c r="A229" t="s">
        <v>973</v>
      </c>
      <c r="B229" s="1">
        <v>45285</v>
      </c>
      <c r="C229" t="s">
        <v>217</v>
      </c>
      <c r="D229">
        <v>64</v>
      </c>
      <c r="E229" t="s">
        <v>23</v>
      </c>
      <c r="F229" t="s">
        <v>54</v>
      </c>
      <c r="G229" t="s">
        <v>348</v>
      </c>
      <c r="H229">
        <v>1</v>
      </c>
      <c r="I229">
        <v>2700</v>
      </c>
      <c r="J229">
        <v>5</v>
      </c>
      <c r="K229" t="s">
        <v>25</v>
      </c>
      <c r="L229" t="s">
        <v>20</v>
      </c>
      <c r="M2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9">
        <v>2565</v>
      </c>
      <c r="O229" t="s">
        <v>21</v>
      </c>
      <c r="P229" t="str">
        <f>_xlfn.IFS(LEFT(indian_retail_raw_1000[[#This Row],[x]],1)="W", "West",LEFT(indian_retail_raw_1000[[#This Row],[x]],1)= "E","East",LEFT(O229,1) = "S", "South",LEFT(O229,1) = "N", "North")</f>
        <v>South</v>
      </c>
      <c r="Q229" t="s">
        <v>54</v>
      </c>
      <c r="R229" t="s">
        <v>23</v>
      </c>
      <c r="S229" t="str">
        <f>TEXT(indian_retail_raw_1000[[#This Row],[Order_Date]],"MMM")</f>
        <v>Dec</v>
      </c>
    </row>
    <row r="230" spans="1:19" x14ac:dyDescent="0.25">
      <c r="A230" t="s">
        <v>315</v>
      </c>
      <c r="B230" s="1">
        <v>45246</v>
      </c>
      <c r="C230" t="s">
        <v>165</v>
      </c>
      <c r="D230">
        <v>48</v>
      </c>
      <c r="E230" t="s">
        <v>23</v>
      </c>
      <c r="F230" t="s">
        <v>54</v>
      </c>
      <c r="G230" t="s">
        <v>311</v>
      </c>
      <c r="H230">
        <v>1</v>
      </c>
      <c r="I230">
        <v>4300</v>
      </c>
      <c r="J230">
        <v>40</v>
      </c>
      <c r="K230" t="s">
        <v>50</v>
      </c>
      <c r="L230" t="s">
        <v>20</v>
      </c>
      <c r="M2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0">
        <v>2580</v>
      </c>
      <c r="O230" t="s">
        <v>45</v>
      </c>
      <c r="P230" t="str">
        <f>_xlfn.IFS(LEFT(indian_retail_raw_1000[[#This Row],[x]],1)="W", "West",LEFT(indian_retail_raw_1000[[#This Row],[x]],1)= "E","East",LEFT(O230,1) = "S", "South",LEFT(O230,1) = "N", "North")</f>
        <v>East</v>
      </c>
      <c r="Q230" t="s">
        <v>54</v>
      </c>
      <c r="R230" t="s">
        <v>23</v>
      </c>
      <c r="S230" t="str">
        <f>TEXT(indian_retail_raw_1000[[#This Row],[Order_Date]],"MMM")</f>
        <v>Nov</v>
      </c>
    </row>
    <row r="231" spans="1:19" x14ac:dyDescent="0.25">
      <c r="A231" t="s">
        <v>1245</v>
      </c>
      <c r="B231" s="1">
        <v>45270</v>
      </c>
      <c r="C231" t="s">
        <v>152</v>
      </c>
      <c r="D231">
        <v>39</v>
      </c>
      <c r="E231" t="s">
        <v>44</v>
      </c>
      <c r="F231" t="s">
        <v>17</v>
      </c>
      <c r="G231" t="s">
        <v>18</v>
      </c>
      <c r="H231">
        <v>2</v>
      </c>
      <c r="I231">
        <v>1850</v>
      </c>
      <c r="J231">
        <v>30</v>
      </c>
      <c r="K231" t="s">
        <v>19</v>
      </c>
      <c r="L231" t="s">
        <v>51</v>
      </c>
      <c r="M2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31">
        <v>2590</v>
      </c>
      <c r="O231" t="s">
        <v>45</v>
      </c>
      <c r="P231" t="str">
        <f>_xlfn.IFS(LEFT(indian_retail_raw_1000[[#This Row],[x]],1)="W", "West",LEFT(indian_retail_raw_1000[[#This Row],[x]],1)= "E","East",LEFT(O231,1) = "S", "South",LEFT(O231,1) = "N", "North")</f>
        <v>East</v>
      </c>
      <c r="Q231" t="s">
        <v>17</v>
      </c>
      <c r="R231" t="s">
        <v>23</v>
      </c>
      <c r="S231" t="str">
        <f>TEXT(indian_retail_raw_1000[[#This Row],[Order_Date]],"MMM")</f>
        <v>Dec</v>
      </c>
    </row>
    <row r="232" spans="1:19" x14ac:dyDescent="0.25">
      <c r="A232" t="s">
        <v>1311</v>
      </c>
      <c r="B232" s="1">
        <v>45024</v>
      </c>
      <c r="C232" t="s">
        <v>192</v>
      </c>
      <c r="D232">
        <v>23</v>
      </c>
      <c r="E232" t="s">
        <v>23</v>
      </c>
      <c r="F232" t="s">
        <v>54</v>
      </c>
      <c r="G232" t="s">
        <v>348</v>
      </c>
      <c r="H232">
        <v>2</v>
      </c>
      <c r="I232">
        <v>2600</v>
      </c>
      <c r="J232">
        <v>50</v>
      </c>
      <c r="K232" t="s">
        <v>95</v>
      </c>
      <c r="L232" t="s">
        <v>20</v>
      </c>
      <c r="M2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2">
        <v>2600</v>
      </c>
      <c r="O232" t="s">
        <v>38</v>
      </c>
      <c r="P232" t="str">
        <f>_xlfn.IFS(LEFT(indian_retail_raw_1000[[#This Row],[x]],1)="W", "West",LEFT(indian_retail_raw_1000[[#This Row],[x]],1)= "E","East",LEFT(O232,1) = "S", "South",LEFT(O232,1) = "N", "North")</f>
        <v>North</v>
      </c>
      <c r="Q232" t="s">
        <v>54</v>
      </c>
      <c r="R232" t="s">
        <v>23</v>
      </c>
      <c r="S232" t="str">
        <f>TEXT(indian_retail_raw_1000[[#This Row],[Order_Date]],"MMM")</f>
        <v>Apr</v>
      </c>
    </row>
    <row r="233" spans="1:19" x14ac:dyDescent="0.25">
      <c r="A233" t="s">
        <v>1309</v>
      </c>
      <c r="B233" s="1">
        <v>45278</v>
      </c>
      <c r="C233" t="s">
        <v>66</v>
      </c>
      <c r="D233">
        <v>44</v>
      </c>
      <c r="E233" t="s">
        <v>16</v>
      </c>
      <c r="F233" t="s">
        <v>17</v>
      </c>
      <c r="G233" t="s">
        <v>259</v>
      </c>
      <c r="H233">
        <v>1</v>
      </c>
      <c r="I233">
        <v>3500</v>
      </c>
      <c r="J233">
        <v>25</v>
      </c>
      <c r="K233" t="s">
        <v>41</v>
      </c>
      <c r="L233" t="s">
        <v>56</v>
      </c>
      <c r="M2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33">
        <v>2625</v>
      </c>
      <c r="O233" t="s">
        <v>45</v>
      </c>
      <c r="P233" t="str">
        <f>_xlfn.IFS(LEFT(indian_retail_raw_1000[[#This Row],[x]],1)="W", "West",LEFT(indian_retail_raw_1000[[#This Row],[x]],1)= "E","East",LEFT(O233,1) = "S", "South",LEFT(O233,1) = "N", "North")</f>
        <v>East</v>
      </c>
      <c r="Q233" t="s">
        <v>17</v>
      </c>
      <c r="R233" t="s">
        <v>16</v>
      </c>
      <c r="S233" t="str">
        <f>TEXT(indian_retail_raw_1000[[#This Row],[Order_Date]],"MMM")</f>
        <v>Dec</v>
      </c>
    </row>
    <row r="234" spans="1:19" x14ac:dyDescent="0.25">
      <c r="A234" t="s">
        <v>172</v>
      </c>
      <c r="B234" s="1">
        <v>44981</v>
      </c>
      <c r="C234" t="s">
        <v>173</v>
      </c>
      <c r="D234">
        <v>32</v>
      </c>
      <c r="E234" t="s">
        <v>171</v>
      </c>
      <c r="F234" t="s">
        <v>17</v>
      </c>
      <c r="G234" t="s">
        <v>49</v>
      </c>
      <c r="H234">
        <v>2</v>
      </c>
      <c r="I234">
        <v>1550</v>
      </c>
      <c r="J234">
        <v>15</v>
      </c>
      <c r="K234" t="s">
        <v>50</v>
      </c>
      <c r="L234" t="s">
        <v>20</v>
      </c>
      <c r="M2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4">
        <v>2635</v>
      </c>
      <c r="O234" t="s">
        <v>38</v>
      </c>
      <c r="P234" t="str">
        <f>_xlfn.IFS(LEFT(indian_retail_raw_1000[[#This Row],[x]],1)="W", "West",LEFT(indian_retail_raw_1000[[#This Row],[x]],1)= "E","East",LEFT(O234,1) = "S", "South",LEFT(O234,1) = "N", "North")</f>
        <v>North</v>
      </c>
      <c r="Q234" t="s">
        <v>17</v>
      </c>
      <c r="R234" t="s">
        <v>138</v>
      </c>
      <c r="S234" t="str">
        <f>TEXT(indian_retail_raw_1000[[#This Row],[Order_Date]],"MMM")</f>
        <v>Feb</v>
      </c>
    </row>
    <row r="235" spans="1:19" x14ac:dyDescent="0.25">
      <c r="A235" t="s">
        <v>1242</v>
      </c>
      <c r="B235" s="1">
        <v>45237</v>
      </c>
      <c r="C235" t="s">
        <v>128</v>
      </c>
      <c r="D235">
        <v>46</v>
      </c>
      <c r="E235" t="s">
        <v>16</v>
      </c>
      <c r="F235" t="s">
        <v>17</v>
      </c>
      <c r="G235" t="s">
        <v>24</v>
      </c>
      <c r="H235">
        <v>2</v>
      </c>
      <c r="I235">
        <v>1550</v>
      </c>
      <c r="J235">
        <v>15</v>
      </c>
      <c r="K235" t="s">
        <v>50</v>
      </c>
      <c r="L235" t="s">
        <v>56</v>
      </c>
      <c r="M2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35">
        <v>2635</v>
      </c>
      <c r="O235" t="s">
        <v>21</v>
      </c>
      <c r="P235" t="str">
        <f>_xlfn.IFS(LEFT(indian_retail_raw_1000[[#This Row],[x]],1)="W", "West",LEFT(indian_retail_raw_1000[[#This Row],[x]],1)= "E","East",LEFT(O235,1) = "S", "South",LEFT(O235,1) = "N", "North")</f>
        <v>South</v>
      </c>
      <c r="Q235" t="s">
        <v>17</v>
      </c>
      <c r="R235" t="s">
        <v>16</v>
      </c>
      <c r="S235" t="str">
        <f>TEXT(indian_retail_raw_1000[[#This Row],[Order_Date]],"MMM")</f>
        <v>Nov</v>
      </c>
    </row>
    <row r="236" spans="1:19" x14ac:dyDescent="0.25">
      <c r="A236" t="s">
        <v>319</v>
      </c>
      <c r="B236" s="1" t="s">
        <v>1336</v>
      </c>
      <c r="C236" t="s">
        <v>87</v>
      </c>
      <c r="D236">
        <v>61</v>
      </c>
      <c r="E236" t="s">
        <v>23</v>
      </c>
      <c r="F236" t="s">
        <v>35</v>
      </c>
      <c r="G236" t="s">
        <v>271</v>
      </c>
      <c r="H236">
        <v>9</v>
      </c>
      <c r="I236">
        <v>490</v>
      </c>
      <c r="J236">
        <v>40</v>
      </c>
      <c r="K236" t="s">
        <v>50</v>
      </c>
      <c r="L236" t="s">
        <v>20</v>
      </c>
      <c r="M2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6">
        <v>2646</v>
      </c>
      <c r="O236" t="s">
        <v>26</v>
      </c>
      <c r="P236" t="str">
        <f>_xlfn.IFS(LEFT(indian_retail_raw_1000[[#This Row],[x]],1)="W", "West",LEFT(indian_retail_raw_1000[[#This Row],[x]],1)= "E","East",LEFT(O236,1) = "S", "South",LEFT(O236,1) = "N", "North")</f>
        <v>West</v>
      </c>
      <c r="Q236" t="s">
        <v>35</v>
      </c>
      <c r="R236" t="s">
        <v>23</v>
      </c>
      <c r="S236" t="str">
        <f>TEXT(indian_retail_raw_1000[[#This Row],[Order_Date]],"MMM")</f>
        <v>Null</v>
      </c>
    </row>
    <row r="237" spans="1:19" x14ac:dyDescent="0.25">
      <c r="A237" t="s">
        <v>908</v>
      </c>
      <c r="B237" s="1" t="s">
        <v>1336</v>
      </c>
      <c r="C237" t="s">
        <v>355</v>
      </c>
      <c r="D237">
        <v>35</v>
      </c>
      <c r="E237" t="s">
        <v>16</v>
      </c>
      <c r="F237" t="s">
        <v>30</v>
      </c>
      <c r="G237" t="s">
        <v>224</v>
      </c>
      <c r="H237">
        <v>3</v>
      </c>
      <c r="I237">
        <v>1264</v>
      </c>
      <c r="J237">
        <v>30</v>
      </c>
      <c r="K237" t="s">
        <v>105</v>
      </c>
      <c r="L237" t="s">
        <v>20</v>
      </c>
      <c r="M2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7">
        <v>2654.4</v>
      </c>
      <c r="O237" t="s">
        <v>21</v>
      </c>
      <c r="P237" t="str">
        <f>_xlfn.IFS(LEFT(indian_retail_raw_1000[[#This Row],[x]],1)="W", "West",LEFT(indian_retail_raw_1000[[#This Row],[x]],1)= "E","East",LEFT(O237,1) = "S", "South",LEFT(O237,1) = "N", "North")</f>
        <v>South</v>
      </c>
      <c r="Q237" t="s">
        <v>30</v>
      </c>
      <c r="R237" t="s">
        <v>16</v>
      </c>
      <c r="S237" t="str">
        <f>TEXT(indian_retail_raw_1000[[#This Row],[Order_Date]],"MMM")</f>
        <v>Null</v>
      </c>
    </row>
    <row r="238" spans="1:19" x14ac:dyDescent="0.25">
      <c r="A238" t="s">
        <v>1198</v>
      </c>
      <c r="B238" s="1">
        <v>45126</v>
      </c>
      <c r="C238" t="s">
        <v>1336</v>
      </c>
      <c r="D238">
        <v>20</v>
      </c>
      <c r="E238" t="s">
        <v>16</v>
      </c>
      <c r="F238" t="s">
        <v>17</v>
      </c>
      <c r="G238" t="s">
        <v>18</v>
      </c>
      <c r="H238">
        <v>1</v>
      </c>
      <c r="I238">
        <v>2800</v>
      </c>
      <c r="J238">
        <v>5</v>
      </c>
      <c r="K238" t="s">
        <v>41</v>
      </c>
      <c r="L238" t="s">
        <v>56</v>
      </c>
      <c r="M2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38">
        <v>2660</v>
      </c>
      <c r="O238" t="s">
        <v>349</v>
      </c>
      <c r="P238" t="str">
        <f>_xlfn.IFS(LEFT(indian_retail_raw_1000[[#This Row],[x]],1)="W", "West",LEFT(indian_retail_raw_1000[[#This Row],[x]],1)= "E","East",LEFT(O238,1) = "S", "South",LEFT(O238,1) = "N", "North")</f>
        <v>South</v>
      </c>
      <c r="Q238" t="s">
        <v>17</v>
      </c>
      <c r="R238" t="s">
        <v>16</v>
      </c>
      <c r="S238" t="str">
        <f>TEXT(indian_retail_raw_1000[[#This Row],[Order_Date]],"MMM")</f>
        <v>Jul</v>
      </c>
    </row>
    <row r="239" spans="1:19" x14ac:dyDescent="0.25">
      <c r="A239" t="s">
        <v>1257</v>
      </c>
      <c r="B239" s="1" t="s">
        <v>1336</v>
      </c>
      <c r="C239" t="s">
        <v>28</v>
      </c>
      <c r="D239">
        <v>22</v>
      </c>
      <c r="E239" t="s">
        <v>23</v>
      </c>
      <c r="F239" t="s">
        <v>220</v>
      </c>
      <c r="G239" t="s">
        <v>218</v>
      </c>
      <c r="H239">
        <v>6</v>
      </c>
      <c r="I239">
        <v>2694</v>
      </c>
      <c r="K239" t="s">
        <v>50</v>
      </c>
      <c r="L239" t="s">
        <v>20</v>
      </c>
      <c r="M2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9">
        <v>2694</v>
      </c>
      <c r="O239" t="s">
        <v>26</v>
      </c>
      <c r="P239" t="str">
        <f>_xlfn.IFS(LEFT(indian_retail_raw_1000[[#This Row],[x]],1)="W", "West",LEFT(indian_retail_raw_1000[[#This Row],[x]],1)= "E","East",LEFT(O239,1) = "S", "South",LEFT(O239,1) = "N", "North")</f>
        <v>West</v>
      </c>
      <c r="Q239" t="s">
        <v>30</v>
      </c>
      <c r="R239" t="s">
        <v>23</v>
      </c>
      <c r="S239" t="str">
        <f>TEXT(indian_retail_raw_1000[[#This Row],[Order_Date]],"MMM")</f>
        <v>Null</v>
      </c>
    </row>
    <row r="240" spans="1:19" x14ac:dyDescent="0.25">
      <c r="A240" t="s">
        <v>852</v>
      </c>
      <c r="B240" s="1">
        <v>45181</v>
      </c>
      <c r="C240" t="s">
        <v>192</v>
      </c>
      <c r="D240">
        <v>65</v>
      </c>
      <c r="E240" t="s">
        <v>16</v>
      </c>
      <c r="F240" t="s">
        <v>35</v>
      </c>
      <c r="G240" t="s">
        <v>36</v>
      </c>
      <c r="H240">
        <v>5</v>
      </c>
      <c r="I240">
        <v>539</v>
      </c>
      <c r="J240">
        <v>0</v>
      </c>
      <c r="K240" t="s">
        <v>25</v>
      </c>
      <c r="L240" t="s">
        <v>20</v>
      </c>
      <c r="M2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0">
        <v>2695</v>
      </c>
      <c r="O240" t="s">
        <v>45</v>
      </c>
      <c r="P240" t="str">
        <f>_xlfn.IFS(LEFT(indian_retail_raw_1000[[#This Row],[x]],1)="W", "West",LEFT(indian_retail_raw_1000[[#This Row],[x]],1)= "E","East",LEFT(O240,1) = "S", "South",LEFT(O240,1) = "N", "North")</f>
        <v>East</v>
      </c>
      <c r="Q240" t="s">
        <v>35</v>
      </c>
      <c r="R240" t="s">
        <v>16</v>
      </c>
      <c r="S240" t="str">
        <f>TEXT(indian_retail_raw_1000[[#This Row],[Order_Date]],"MMM")</f>
        <v>Sep</v>
      </c>
    </row>
    <row r="241" spans="1:19" x14ac:dyDescent="0.25">
      <c r="A241" t="s">
        <v>1142</v>
      </c>
      <c r="B241" s="1">
        <v>44978</v>
      </c>
      <c r="C241" t="s">
        <v>165</v>
      </c>
      <c r="D241">
        <v>27</v>
      </c>
      <c r="E241" t="s">
        <v>23</v>
      </c>
      <c r="F241" t="s">
        <v>433</v>
      </c>
      <c r="G241" t="s">
        <v>24</v>
      </c>
      <c r="H241">
        <v>1</v>
      </c>
      <c r="I241">
        <v>3000</v>
      </c>
      <c r="J241">
        <v>10</v>
      </c>
      <c r="K241" t="s">
        <v>41</v>
      </c>
      <c r="L241" t="s">
        <v>20</v>
      </c>
      <c r="M2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1">
        <v>2700</v>
      </c>
      <c r="O241" t="s">
        <v>21</v>
      </c>
      <c r="P241" t="str">
        <f>_xlfn.IFS(LEFT(indian_retail_raw_1000[[#This Row],[x]],1)="W", "West",LEFT(indian_retail_raw_1000[[#This Row],[x]],1)= "E","East",LEFT(O241,1) = "S", "South",LEFT(O241,1) = "N", "North")</f>
        <v>South</v>
      </c>
      <c r="Q241" t="s">
        <v>17</v>
      </c>
      <c r="R241" t="s">
        <v>23</v>
      </c>
      <c r="S241" t="str">
        <f>TEXT(indian_retail_raw_1000[[#This Row],[Order_Date]],"MMM")</f>
        <v>Feb</v>
      </c>
    </row>
    <row r="242" spans="1:19" x14ac:dyDescent="0.25">
      <c r="A242" t="s">
        <v>935</v>
      </c>
      <c r="B242" s="1">
        <v>45019</v>
      </c>
      <c r="C242" t="s">
        <v>72</v>
      </c>
      <c r="D242">
        <v>32</v>
      </c>
      <c r="E242" t="s">
        <v>23</v>
      </c>
      <c r="F242" t="s">
        <v>35</v>
      </c>
      <c r="G242" t="s">
        <v>271</v>
      </c>
      <c r="H242">
        <v>5</v>
      </c>
      <c r="I242">
        <v>578</v>
      </c>
      <c r="J242">
        <v>5</v>
      </c>
      <c r="K242" t="s">
        <v>50</v>
      </c>
      <c r="L242" t="s">
        <v>51</v>
      </c>
      <c r="M2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42">
        <v>2745.5</v>
      </c>
      <c r="O242" t="s">
        <v>38</v>
      </c>
      <c r="P242" t="str">
        <f>_xlfn.IFS(LEFT(indian_retail_raw_1000[[#This Row],[x]],1)="W", "West",LEFT(indian_retail_raw_1000[[#This Row],[x]],1)= "E","East",LEFT(O242,1) = "S", "South",LEFT(O242,1) = "N", "North")</f>
        <v>North</v>
      </c>
      <c r="Q242" t="s">
        <v>35</v>
      </c>
      <c r="R242" t="s">
        <v>23</v>
      </c>
      <c r="S242" t="str">
        <f>TEXT(indian_retail_raw_1000[[#This Row],[Order_Date]],"MMM")</f>
        <v>Apr</v>
      </c>
    </row>
    <row r="243" spans="1:19" x14ac:dyDescent="0.25">
      <c r="A243" t="s">
        <v>583</v>
      </c>
      <c r="B243" s="1">
        <v>44995</v>
      </c>
      <c r="C243" t="s">
        <v>1336</v>
      </c>
      <c r="D243">
        <v>56</v>
      </c>
      <c r="E243" t="s">
        <v>23</v>
      </c>
      <c r="F243" t="s">
        <v>17</v>
      </c>
      <c r="G243" t="s">
        <v>492</v>
      </c>
      <c r="H243">
        <v>1</v>
      </c>
      <c r="I243">
        <v>2750</v>
      </c>
      <c r="J243">
        <v>0</v>
      </c>
      <c r="K243" t="s">
        <v>41</v>
      </c>
      <c r="L243" t="s">
        <v>20</v>
      </c>
      <c r="M2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3">
        <v>2750</v>
      </c>
      <c r="O243" t="s">
        <v>45</v>
      </c>
      <c r="P243" t="str">
        <f>_xlfn.IFS(LEFT(indian_retail_raw_1000[[#This Row],[x]],1)="W", "West",LEFT(indian_retail_raw_1000[[#This Row],[x]],1)= "E","East",LEFT(O243,1) = "S", "South",LEFT(O243,1) = "N", "North")</f>
        <v>East</v>
      </c>
      <c r="Q243" t="s">
        <v>17</v>
      </c>
      <c r="R243" t="s">
        <v>23</v>
      </c>
      <c r="S243" t="str">
        <f>TEXT(indian_retail_raw_1000[[#This Row],[Order_Date]],"MMM")</f>
        <v>Mar</v>
      </c>
    </row>
    <row r="244" spans="1:19" x14ac:dyDescent="0.25">
      <c r="A244" t="s">
        <v>629</v>
      </c>
      <c r="B244" s="1">
        <v>45234</v>
      </c>
      <c r="C244" t="s">
        <v>243</v>
      </c>
      <c r="D244">
        <v>58</v>
      </c>
      <c r="E244" t="s">
        <v>29</v>
      </c>
      <c r="F244" t="s">
        <v>30</v>
      </c>
      <c r="G244" t="s">
        <v>268</v>
      </c>
      <c r="H244">
        <v>2</v>
      </c>
      <c r="I244">
        <v>1719</v>
      </c>
      <c r="J244">
        <v>20</v>
      </c>
      <c r="K244" t="s">
        <v>41</v>
      </c>
      <c r="L244" t="s">
        <v>20</v>
      </c>
      <c r="M2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4">
        <v>2750.4</v>
      </c>
      <c r="O244" t="s">
        <v>38</v>
      </c>
      <c r="P244" t="str">
        <f>_xlfn.IFS(LEFT(indian_retail_raw_1000[[#This Row],[x]],1)="W", "West",LEFT(indian_retail_raw_1000[[#This Row],[x]],1)= "E","East",LEFT(O244,1) = "S", "South",LEFT(O244,1) = "N", "North")</f>
        <v>North</v>
      </c>
      <c r="Q244" t="s">
        <v>30</v>
      </c>
      <c r="R244" t="s">
        <v>16</v>
      </c>
      <c r="S244" t="str">
        <f>TEXT(indian_retail_raw_1000[[#This Row],[Order_Date]],"MMM")</f>
        <v>Nov</v>
      </c>
    </row>
    <row r="245" spans="1:19" x14ac:dyDescent="0.25">
      <c r="A245" t="s">
        <v>524</v>
      </c>
      <c r="B245" s="1">
        <v>45237</v>
      </c>
      <c r="C245" t="s">
        <v>48</v>
      </c>
      <c r="D245">
        <v>57</v>
      </c>
      <c r="E245" t="s">
        <v>490</v>
      </c>
      <c r="F245" t="s">
        <v>17</v>
      </c>
      <c r="G245" t="s">
        <v>259</v>
      </c>
      <c r="H245">
        <v>1</v>
      </c>
      <c r="I245">
        <v>3450</v>
      </c>
      <c r="J245">
        <v>20</v>
      </c>
      <c r="K245" t="s">
        <v>25</v>
      </c>
      <c r="L245" t="s">
        <v>20</v>
      </c>
      <c r="M2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5">
        <v>2760</v>
      </c>
      <c r="O245" t="s">
        <v>45</v>
      </c>
      <c r="P245" t="str">
        <f>_xlfn.IFS(LEFT(indian_retail_raw_1000[[#This Row],[x]],1)="W", "West",LEFT(indian_retail_raw_1000[[#This Row],[x]],1)= "E","East",LEFT(O245,1) = "S", "South",LEFT(O245,1) = "N", "North")</f>
        <v>East</v>
      </c>
      <c r="Q245" t="s">
        <v>17</v>
      </c>
      <c r="R245" t="s">
        <v>16</v>
      </c>
      <c r="S245" t="str">
        <f>TEXT(indian_retail_raw_1000[[#This Row],[Order_Date]],"MMM")</f>
        <v>Nov</v>
      </c>
    </row>
    <row r="246" spans="1:19" x14ac:dyDescent="0.25">
      <c r="A246" t="s">
        <v>958</v>
      </c>
      <c r="B246" s="1">
        <v>44934</v>
      </c>
      <c r="C246" t="s">
        <v>959</v>
      </c>
      <c r="D246">
        <v>60</v>
      </c>
      <c r="E246" t="s">
        <v>16</v>
      </c>
      <c r="F246" t="s">
        <v>35</v>
      </c>
      <c r="G246" t="s">
        <v>213</v>
      </c>
      <c r="H246">
        <v>5</v>
      </c>
      <c r="I246">
        <v>614</v>
      </c>
      <c r="J246">
        <v>10</v>
      </c>
      <c r="K246" t="s">
        <v>50</v>
      </c>
      <c r="L246" t="s">
        <v>51</v>
      </c>
      <c r="M2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46">
        <v>2763</v>
      </c>
      <c r="O246" t="s">
        <v>21</v>
      </c>
      <c r="P246" t="str">
        <f>_xlfn.IFS(LEFT(indian_retail_raw_1000[[#This Row],[x]],1)="W", "West",LEFT(indian_retail_raw_1000[[#This Row],[x]],1)= "E","East",LEFT(O246,1) = "S", "South",LEFT(O246,1) = "N", "North")</f>
        <v>South</v>
      </c>
      <c r="Q246" t="s">
        <v>35</v>
      </c>
      <c r="R246" t="s">
        <v>16</v>
      </c>
      <c r="S246" t="str">
        <f>TEXT(indian_retail_raw_1000[[#This Row],[Order_Date]],"MMM")</f>
        <v>Jan</v>
      </c>
    </row>
    <row r="247" spans="1:19" x14ac:dyDescent="0.25">
      <c r="A247" t="s">
        <v>1003</v>
      </c>
      <c r="B247" s="1">
        <v>45129</v>
      </c>
      <c r="C247" t="s">
        <v>142</v>
      </c>
      <c r="D247">
        <v>31</v>
      </c>
      <c r="E247" t="s">
        <v>16</v>
      </c>
      <c r="F247" t="s">
        <v>30</v>
      </c>
      <c r="G247" t="s">
        <v>294</v>
      </c>
      <c r="H247">
        <v>5</v>
      </c>
      <c r="I247">
        <v>554</v>
      </c>
      <c r="J247">
        <v>0</v>
      </c>
      <c r="K247" t="s">
        <v>381</v>
      </c>
      <c r="L247" t="s">
        <v>20</v>
      </c>
      <c r="M2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7">
        <v>2770</v>
      </c>
      <c r="O247" t="s">
        <v>21</v>
      </c>
      <c r="P247" t="str">
        <f>_xlfn.IFS(LEFT(indian_retail_raw_1000[[#This Row],[x]],1)="W", "West",LEFT(indian_retail_raw_1000[[#This Row],[x]],1)= "E","East",LEFT(O247,1) = "S", "South",LEFT(O247,1) = "N", "North")</f>
        <v>South</v>
      </c>
      <c r="Q247" t="s">
        <v>30</v>
      </c>
      <c r="R247" t="s">
        <v>16</v>
      </c>
      <c r="S247" t="str">
        <f>TEXT(indian_retail_raw_1000[[#This Row],[Order_Date]],"MMM")</f>
        <v>Jul</v>
      </c>
    </row>
    <row r="248" spans="1:19" x14ac:dyDescent="0.25">
      <c r="A248" t="s">
        <v>1064</v>
      </c>
      <c r="B248" s="1">
        <v>45148</v>
      </c>
      <c r="C248" t="s">
        <v>1336</v>
      </c>
      <c r="D248">
        <v>60</v>
      </c>
      <c r="E248" t="s">
        <v>73</v>
      </c>
      <c r="F248" t="s">
        <v>17</v>
      </c>
      <c r="G248" t="s">
        <v>94</v>
      </c>
      <c r="H248">
        <v>1</v>
      </c>
      <c r="I248">
        <v>3100</v>
      </c>
      <c r="J248">
        <v>10</v>
      </c>
      <c r="K248" t="s">
        <v>19</v>
      </c>
      <c r="L248" t="s">
        <v>20</v>
      </c>
      <c r="M2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8">
        <v>2790</v>
      </c>
      <c r="O248" t="s">
        <v>45</v>
      </c>
      <c r="P248" t="str">
        <f>_xlfn.IFS(LEFT(indian_retail_raw_1000[[#This Row],[x]],1)="W", "West",LEFT(indian_retail_raw_1000[[#This Row],[x]],1)= "E","East",LEFT(O248,1) = "S", "South",LEFT(O248,1) = "N", "North")</f>
        <v>East</v>
      </c>
      <c r="Q248" t="s">
        <v>17</v>
      </c>
      <c r="R248" t="s">
        <v>23</v>
      </c>
      <c r="S248" t="str">
        <f>TEXT(indian_retail_raw_1000[[#This Row],[Order_Date]],"MMM")</f>
        <v>Aug</v>
      </c>
    </row>
    <row r="249" spans="1:19" x14ac:dyDescent="0.25">
      <c r="A249" t="s">
        <v>859</v>
      </c>
      <c r="B249" s="1">
        <v>45223</v>
      </c>
      <c r="C249" t="s">
        <v>48</v>
      </c>
      <c r="D249">
        <v>19</v>
      </c>
      <c r="E249" t="s">
        <v>16</v>
      </c>
      <c r="F249" t="s">
        <v>291</v>
      </c>
      <c r="G249" t="s">
        <v>186</v>
      </c>
      <c r="H249">
        <v>2</v>
      </c>
      <c r="I249">
        <v>1750</v>
      </c>
      <c r="J249">
        <v>20</v>
      </c>
      <c r="K249" t="s">
        <v>115</v>
      </c>
      <c r="L249" t="s">
        <v>51</v>
      </c>
      <c r="M2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49">
        <v>2800</v>
      </c>
      <c r="O249" t="s">
        <v>38</v>
      </c>
      <c r="P249" t="str">
        <f>_xlfn.IFS(LEFT(indian_retail_raw_1000[[#This Row],[x]],1)="W", "West",LEFT(indian_retail_raw_1000[[#This Row],[x]],1)= "E","East",LEFT(O249,1) = "S", "South",LEFT(O249,1) = "N", "North")</f>
        <v>North</v>
      </c>
      <c r="Q249" t="s">
        <v>17</v>
      </c>
      <c r="R249" t="s">
        <v>16</v>
      </c>
      <c r="S249" t="str">
        <f>TEXT(indian_retail_raw_1000[[#This Row],[Order_Date]],"MMM")</f>
        <v>Oct</v>
      </c>
    </row>
    <row r="250" spans="1:19" x14ac:dyDescent="0.25">
      <c r="A250" t="s">
        <v>395</v>
      </c>
      <c r="B250" s="1">
        <v>45238</v>
      </c>
      <c r="C250" t="s">
        <v>192</v>
      </c>
      <c r="D250">
        <v>53</v>
      </c>
      <c r="E250" t="s">
        <v>138</v>
      </c>
      <c r="F250" t="s">
        <v>17</v>
      </c>
      <c r="G250" t="s">
        <v>94</v>
      </c>
      <c r="H250">
        <v>1</v>
      </c>
      <c r="I250">
        <v>2950</v>
      </c>
      <c r="J250">
        <v>5</v>
      </c>
      <c r="K250" t="s">
        <v>25</v>
      </c>
      <c r="L250" t="s">
        <v>56</v>
      </c>
      <c r="M2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50">
        <v>2802.5</v>
      </c>
      <c r="O250" t="s">
        <v>45</v>
      </c>
      <c r="P250" t="str">
        <f>_xlfn.IFS(LEFT(indian_retail_raw_1000[[#This Row],[x]],1)="W", "West",LEFT(indian_retail_raw_1000[[#This Row],[x]],1)= "E","East",LEFT(O250,1) = "S", "South",LEFT(O250,1) = "N", "North")</f>
        <v>East</v>
      </c>
      <c r="Q250" t="s">
        <v>17</v>
      </c>
      <c r="R250" t="s">
        <v>138</v>
      </c>
      <c r="S250" t="str">
        <f>TEXT(indian_retail_raw_1000[[#This Row],[Order_Date]],"MMM")</f>
        <v>Nov</v>
      </c>
    </row>
    <row r="251" spans="1:19" x14ac:dyDescent="0.25">
      <c r="A251" t="s">
        <v>1330</v>
      </c>
      <c r="B251" s="1">
        <v>45233</v>
      </c>
      <c r="C251" t="s">
        <v>217</v>
      </c>
      <c r="D251">
        <v>40</v>
      </c>
      <c r="E251" t="s">
        <v>16</v>
      </c>
      <c r="F251" t="s">
        <v>70</v>
      </c>
      <c r="G251" t="s">
        <v>274</v>
      </c>
      <c r="H251">
        <v>1</v>
      </c>
      <c r="I251">
        <v>2950</v>
      </c>
      <c r="J251">
        <v>5</v>
      </c>
      <c r="K251" t="s">
        <v>445</v>
      </c>
      <c r="L251" t="s">
        <v>37</v>
      </c>
      <c r="M2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1">
        <v>2802.5</v>
      </c>
      <c r="O251" t="s">
        <v>21</v>
      </c>
      <c r="P251" t="str">
        <f>_xlfn.IFS(LEFT(indian_retail_raw_1000[[#This Row],[x]],1)="W", "West",LEFT(indian_retail_raw_1000[[#This Row],[x]],1)= "E","East",LEFT(O251,1) = "S", "South",LEFT(O251,1) = "N", "North")</f>
        <v>South</v>
      </c>
      <c r="Q251" t="s">
        <v>17</v>
      </c>
      <c r="R251" t="s">
        <v>16</v>
      </c>
      <c r="S251" t="str">
        <f>TEXT(indian_retail_raw_1000[[#This Row],[Order_Date]],"MMM")</f>
        <v>Nov</v>
      </c>
    </row>
    <row r="252" spans="1:19" x14ac:dyDescent="0.25">
      <c r="A252" t="s">
        <v>530</v>
      </c>
      <c r="B252" s="1">
        <v>45167</v>
      </c>
      <c r="C252" t="s">
        <v>48</v>
      </c>
      <c r="D252">
        <v>20</v>
      </c>
      <c r="E252" t="s">
        <v>16</v>
      </c>
      <c r="F252" t="s">
        <v>17</v>
      </c>
      <c r="G252" t="s">
        <v>186</v>
      </c>
      <c r="H252">
        <v>2</v>
      </c>
      <c r="I252">
        <v>2350</v>
      </c>
      <c r="J252">
        <v>40</v>
      </c>
      <c r="K252" t="s">
        <v>531</v>
      </c>
      <c r="L252" t="s">
        <v>20</v>
      </c>
      <c r="M2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2">
        <v>2820</v>
      </c>
      <c r="O252" t="s">
        <v>45</v>
      </c>
      <c r="P252" t="str">
        <f>_xlfn.IFS(LEFT(indian_retail_raw_1000[[#This Row],[x]],1)="W", "West",LEFT(indian_retail_raw_1000[[#This Row],[x]],1)= "E","East",LEFT(O252,1) = "S", "South",LEFT(O252,1) = "N", "North")</f>
        <v>East</v>
      </c>
      <c r="Q252" t="s">
        <v>17</v>
      </c>
      <c r="R252" t="s">
        <v>16</v>
      </c>
      <c r="S252" t="str">
        <f>TEXT(indian_retail_raw_1000[[#This Row],[Order_Date]],"MMM")</f>
        <v>Aug</v>
      </c>
    </row>
    <row r="253" spans="1:19" x14ac:dyDescent="0.25">
      <c r="A253" t="s">
        <v>263</v>
      </c>
      <c r="B253" s="1">
        <v>45221</v>
      </c>
      <c r="C253" t="s">
        <v>160</v>
      </c>
      <c r="D253">
        <v>52</v>
      </c>
      <c r="E253" t="s">
        <v>23</v>
      </c>
      <c r="F253" t="s">
        <v>17</v>
      </c>
      <c r="G253" t="s">
        <v>49</v>
      </c>
      <c r="H253">
        <v>3</v>
      </c>
      <c r="I253">
        <v>950</v>
      </c>
      <c r="J253">
        <v>0</v>
      </c>
      <c r="K253" t="s">
        <v>19</v>
      </c>
      <c r="L253" t="s">
        <v>20</v>
      </c>
      <c r="M2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3">
        <v>2850</v>
      </c>
      <c r="O253" t="s">
        <v>45</v>
      </c>
      <c r="P253" t="str">
        <f>_xlfn.IFS(LEFT(indian_retail_raw_1000[[#This Row],[x]],1)="W", "West",LEFT(indian_retail_raw_1000[[#This Row],[x]],1)= "E","East",LEFT(O253,1) = "S", "South",LEFT(O253,1) = "N", "North")</f>
        <v>East</v>
      </c>
      <c r="Q253" t="s">
        <v>17</v>
      </c>
      <c r="R253" t="s">
        <v>23</v>
      </c>
      <c r="S253" t="str">
        <f>TEXT(indian_retail_raw_1000[[#This Row],[Order_Date]],"MMM")</f>
        <v>Oct</v>
      </c>
    </row>
    <row r="254" spans="1:19" x14ac:dyDescent="0.25">
      <c r="A254" t="s">
        <v>284</v>
      </c>
      <c r="B254" s="1">
        <v>45117</v>
      </c>
      <c r="C254" t="s">
        <v>160</v>
      </c>
      <c r="D254">
        <v>62</v>
      </c>
      <c r="E254" t="s">
        <v>16</v>
      </c>
      <c r="F254" t="s">
        <v>17</v>
      </c>
      <c r="G254" t="s">
        <v>24</v>
      </c>
      <c r="H254">
        <v>1</v>
      </c>
      <c r="I254">
        <v>2850</v>
      </c>
      <c r="J254">
        <v>0</v>
      </c>
      <c r="K254" t="s">
        <v>41</v>
      </c>
      <c r="L254" t="s">
        <v>20</v>
      </c>
      <c r="M2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4">
        <v>2850</v>
      </c>
      <c r="O254" t="s">
        <v>45</v>
      </c>
      <c r="P254" t="str">
        <f>_xlfn.IFS(LEFT(indian_retail_raw_1000[[#This Row],[x]],1)="W", "West",LEFT(indian_retail_raw_1000[[#This Row],[x]],1)= "E","East",LEFT(O254,1) = "S", "South",LEFT(O254,1) = "N", "North")</f>
        <v>East</v>
      </c>
      <c r="Q254" t="s">
        <v>17</v>
      </c>
      <c r="R254" t="s">
        <v>16</v>
      </c>
      <c r="S254" t="str">
        <f>TEXT(indian_retail_raw_1000[[#This Row],[Order_Date]],"MMM")</f>
        <v>Jul</v>
      </c>
    </row>
    <row r="255" spans="1:19" x14ac:dyDescent="0.25">
      <c r="A255" t="s">
        <v>503</v>
      </c>
      <c r="B255" s="1">
        <v>45267</v>
      </c>
      <c r="C255" t="s">
        <v>504</v>
      </c>
      <c r="D255">
        <v>52</v>
      </c>
      <c r="E255" t="s">
        <v>23</v>
      </c>
      <c r="F255" t="s">
        <v>30</v>
      </c>
      <c r="G255" t="s">
        <v>224</v>
      </c>
      <c r="H255">
        <v>5</v>
      </c>
      <c r="I255">
        <v>950</v>
      </c>
      <c r="J255">
        <v>40</v>
      </c>
      <c r="K255" t="s">
        <v>50</v>
      </c>
      <c r="L255" t="s">
        <v>20</v>
      </c>
      <c r="M2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5">
        <v>2850</v>
      </c>
      <c r="O255" t="s">
        <v>276</v>
      </c>
      <c r="P255" t="str">
        <f>_xlfn.IFS(LEFT(indian_retail_raw_1000[[#This Row],[x]],1)="W", "West",LEFT(indian_retail_raw_1000[[#This Row],[x]],1)= "E","East",LEFT(O255,1) = "S", "South",LEFT(O255,1) = "N", "North")</f>
        <v>North</v>
      </c>
      <c r="Q255" t="s">
        <v>30</v>
      </c>
      <c r="R255" t="s">
        <v>23</v>
      </c>
      <c r="S255" t="str">
        <f>TEXT(indian_retail_raw_1000[[#This Row],[Order_Date]],"MMM")</f>
        <v>Dec</v>
      </c>
    </row>
    <row r="256" spans="1:19" x14ac:dyDescent="0.25">
      <c r="A256" t="s">
        <v>1165</v>
      </c>
      <c r="B256" s="1">
        <v>45236</v>
      </c>
      <c r="C256" t="s">
        <v>43</v>
      </c>
      <c r="D256">
        <v>200</v>
      </c>
      <c r="E256" t="s">
        <v>23</v>
      </c>
      <c r="F256" t="s">
        <v>17</v>
      </c>
      <c r="G256" t="s">
        <v>186</v>
      </c>
      <c r="H256">
        <v>1</v>
      </c>
      <c r="I256">
        <v>2850</v>
      </c>
      <c r="J256">
        <v>25</v>
      </c>
      <c r="K256" t="s">
        <v>25</v>
      </c>
      <c r="L256" t="s">
        <v>56</v>
      </c>
      <c r="M2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56">
        <v>2850</v>
      </c>
      <c r="O256" t="s">
        <v>45</v>
      </c>
      <c r="P256" t="str">
        <f>_xlfn.IFS(LEFT(indian_retail_raw_1000[[#This Row],[x]],1)="W", "West",LEFT(indian_retail_raw_1000[[#This Row],[x]],1)= "E","East",LEFT(O256,1) = "S", "South",LEFT(O256,1) = "N", "North")</f>
        <v>East</v>
      </c>
      <c r="Q256" t="s">
        <v>17</v>
      </c>
      <c r="R256" t="s">
        <v>23</v>
      </c>
      <c r="S256" t="str">
        <f>TEXT(indian_retail_raw_1000[[#This Row],[Order_Date]],"MMM")</f>
        <v>Nov</v>
      </c>
    </row>
    <row r="257" spans="1:19" x14ac:dyDescent="0.25">
      <c r="A257" t="s">
        <v>922</v>
      </c>
      <c r="B257" s="1">
        <v>45105</v>
      </c>
      <c r="C257" t="s">
        <v>318</v>
      </c>
      <c r="D257">
        <v>34</v>
      </c>
      <c r="E257" t="s">
        <v>490</v>
      </c>
      <c r="F257" t="s">
        <v>35</v>
      </c>
      <c r="G257" t="s">
        <v>271</v>
      </c>
      <c r="H257">
        <v>6</v>
      </c>
      <c r="I257">
        <v>600</v>
      </c>
      <c r="J257">
        <v>20</v>
      </c>
      <c r="K257" t="s">
        <v>50</v>
      </c>
      <c r="L257" t="s">
        <v>20</v>
      </c>
      <c r="M2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7">
        <v>2880</v>
      </c>
      <c r="O257" t="s">
        <v>894</v>
      </c>
      <c r="P257" t="str">
        <f>_xlfn.IFS(LEFT(indian_retail_raw_1000[[#This Row],[x]],1)="W", "West",LEFT(indian_retail_raw_1000[[#This Row],[x]],1)= "E","East",LEFT(O257,1) = "S", "South",LEFT(O257,1) = "N", "North")</f>
        <v>North</v>
      </c>
      <c r="Q257" t="s">
        <v>35</v>
      </c>
      <c r="R257" t="s">
        <v>16</v>
      </c>
      <c r="S257" t="str">
        <f>TEXT(indian_retail_raw_1000[[#This Row],[Order_Date]],"MMM")</f>
        <v>Jun</v>
      </c>
    </row>
    <row r="258" spans="1:19" x14ac:dyDescent="0.25">
      <c r="A258" t="s">
        <v>476</v>
      </c>
      <c r="B258" s="1">
        <v>45253</v>
      </c>
      <c r="C258" t="s">
        <v>198</v>
      </c>
      <c r="D258">
        <v>50</v>
      </c>
      <c r="E258" t="s">
        <v>23</v>
      </c>
      <c r="F258" t="s">
        <v>70</v>
      </c>
      <c r="G258" t="s">
        <v>94</v>
      </c>
      <c r="H258">
        <v>3</v>
      </c>
      <c r="I258">
        <v>2900</v>
      </c>
      <c r="J258">
        <v>0</v>
      </c>
      <c r="K258" t="s">
        <v>89</v>
      </c>
      <c r="L258" t="s">
        <v>20</v>
      </c>
      <c r="M2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8">
        <v>2900</v>
      </c>
      <c r="O258" t="s">
        <v>26</v>
      </c>
      <c r="P258" t="str">
        <f>_xlfn.IFS(LEFT(indian_retail_raw_1000[[#This Row],[x]],1)="W", "West",LEFT(indian_retail_raw_1000[[#This Row],[x]],1)= "E","East",LEFT(O258,1) = "S", "South",LEFT(O258,1) = "N", "North")</f>
        <v>West</v>
      </c>
      <c r="Q258" t="s">
        <v>17</v>
      </c>
      <c r="R258" t="s">
        <v>23</v>
      </c>
      <c r="S258" t="str">
        <f>TEXT(indian_retail_raw_1000[[#This Row],[Order_Date]],"MMM")</f>
        <v>Nov</v>
      </c>
    </row>
    <row r="259" spans="1:19" x14ac:dyDescent="0.25">
      <c r="A259" t="s">
        <v>984</v>
      </c>
      <c r="B259" s="1">
        <v>45090</v>
      </c>
      <c r="C259" t="s">
        <v>393</v>
      </c>
      <c r="D259">
        <v>23</v>
      </c>
      <c r="E259" t="s">
        <v>138</v>
      </c>
      <c r="F259" t="s">
        <v>17</v>
      </c>
      <c r="G259" t="s">
        <v>492</v>
      </c>
      <c r="H259">
        <v>1</v>
      </c>
      <c r="I259">
        <v>2900</v>
      </c>
      <c r="K259" t="s">
        <v>19</v>
      </c>
      <c r="L259" t="s">
        <v>51</v>
      </c>
      <c r="M2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59">
        <v>2900</v>
      </c>
      <c r="O259" t="s">
        <v>26</v>
      </c>
      <c r="P259" t="str">
        <f>_xlfn.IFS(LEFT(indian_retail_raw_1000[[#This Row],[x]],1)="W", "West",LEFT(indian_retail_raw_1000[[#This Row],[x]],1)= "E","East",LEFT(O259,1) = "S", "South",LEFT(O259,1) = "N", "North")</f>
        <v>West</v>
      </c>
      <c r="Q259" t="s">
        <v>17</v>
      </c>
      <c r="R259" t="s">
        <v>138</v>
      </c>
      <c r="S259" t="str">
        <f>TEXT(indian_retail_raw_1000[[#This Row],[Order_Date]],"MMM")</f>
        <v>Jun</v>
      </c>
    </row>
    <row r="260" spans="1:19" x14ac:dyDescent="0.25">
      <c r="A260" t="s">
        <v>212</v>
      </c>
      <c r="B260" s="1">
        <v>45152</v>
      </c>
      <c r="C260" t="s">
        <v>1336</v>
      </c>
      <c r="D260">
        <v>44</v>
      </c>
      <c r="E260" t="s">
        <v>16</v>
      </c>
      <c r="F260" t="s">
        <v>35</v>
      </c>
      <c r="G260" t="s">
        <v>213</v>
      </c>
      <c r="H260">
        <v>5</v>
      </c>
      <c r="I260">
        <v>686</v>
      </c>
      <c r="J260">
        <v>15</v>
      </c>
      <c r="K260" t="s">
        <v>50</v>
      </c>
      <c r="L260" t="s">
        <v>20</v>
      </c>
      <c r="M2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0">
        <v>2915.5</v>
      </c>
      <c r="O260" t="s">
        <v>45</v>
      </c>
      <c r="P260" t="str">
        <f>_xlfn.IFS(LEFT(indian_retail_raw_1000[[#This Row],[x]],1)="W", "West",LEFT(indian_retail_raw_1000[[#This Row],[x]],1)= "E","East",LEFT(O260,1) = "S", "South",LEFT(O260,1) = "N", "North")</f>
        <v>East</v>
      </c>
      <c r="Q260" t="s">
        <v>35</v>
      </c>
      <c r="R260" t="s">
        <v>16</v>
      </c>
      <c r="S260" t="str">
        <f>TEXT(indian_retail_raw_1000[[#This Row],[Order_Date]],"MMM")</f>
        <v>Aug</v>
      </c>
    </row>
    <row r="261" spans="1:19" x14ac:dyDescent="0.25">
      <c r="A261" t="s">
        <v>234</v>
      </c>
      <c r="B261" s="1">
        <v>45131</v>
      </c>
      <c r="C261" t="s">
        <v>179</v>
      </c>
      <c r="D261">
        <v>34</v>
      </c>
      <c r="E261" t="s">
        <v>16</v>
      </c>
      <c r="F261" t="s">
        <v>30</v>
      </c>
      <c r="G261" t="s">
        <v>235</v>
      </c>
      <c r="H261">
        <v>8</v>
      </c>
      <c r="I261">
        <v>2949</v>
      </c>
      <c r="J261">
        <v>0</v>
      </c>
      <c r="K261" t="s">
        <v>25</v>
      </c>
      <c r="L261" t="s">
        <v>20</v>
      </c>
      <c r="M2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1">
        <v>2949</v>
      </c>
      <c r="O261" t="s">
        <v>38</v>
      </c>
      <c r="P261" t="str">
        <f>_xlfn.IFS(LEFT(indian_retail_raw_1000[[#This Row],[x]],1)="W", "West",LEFT(indian_retail_raw_1000[[#This Row],[x]],1)= "E","East",LEFT(O261,1) = "S", "South",LEFT(O261,1) = "N", "North")</f>
        <v>North</v>
      </c>
      <c r="Q261" t="s">
        <v>30</v>
      </c>
      <c r="R261" t="s">
        <v>16</v>
      </c>
      <c r="S261" t="str">
        <f>TEXT(indian_retail_raw_1000[[#This Row],[Order_Date]],"MMM")</f>
        <v>Jul</v>
      </c>
    </row>
    <row r="262" spans="1:19" x14ac:dyDescent="0.25">
      <c r="A262" t="s">
        <v>556</v>
      </c>
      <c r="B262" s="1" t="s">
        <v>1336</v>
      </c>
      <c r="C262" t="s">
        <v>170</v>
      </c>
      <c r="D262">
        <v>51</v>
      </c>
      <c r="E262" t="s">
        <v>16</v>
      </c>
      <c r="F262" t="s">
        <v>35</v>
      </c>
      <c r="G262" t="s">
        <v>331</v>
      </c>
      <c r="H262">
        <v>8</v>
      </c>
      <c r="I262">
        <v>373</v>
      </c>
      <c r="J262">
        <v>0</v>
      </c>
      <c r="K262" t="s">
        <v>25</v>
      </c>
      <c r="L262" t="s">
        <v>56</v>
      </c>
      <c r="M2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62">
        <v>2984</v>
      </c>
      <c r="O262" t="s">
        <v>21</v>
      </c>
      <c r="P262" t="str">
        <f>_xlfn.IFS(LEFT(indian_retail_raw_1000[[#This Row],[x]],1)="W", "West",LEFT(indian_retail_raw_1000[[#This Row],[x]],1)= "E","East",LEFT(O262,1) = "S", "South",LEFT(O262,1) = "N", "North")</f>
        <v>South</v>
      </c>
      <c r="Q262" t="s">
        <v>35</v>
      </c>
      <c r="R262" t="s">
        <v>16</v>
      </c>
      <c r="S262" t="str">
        <f>TEXT(indian_retail_raw_1000[[#This Row],[Order_Date]],"MMM")</f>
        <v>Null</v>
      </c>
    </row>
    <row r="263" spans="1:19" x14ac:dyDescent="0.25">
      <c r="A263" t="s">
        <v>746</v>
      </c>
      <c r="B263" s="1">
        <v>45225</v>
      </c>
      <c r="C263" t="s">
        <v>1336</v>
      </c>
      <c r="E263" t="s">
        <v>23</v>
      </c>
      <c r="F263" t="s">
        <v>54</v>
      </c>
      <c r="G263" t="s">
        <v>348</v>
      </c>
      <c r="H263">
        <v>1</v>
      </c>
      <c r="I263">
        <v>3000</v>
      </c>
      <c r="J263">
        <v>40</v>
      </c>
      <c r="K263" t="s">
        <v>19</v>
      </c>
      <c r="L263" t="s">
        <v>20</v>
      </c>
      <c r="M2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3">
        <v>3000</v>
      </c>
      <c r="O263" t="s">
        <v>21</v>
      </c>
      <c r="P263" t="str">
        <f>_xlfn.IFS(LEFT(indian_retail_raw_1000[[#This Row],[x]],1)="W", "West",LEFT(indian_retail_raw_1000[[#This Row],[x]],1)= "E","East",LEFT(O263,1) = "S", "South",LEFT(O263,1) = "N", "North")</f>
        <v>South</v>
      </c>
      <c r="Q263" t="s">
        <v>54</v>
      </c>
      <c r="R263" t="s">
        <v>23</v>
      </c>
      <c r="S263" t="str">
        <f>TEXT(indian_retail_raw_1000[[#This Row],[Order_Date]],"MMM")</f>
        <v>Oct</v>
      </c>
    </row>
    <row r="264" spans="1:19" x14ac:dyDescent="0.25">
      <c r="A264" t="s">
        <v>422</v>
      </c>
      <c r="B264" s="1">
        <v>44958</v>
      </c>
      <c r="C264" t="s">
        <v>82</v>
      </c>
      <c r="D264">
        <v>22</v>
      </c>
      <c r="E264" t="s">
        <v>23</v>
      </c>
      <c r="F264" t="s">
        <v>17</v>
      </c>
      <c r="G264" t="s">
        <v>274</v>
      </c>
      <c r="H264">
        <v>2</v>
      </c>
      <c r="I264">
        <v>2150</v>
      </c>
      <c r="J264">
        <v>30</v>
      </c>
      <c r="K264" t="s">
        <v>25</v>
      </c>
      <c r="L264" t="s">
        <v>20</v>
      </c>
      <c r="M2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4">
        <v>3010</v>
      </c>
      <c r="O264" t="s">
        <v>21</v>
      </c>
      <c r="P264" t="str">
        <f>_xlfn.IFS(LEFT(indian_retail_raw_1000[[#This Row],[x]],1)="W", "West",LEFT(indian_retail_raw_1000[[#This Row],[x]],1)= "E","East",LEFT(O264,1) = "S", "South",LEFT(O264,1) = "N", "North")</f>
        <v>South</v>
      </c>
      <c r="Q264" t="s">
        <v>17</v>
      </c>
      <c r="R264" t="s">
        <v>23</v>
      </c>
      <c r="S264" t="str">
        <f>TEXT(indian_retail_raw_1000[[#This Row],[Order_Date]],"MMM")</f>
        <v>Feb</v>
      </c>
    </row>
    <row r="265" spans="1:19" x14ac:dyDescent="0.25">
      <c r="A265" t="s">
        <v>754</v>
      </c>
      <c r="B265" s="1">
        <v>45021</v>
      </c>
      <c r="C265" t="s">
        <v>72</v>
      </c>
      <c r="D265">
        <v>40</v>
      </c>
      <c r="E265" t="s">
        <v>23</v>
      </c>
      <c r="F265" t="s">
        <v>35</v>
      </c>
      <c r="G265" t="s">
        <v>158</v>
      </c>
      <c r="H265">
        <v>5</v>
      </c>
      <c r="I265">
        <v>670</v>
      </c>
      <c r="J265">
        <v>10</v>
      </c>
      <c r="K265" t="s">
        <v>50</v>
      </c>
      <c r="L265" t="s">
        <v>20</v>
      </c>
      <c r="M2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5">
        <v>3015</v>
      </c>
      <c r="O265" t="s">
        <v>21</v>
      </c>
      <c r="P265" t="str">
        <f>_xlfn.IFS(LEFT(indian_retail_raw_1000[[#This Row],[x]],1)="W", "West",LEFT(indian_retail_raw_1000[[#This Row],[x]],1)= "E","East",LEFT(O265,1) = "S", "South",LEFT(O265,1) = "N", "North")</f>
        <v>South</v>
      </c>
      <c r="Q265" t="s">
        <v>35</v>
      </c>
      <c r="R265" t="s">
        <v>23</v>
      </c>
      <c r="S265" t="str">
        <f>TEXT(indian_retail_raw_1000[[#This Row],[Order_Date]],"MMM")</f>
        <v>Apr</v>
      </c>
    </row>
    <row r="266" spans="1:19" x14ac:dyDescent="0.25">
      <c r="A266" t="s">
        <v>287</v>
      </c>
      <c r="B266" s="1" t="s">
        <v>1336</v>
      </c>
      <c r="C266" t="s">
        <v>87</v>
      </c>
      <c r="D266">
        <v>65</v>
      </c>
      <c r="E266" t="s">
        <v>23</v>
      </c>
      <c r="F266" t="s">
        <v>17</v>
      </c>
      <c r="G266" t="s">
        <v>274</v>
      </c>
      <c r="H266">
        <v>1</v>
      </c>
      <c r="I266">
        <v>4100</v>
      </c>
      <c r="J266">
        <v>25</v>
      </c>
      <c r="K266" t="s">
        <v>41</v>
      </c>
      <c r="L266" t="s">
        <v>20</v>
      </c>
      <c r="M2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6">
        <v>3075</v>
      </c>
      <c r="O266" t="s">
        <v>21</v>
      </c>
      <c r="P266" t="str">
        <f>_xlfn.IFS(LEFT(indian_retail_raw_1000[[#This Row],[x]],1)="W", "West",LEFT(indian_retail_raw_1000[[#This Row],[x]],1)= "E","East",LEFT(O266,1) = "S", "South",LEFT(O266,1) = "N", "North")</f>
        <v>South</v>
      </c>
      <c r="Q266" t="s">
        <v>17</v>
      </c>
      <c r="R266" t="s">
        <v>23</v>
      </c>
      <c r="S266" t="str">
        <f>TEXT(indian_retail_raw_1000[[#This Row],[Order_Date]],"MMM")</f>
        <v>Null</v>
      </c>
    </row>
    <row r="267" spans="1:19" x14ac:dyDescent="0.25">
      <c r="A267" t="s">
        <v>1030</v>
      </c>
      <c r="B267" s="1">
        <v>45267</v>
      </c>
      <c r="C267" t="s">
        <v>87</v>
      </c>
      <c r="D267">
        <v>21</v>
      </c>
      <c r="E267" t="s">
        <v>23</v>
      </c>
      <c r="F267" t="s">
        <v>35</v>
      </c>
      <c r="G267" t="s">
        <v>271</v>
      </c>
      <c r="H267">
        <v>8</v>
      </c>
      <c r="I267">
        <v>550</v>
      </c>
      <c r="J267">
        <v>30</v>
      </c>
      <c r="K267" t="s">
        <v>41</v>
      </c>
      <c r="L267" t="s">
        <v>20</v>
      </c>
      <c r="M2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7">
        <v>3080</v>
      </c>
      <c r="O267" t="s">
        <v>379</v>
      </c>
      <c r="P267" t="str">
        <f>_xlfn.IFS(LEFT(indian_retail_raw_1000[[#This Row],[x]],1)="W", "West",LEFT(indian_retail_raw_1000[[#This Row],[x]],1)= "E","East",LEFT(O267,1) = "S", "South",LEFT(O267,1) = "N", "North")</f>
        <v>South</v>
      </c>
      <c r="Q267" t="s">
        <v>35</v>
      </c>
      <c r="R267" t="s">
        <v>23</v>
      </c>
      <c r="S267" t="str">
        <f>TEXT(indian_retail_raw_1000[[#This Row],[Order_Date]],"MMM")</f>
        <v>Dec</v>
      </c>
    </row>
    <row r="268" spans="1:19" x14ac:dyDescent="0.25">
      <c r="A268" t="s">
        <v>405</v>
      </c>
      <c r="B268" s="1">
        <v>45167</v>
      </c>
      <c r="C268" t="s">
        <v>176</v>
      </c>
      <c r="D268">
        <v>23</v>
      </c>
      <c r="E268" t="s">
        <v>16</v>
      </c>
      <c r="F268" t="s">
        <v>17</v>
      </c>
      <c r="G268" t="s">
        <v>40</v>
      </c>
      <c r="H268">
        <v>2</v>
      </c>
      <c r="I268">
        <v>3100</v>
      </c>
      <c r="J268">
        <v>50</v>
      </c>
      <c r="K268" t="s">
        <v>25</v>
      </c>
      <c r="L268" t="s">
        <v>20</v>
      </c>
      <c r="M2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8">
        <v>3100</v>
      </c>
      <c r="O268" t="s">
        <v>45</v>
      </c>
      <c r="P268" t="str">
        <f>_xlfn.IFS(LEFT(indian_retail_raw_1000[[#This Row],[x]],1)="W", "West",LEFT(indian_retail_raw_1000[[#This Row],[x]],1)= "E","East",LEFT(O268,1) = "S", "South",LEFT(O268,1) = "N", "North")</f>
        <v>East</v>
      </c>
      <c r="Q268" t="s">
        <v>17</v>
      </c>
      <c r="R268" t="s">
        <v>16</v>
      </c>
      <c r="S268" t="str">
        <f>TEXT(indian_retail_raw_1000[[#This Row],[Order_Date]],"MMM")</f>
        <v>Aug</v>
      </c>
    </row>
    <row r="269" spans="1:19" x14ac:dyDescent="0.25">
      <c r="A269" t="s">
        <v>624</v>
      </c>
      <c r="B269" s="1" t="s">
        <v>1336</v>
      </c>
      <c r="C269" t="s">
        <v>15</v>
      </c>
      <c r="D269">
        <v>37</v>
      </c>
      <c r="E269" t="s">
        <v>138</v>
      </c>
      <c r="F269" t="s">
        <v>35</v>
      </c>
      <c r="G269" t="s">
        <v>271</v>
      </c>
      <c r="H269">
        <v>8</v>
      </c>
      <c r="I269">
        <v>487</v>
      </c>
      <c r="J269">
        <v>20</v>
      </c>
      <c r="K269" t="s">
        <v>41</v>
      </c>
      <c r="L269" t="s">
        <v>20</v>
      </c>
      <c r="M2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9">
        <v>3116.8</v>
      </c>
      <c r="O269" t="s">
        <v>45</v>
      </c>
      <c r="P269" t="str">
        <f>_xlfn.IFS(LEFT(indian_retail_raw_1000[[#This Row],[x]],1)="W", "West",LEFT(indian_retail_raw_1000[[#This Row],[x]],1)= "E","East",LEFT(O269,1) = "S", "South",LEFT(O269,1) = "N", "North")</f>
        <v>East</v>
      </c>
      <c r="Q269" t="s">
        <v>35</v>
      </c>
      <c r="R269" t="s">
        <v>138</v>
      </c>
      <c r="S269" t="str">
        <f>TEXT(indian_retail_raw_1000[[#This Row],[Order_Date]],"MMM")</f>
        <v>Null</v>
      </c>
    </row>
    <row r="270" spans="1:19" x14ac:dyDescent="0.25">
      <c r="A270" t="s">
        <v>385</v>
      </c>
      <c r="B270" s="1" t="s">
        <v>1336</v>
      </c>
      <c r="C270" t="s">
        <v>1336</v>
      </c>
      <c r="D270">
        <v>30</v>
      </c>
      <c r="E270" t="s">
        <v>16</v>
      </c>
      <c r="F270" t="s">
        <v>35</v>
      </c>
      <c r="G270" t="s">
        <v>36</v>
      </c>
      <c r="H270">
        <v>3</v>
      </c>
      <c r="I270">
        <v>1099</v>
      </c>
      <c r="J270">
        <v>5</v>
      </c>
      <c r="K270" t="s">
        <v>41</v>
      </c>
      <c r="L270" t="s">
        <v>51</v>
      </c>
      <c r="M2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70">
        <v>3132.15</v>
      </c>
      <c r="O270" t="s">
        <v>21</v>
      </c>
      <c r="P270" t="str">
        <f>_xlfn.IFS(LEFT(indian_retail_raw_1000[[#This Row],[x]],1)="W", "West",LEFT(indian_retail_raw_1000[[#This Row],[x]],1)= "E","East",LEFT(O270,1) = "S", "South",LEFT(O270,1) = "N", "North")</f>
        <v>South</v>
      </c>
      <c r="Q270" t="s">
        <v>35</v>
      </c>
      <c r="R270" t="s">
        <v>16</v>
      </c>
      <c r="S270" t="str">
        <f>TEXT(indian_retail_raw_1000[[#This Row],[Order_Date]],"MMM")</f>
        <v>Null</v>
      </c>
    </row>
    <row r="271" spans="1:19" x14ac:dyDescent="0.25">
      <c r="A271" t="s">
        <v>807</v>
      </c>
      <c r="B271" s="1">
        <v>45232</v>
      </c>
      <c r="C271" t="s">
        <v>102</v>
      </c>
      <c r="D271">
        <v>49</v>
      </c>
      <c r="E271" t="s">
        <v>16</v>
      </c>
      <c r="F271" t="s">
        <v>17</v>
      </c>
      <c r="G271" t="s">
        <v>186</v>
      </c>
      <c r="H271">
        <v>3</v>
      </c>
      <c r="I271">
        <v>1500</v>
      </c>
      <c r="J271">
        <v>30</v>
      </c>
      <c r="K271" t="s">
        <v>25</v>
      </c>
      <c r="L271" t="s">
        <v>20</v>
      </c>
      <c r="M2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1">
        <v>3150</v>
      </c>
      <c r="O271" t="s">
        <v>21</v>
      </c>
      <c r="P271" t="str">
        <f>_xlfn.IFS(LEFT(indian_retail_raw_1000[[#This Row],[x]],1)="W", "West",LEFT(indian_retail_raw_1000[[#This Row],[x]],1)= "E","East",LEFT(O271,1) = "S", "South",LEFT(O271,1) = "N", "North")</f>
        <v>South</v>
      </c>
      <c r="Q271" t="s">
        <v>17</v>
      </c>
      <c r="R271" t="s">
        <v>16</v>
      </c>
      <c r="S271" t="str">
        <f>TEXT(indian_retail_raw_1000[[#This Row],[Order_Date]],"MMM")</f>
        <v>Nov</v>
      </c>
    </row>
    <row r="272" spans="1:19" x14ac:dyDescent="0.25">
      <c r="A272" t="s">
        <v>1271</v>
      </c>
      <c r="B272" s="1">
        <v>44974</v>
      </c>
      <c r="C272" t="s">
        <v>43</v>
      </c>
      <c r="D272">
        <v>27</v>
      </c>
      <c r="E272" t="s">
        <v>23</v>
      </c>
      <c r="F272" t="s">
        <v>17</v>
      </c>
      <c r="G272" t="s">
        <v>492</v>
      </c>
      <c r="H272">
        <v>1</v>
      </c>
      <c r="I272">
        <v>3150</v>
      </c>
      <c r="K272" t="s">
        <v>50</v>
      </c>
      <c r="L272" t="s">
        <v>20</v>
      </c>
      <c r="M2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2">
        <v>3150</v>
      </c>
      <c r="O272" t="s">
        <v>356</v>
      </c>
      <c r="P272" t="str">
        <f>_xlfn.IFS(LEFT(indian_retail_raw_1000[[#This Row],[x]],1)="W", "West",LEFT(indian_retail_raw_1000[[#This Row],[x]],1)= "E","East",LEFT(O272,1) = "S", "South",LEFT(O272,1) = "N", "North")</f>
        <v>East</v>
      </c>
      <c r="Q272" t="s">
        <v>17</v>
      </c>
      <c r="R272" t="s">
        <v>23</v>
      </c>
      <c r="S272" t="str">
        <f>TEXT(indian_retail_raw_1000[[#This Row],[Order_Date]],"MMM")</f>
        <v>Feb</v>
      </c>
    </row>
    <row r="273" spans="1:19" x14ac:dyDescent="0.25">
      <c r="A273" t="s">
        <v>377</v>
      </c>
      <c r="B273" s="1">
        <v>45096</v>
      </c>
      <c r="C273" t="s">
        <v>128</v>
      </c>
      <c r="D273">
        <v>26</v>
      </c>
      <c r="E273" t="s">
        <v>23</v>
      </c>
      <c r="F273" t="s">
        <v>30</v>
      </c>
      <c r="G273" t="s">
        <v>195</v>
      </c>
      <c r="H273">
        <v>1</v>
      </c>
      <c r="I273">
        <v>3323</v>
      </c>
      <c r="J273">
        <v>5</v>
      </c>
      <c r="K273" t="s">
        <v>50</v>
      </c>
      <c r="L273" t="s">
        <v>378</v>
      </c>
      <c r="M2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73">
        <v>3156.85</v>
      </c>
      <c r="O273" t="s">
        <v>379</v>
      </c>
      <c r="P273" t="str">
        <f>_xlfn.IFS(LEFT(indian_retail_raw_1000[[#This Row],[x]],1)="W", "West",LEFT(indian_retail_raw_1000[[#This Row],[x]],1)= "E","East",LEFT(O273,1) = "S", "South",LEFT(O273,1) = "N", "North")</f>
        <v>South</v>
      </c>
      <c r="Q273" t="s">
        <v>30</v>
      </c>
      <c r="R273" t="s">
        <v>23</v>
      </c>
      <c r="S273" t="str">
        <f>TEXT(indian_retail_raw_1000[[#This Row],[Order_Date]],"MMM")</f>
        <v>Jun</v>
      </c>
    </row>
    <row r="274" spans="1:19" x14ac:dyDescent="0.25">
      <c r="A274" t="s">
        <v>812</v>
      </c>
      <c r="B274" s="1">
        <v>45059</v>
      </c>
      <c r="C274" t="s">
        <v>152</v>
      </c>
      <c r="D274">
        <v>41</v>
      </c>
      <c r="E274" t="s">
        <v>16</v>
      </c>
      <c r="F274" t="s">
        <v>17</v>
      </c>
      <c r="G274" t="s">
        <v>274</v>
      </c>
      <c r="H274">
        <v>1</v>
      </c>
      <c r="I274">
        <v>3950</v>
      </c>
      <c r="J274">
        <v>20</v>
      </c>
      <c r="K274" t="s">
        <v>19</v>
      </c>
      <c r="L274" t="s">
        <v>20</v>
      </c>
      <c r="M2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4">
        <v>3160</v>
      </c>
      <c r="O274" t="s">
        <v>375</v>
      </c>
      <c r="P274" t="str">
        <f>_xlfn.IFS(LEFT(indian_retail_raw_1000[[#This Row],[x]],1)="W", "West",LEFT(indian_retail_raw_1000[[#This Row],[x]],1)= "E","East",LEFT(O274,1) = "S", "South",LEFT(O274,1) = "N", "North")</f>
        <v>North</v>
      </c>
      <c r="Q274" t="s">
        <v>17</v>
      </c>
      <c r="R274" t="s">
        <v>16</v>
      </c>
      <c r="S274" t="str">
        <f>TEXT(indian_retail_raw_1000[[#This Row],[Order_Date]],"MMM")</f>
        <v>May</v>
      </c>
    </row>
    <row r="275" spans="1:19" x14ac:dyDescent="0.25">
      <c r="A275" t="s">
        <v>871</v>
      </c>
      <c r="B275" s="1">
        <v>44963</v>
      </c>
      <c r="C275" t="s">
        <v>176</v>
      </c>
      <c r="D275">
        <v>24</v>
      </c>
      <c r="E275" t="s">
        <v>16</v>
      </c>
      <c r="F275" t="s">
        <v>35</v>
      </c>
      <c r="G275" t="s">
        <v>158</v>
      </c>
      <c r="H275">
        <v>5</v>
      </c>
      <c r="I275">
        <v>603</v>
      </c>
      <c r="J275">
        <v>-5</v>
      </c>
      <c r="K275" t="s">
        <v>41</v>
      </c>
      <c r="L275" t="s">
        <v>51</v>
      </c>
      <c r="M2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75">
        <v>3165.75</v>
      </c>
      <c r="O275" t="s">
        <v>21</v>
      </c>
      <c r="P275" t="str">
        <f>_xlfn.IFS(LEFT(indian_retail_raw_1000[[#This Row],[x]],1)="W", "West",LEFT(indian_retail_raw_1000[[#This Row],[x]],1)= "E","East",LEFT(O275,1) = "S", "South",LEFT(O275,1) = "N", "North")</f>
        <v>South</v>
      </c>
      <c r="Q275" t="s">
        <v>35</v>
      </c>
      <c r="R275" t="s">
        <v>16</v>
      </c>
      <c r="S275" t="str">
        <f>TEXT(indian_retail_raw_1000[[#This Row],[Order_Date]],"MMM")</f>
        <v>Feb</v>
      </c>
    </row>
    <row r="276" spans="1:19" x14ac:dyDescent="0.25">
      <c r="A276" t="s">
        <v>762</v>
      </c>
      <c r="B276" s="1">
        <v>45278</v>
      </c>
      <c r="C276" t="s">
        <v>110</v>
      </c>
      <c r="D276">
        <v>22</v>
      </c>
      <c r="E276" t="s">
        <v>23</v>
      </c>
      <c r="F276" t="s">
        <v>30</v>
      </c>
      <c r="G276" t="s">
        <v>195</v>
      </c>
      <c r="H276">
        <v>1</v>
      </c>
      <c r="I276">
        <v>3179</v>
      </c>
      <c r="J276">
        <v>0</v>
      </c>
      <c r="K276" t="s">
        <v>95</v>
      </c>
      <c r="L276" t="s">
        <v>20</v>
      </c>
      <c r="M2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6">
        <v>3179</v>
      </c>
      <c r="O276" t="s">
        <v>57</v>
      </c>
      <c r="P276" t="str">
        <f>_xlfn.IFS(LEFT(indian_retail_raw_1000[[#This Row],[x]],1)="W", "West",LEFT(indian_retail_raw_1000[[#This Row],[x]],1)= "E","East",LEFT(O276,1) = "S", "South",LEFT(O276,1) = "N", "North")</f>
        <v>West</v>
      </c>
      <c r="Q276" t="s">
        <v>30</v>
      </c>
      <c r="R276" t="s">
        <v>23</v>
      </c>
      <c r="S276" t="str">
        <f>TEXT(indian_retail_raw_1000[[#This Row],[Order_Date]],"MMM")</f>
        <v>Dec</v>
      </c>
    </row>
    <row r="277" spans="1:19" x14ac:dyDescent="0.25">
      <c r="A277" t="s">
        <v>853</v>
      </c>
      <c r="B277" s="1" t="s">
        <v>1336</v>
      </c>
      <c r="C277" t="s">
        <v>66</v>
      </c>
      <c r="D277">
        <v>22</v>
      </c>
      <c r="E277" t="s">
        <v>23</v>
      </c>
      <c r="F277" t="s">
        <v>17</v>
      </c>
      <c r="G277" t="s">
        <v>259</v>
      </c>
      <c r="H277">
        <v>1</v>
      </c>
      <c r="I277">
        <v>3350</v>
      </c>
      <c r="J277">
        <v>5</v>
      </c>
      <c r="K277" t="s">
        <v>25</v>
      </c>
      <c r="L277" t="s">
        <v>20</v>
      </c>
      <c r="M2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7">
        <v>3182.5</v>
      </c>
      <c r="O277" t="s">
        <v>26</v>
      </c>
      <c r="P277" t="str">
        <f>_xlfn.IFS(LEFT(indian_retail_raw_1000[[#This Row],[x]],1)="W", "West",LEFT(indian_retail_raw_1000[[#This Row],[x]],1)= "E","East",LEFT(O277,1) = "S", "South",LEFT(O277,1) = "N", "North")</f>
        <v>West</v>
      </c>
      <c r="Q277" t="s">
        <v>17</v>
      </c>
      <c r="R277" t="s">
        <v>23</v>
      </c>
      <c r="S277" t="str">
        <f>TEXT(indian_retail_raw_1000[[#This Row],[Order_Date]],"MMM")</f>
        <v>Null</v>
      </c>
    </row>
    <row r="278" spans="1:19" x14ac:dyDescent="0.25">
      <c r="A278" t="s">
        <v>697</v>
      </c>
      <c r="B278" s="1">
        <v>45214</v>
      </c>
      <c r="C278" t="s">
        <v>198</v>
      </c>
      <c r="D278">
        <v>40</v>
      </c>
      <c r="E278" t="s">
        <v>16</v>
      </c>
      <c r="F278" t="s">
        <v>17</v>
      </c>
      <c r="G278" t="s">
        <v>259</v>
      </c>
      <c r="H278">
        <v>1</v>
      </c>
      <c r="I278">
        <v>4300</v>
      </c>
      <c r="J278">
        <v>25</v>
      </c>
      <c r="K278" t="s">
        <v>19</v>
      </c>
      <c r="L278" t="s">
        <v>20</v>
      </c>
      <c r="M2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8">
        <v>3225</v>
      </c>
      <c r="O278" t="s">
        <v>38</v>
      </c>
      <c r="P278" t="str">
        <f>_xlfn.IFS(LEFT(indian_retail_raw_1000[[#This Row],[x]],1)="W", "West",LEFT(indian_retail_raw_1000[[#This Row],[x]],1)= "E","East",LEFT(O278,1) = "S", "South",LEFT(O278,1) = "N", "North")</f>
        <v>North</v>
      </c>
      <c r="Q278" t="s">
        <v>17</v>
      </c>
      <c r="R278" t="s">
        <v>16</v>
      </c>
      <c r="S278" t="str">
        <f>TEXT(indian_retail_raw_1000[[#This Row],[Order_Date]],"MMM")</f>
        <v>Oct</v>
      </c>
    </row>
    <row r="279" spans="1:19" x14ac:dyDescent="0.25">
      <c r="A279" t="s">
        <v>848</v>
      </c>
      <c r="B279" s="1" t="s">
        <v>1336</v>
      </c>
      <c r="C279" t="s">
        <v>587</v>
      </c>
      <c r="D279">
        <v>45</v>
      </c>
      <c r="E279" t="s">
        <v>23</v>
      </c>
      <c r="F279" t="s">
        <v>35</v>
      </c>
      <c r="G279" t="s">
        <v>271</v>
      </c>
      <c r="H279">
        <v>9</v>
      </c>
      <c r="I279">
        <v>512</v>
      </c>
      <c r="J279">
        <v>30</v>
      </c>
      <c r="K279" t="s">
        <v>41</v>
      </c>
      <c r="L279" t="s">
        <v>51</v>
      </c>
      <c r="M2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79">
        <v>3225.6</v>
      </c>
      <c r="O279" t="s">
        <v>38</v>
      </c>
      <c r="P279" t="str">
        <f>_xlfn.IFS(LEFT(indian_retail_raw_1000[[#This Row],[x]],1)="W", "West",LEFT(indian_retail_raw_1000[[#This Row],[x]],1)= "E","East",LEFT(O279,1) = "S", "South",LEFT(O279,1) = "N", "North")</f>
        <v>North</v>
      </c>
      <c r="Q279" t="s">
        <v>35</v>
      </c>
      <c r="R279" t="s">
        <v>23</v>
      </c>
      <c r="S279" t="str">
        <f>TEXT(indian_retail_raw_1000[[#This Row],[Order_Date]],"MMM")</f>
        <v>Null</v>
      </c>
    </row>
    <row r="280" spans="1:19" x14ac:dyDescent="0.25">
      <c r="A280" t="s">
        <v>840</v>
      </c>
      <c r="B280" s="1">
        <v>45150</v>
      </c>
      <c r="C280" t="s">
        <v>841</v>
      </c>
      <c r="D280">
        <v>43</v>
      </c>
      <c r="E280" t="s">
        <v>16</v>
      </c>
      <c r="F280" t="s">
        <v>291</v>
      </c>
      <c r="G280" t="s">
        <v>80</v>
      </c>
      <c r="H280">
        <v>1</v>
      </c>
      <c r="I280">
        <v>4050</v>
      </c>
      <c r="J280">
        <v>20</v>
      </c>
      <c r="K280" t="s">
        <v>115</v>
      </c>
      <c r="L280" t="s">
        <v>51</v>
      </c>
      <c r="M2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80">
        <v>3240</v>
      </c>
      <c r="O280" t="s">
        <v>26</v>
      </c>
      <c r="P280" t="str">
        <f>_xlfn.IFS(LEFT(indian_retail_raw_1000[[#This Row],[x]],1)="W", "West",LEFT(indian_retail_raw_1000[[#This Row],[x]],1)= "E","East",LEFT(O280,1) = "S", "South",LEFT(O280,1) = "N", "North")</f>
        <v>West</v>
      </c>
      <c r="Q280" t="s">
        <v>17</v>
      </c>
      <c r="R280" t="s">
        <v>16</v>
      </c>
      <c r="S280" t="str">
        <f>TEXT(indian_retail_raw_1000[[#This Row],[Order_Date]],"MMM")</f>
        <v>Aug</v>
      </c>
    </row>
    <row r="281" spans="1:19" x14ac:dyDescent="0.25">
      <c r="A281" t="s">
        <v>361</v>
      </c>
      <c r="B281" s="1">
        <v>45221</v>
      </c>
      <c r="C281" t="s">
        <v>358</v>
      </c>
      <c r="D281">
        <v>47</v>
      </c>
      <c r="E281" t="s">
        <v>23</v>
      </c>
      <c r="F281" t="s">
        <v>17</v>
      </c>
      <c r="G281" t="s">
        <v>259</v>
      </c>
      <c r="H281">
        <v>1</v>
      </c>
      <c r="I281">
        <v>3250</v>
      </c>
      <c r="J281">
        <v>0</v>
      </c>
      <c r="K281" t="s">
        <v>41</v>
      </c>
      <c r="L281" t="s">
        <v>20</v>
      </c>
      <c r="M2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1">
        <v>3250</v>
      </c>
      <c r="O281" t="s">
        <v>21</v>
      </c>
      <c r="P281" t="str">
        <f>_xlfn.IFS(LEFT(indian_retail_raw_1000[[#This Row],[x]],1)="W", "West",LEFT(indian_retail_raw_1000[[#This Row],[x]],1)= "E","East",LEFT(O281,1) = "S", "South",LEFT(O281,1) = "N", "North")</f>
        <v>South</v>
      </c>
      <c r="Q281" t="s">
        <v>17</v>
      </c>
      <c r="R281" t="s">
        <v>23</v>
      </c>
      <c r="S281" t="str">
        <f>TEXT(indian_retail_raw_1000[[#This Row],[Order_Date]],"MMM")</f>
        <v>Oct</v>
      </c>
    </row>
    <row r="282" spans="1:19" x14ac:dyDescent="0.25">
      <c r="A282" t="s">
        <v>787</v>
      </c>
      <c r="B282" s="1">
        <v>45003</v>
      </c>
      <c r="C282" t="s">
        <v>48</v>
      </c>
      <c r="D282">
        <v>30</v>
      </c>
      <c r="E282" t="s">
        <v>23</v>
      </c>
      <c r="F282" t="s">
        <v>17</v>
      </c>
      <c r="G282" t="s">
        <v>259</v>
      </c>
      <c r="H282">
        <v>1</v>
      </c>
      <c r="I282">
        <v>4350</v>
      </c>
      <c r="J282">
        <v>25</v>
      </c>
      <c r="K282" t="s">
        <v>41</v>
      </c>
      <c r="L282" t="s">
        <v>56</v>
      </c>
      <c r="M2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82">
        <v>3262.5</v>
      </c>
      <c r="O282" t="s">
        <v>332</v>
      </c>
      <c r="P282" t="str">
        <f>_xlfn.IFS(LEFT(indian_retail_raw_1000[[#This Row],[x]],1)="W", "West",LEFT(indian_retail_raw_1000[[#This Row],[x]],1)= "E","East",LEFT(O282,1) = "S", "South",LEFT(O282,1) = "N", "North")</f>
        <v>North</v>
      </c>
      <c r="Q282" t="s">
        <v>17</v>
      </c>
      <c r="R282" t="s">
        <v>23</v>
      </c>
      <c r="S282" t="str">
        <f>TEXT(indian_retail_raw_1000[[#This Row],[Order_Date]],"MMM")</f>
        <v>Mar</v>
      </c>
    </row>
    <row r="283" spans="1:19" x14ac:dyDescent="0.25">
      <c r="A283" t="s">
        <v>744</v>
      </c>
      <c r="B283" s="1">
        <v>45190</v>
      </c>
      <c r="C283" t="s">
        <v>53</v>
      </c>
      <c r="D283">
        <v>51</v>
      </c>
      <c r="E283" t="s">
        <v>16</v>
      </c>
      <c r="F283" t="s">
        <v>129</v>
      </c>
      <c r="G283" t="s">
        <v>268</v>
      </c>
      <c r="H283">
        <v>3</v>
      </c>
      <c r="I283">
        <v>1088</v>
      </c>
      <c r="J283">
        <v>0</v>
      </c>
      <c r="K283" t="s">
        <v>25</v>
      </c>
      <c r="L283" t="s">
        <v>37</v>
      </c>
      <c r="M2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3">
        <v>3264</v>
      </c>
      <c r="O283" t="s">
        <v>38</v>
      </c>
      <c r="P283" t="str">
        <f>_xlfn.IFS(LEFT(indian_retail_raw_1000[[#This Row],[x]],1)="W", "West",LEFT(indian_retail_raw_1000[[#This Row],[x]],1)= "E","East",LEFT(O283,1) = "S", "South",LEFT(O283,1) = "N", "North")</f>
        <v>North</v>
      </c>
      <c r="Q283" t="s">
        <v>30</v>
      </c>
      <c r="R283" t="s">
        <v>16</v>
      </c>
      <c r="S283" t="str">
        <f>TEXT(indian_retail_raw_1000[[#This Row],[Order_Date]],"MMM")</f>
        <v>Sep</v>
      </c>
    </row>
    <row r="284" spans="1:19" x14ac:dyDescent="0.25">
      <c r="A284" t="s">
        <v>464</v>
      </c>
      <c r="B284" s="1">
        <v>44934</v>
      </c>
      <c r="C284" t="s">
        <v>170</v>
      </c>
      <c r="D284">
        <v>45</v>
      </c>
      <c r="E284" t="s">
        <v>73</v>
      </c>
      <c r="F284" t="s">
        <v>35</v>
      </c>
      <c r="G284" t="s">
        <v>271</v>
      </c>
      <c r="H284">
        <v>6</v>
      </c>
      <c r="I284">
        <v>575</v>
      </c>
      <c r="J284">
        <v>5</v>
      </c>
      <c r="K284" t="s">
        <v>25</v>
      </c>
      <c r="L284" t="s">
        <v>20</v>
      </c>
      <c r="M2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4">
        <v>3277.5</v>
      </c>
      <c r="O284" t="s">
        <v>45</v>
      </c>
      <c r="P284" t="str">
        <f>_xlfn.IFS(LEFT(indian_retail_raw_1000[[#This Row],[x]],1)="W", "West",LEFT(indian_retail_raw_1000[[#This Row],[x]],1)= "E","East",LEFT(O284,1) = "S", "South",LEFT(O284,1) = "N", "North")</f>
        <v>East</v>
      </c>
      <c r="Q284" t="s">
        <v>35</v>
      </c>
      <c r="R284" t="s">
        <v>23</v>
      </c>
      <c r="S284" t="str">
        <f>TEXT(indian_retail_raw_1000[[#This Row],[Order_Date]],"MMM")</f>
        <v>Jan</v>
      </c>
    </row>
    <row r="285" spans="1:19" x14ac:dyDescent="0.25">
      <c r="A285" t="s">
        <v>811</v>
      </c>
      <c r="B285" s="1">
        <v>45183</v>
      </c>
      <c r="C285" t="s">
        <v>1336</v>
      </c>
      <c r="E285" t="s">
        <v>16</v>
      </c>
      <c r="F285" t="s">
        <v>30</v>
      </c>
      <c r="G285" t="s">
        <v>67</v>
      </c>
      <c r="H285">
        <v>1</v>
      </c>
      <c r="I285">
        <v>3281</v>
      </c>
      <c r="J285">
        <v>0</v>
      </c>
      <c r="K285" t="s">
        <v>95</v>
      </c>
      <c r="L285" t="s">
        <v>20</v>
      </c>
      <c r="M2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5">
        <v>3281</v>
      </c>
      <c r="O285" t="s">
        <v>21</v>
      </c>
      <c r="P285" t="str">
        <f>_xlfn.IFS(LEFT(indian_retail_raw_1000[[#This Row],[x]],1)="W", "West",LEFT(indian_retail_raw_1000[[#This Row],[x]],1)= "E","East",LEFT(O285,1) = "S", "South",LEFT(O285,1) = "N", "North")</f>
        <v>South</v>
      </c>
      <c r="Q285" t="s">
        <v>30</v>
      </c>
      <c r="R285" t="s">
        <v>16</v>
      </c>
      <c r="S285" t="str">
        <f>TEXT(indian_retail_raw_1000[[#This Row],[Order_Date]],"MMM")</f>
        <v>Sep</v>
      </c>
    </row>
    <row r="286" spans="1:19" x14ac:dyDescent="0.25">
      <c r="A286" t="s">
        <v>669</v>
      </c>
      <c r="B286" s="1" t="s">
        <v>1336</v>
      </c>
      <c r="C286" t="s">
        <v>192</v>
      </c>
      <c r="D286">
        <v>29</v>
      </c>
      <c r="E286" t="s">
        <v>29</v>
      </c>
      <c r="F286" t="s">
        <v>30</v>
      </c>
      <c r="G286" t="s">
        <v>268</v>
      </c>
      <c r="H286">
        <v>4</v>
      </c>
      <c r="I286">
        <v>1372</v>
      </c>
      <c r="J286">
        <v>40</v>
      </c>
      <c r="K286" t="s">
        <v>95</v>
      </c>
      <c r="L286" t="s">
        <v>20</v>
      </c>
      <c r="M2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6">
        <v>3292.8</v>
      </c>
      <c r="O286" t="s">
        <v>26</v>
      </c>
      <c r="P286" t="str">
        <f>_xlfn.IFS(LEFT(indian_retail_raw_1000[[#This Row],[x]],1)="W", "West",LEFT(indian_retail_raw_1000[[#This Row],[x]],1)= "E","East",LEFT(O286,1) = "S", "South",LEFT(O286,1) = "N", "North")</f>
        <v>West</v>
      </c>
      <c r="Q286" t="s">
        <v>30</v>
      </c>
      <c r="R286" t="s">
        <v>16</v>
      </c>
      <c r="S286" t="str">
        <f>TEXT(indian_retail_raw_1000[[#This Row],[Order_Date]],"MMM")</f>
        <v>Null</v>
      </c>
    </row>
    <row r="287" spans="1:19" x14ac:dyDescent="0.25">
      <c r="A287" t="s">
        <v>145</v>
      </c>
      <c r="B287" s="1">
        <v>45026</v>
      </c>
      <c r="C287" t="s">
        <v>62</v>
      </c>
      <c r="D287">
        <v>29</v>
      </c>
      <c r="E287" t="s">
        <v>146</v>
      </c>
      <c r="F287" t="s">
        <v>35</v>
      </c>
      <c r="G287" t="s">
        <v>147</v>
      </c>
      <c r="H287">
        <v>8</v>
      </c>
      <c r="I287">
        <v>434</v>
      </c>
      <c r="J287">
        <v>5</v>
      </c>
      <c r="K287" t="s">
        <v>41</v>
      </c>
      <c r="L287" t="s">
        <v>51</v>
      </c>
      <c r="M2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87">
        <v>3298.4</v>
      </c>
      <c r="O287" t="s">
        <v>45</v>
      </c>
      <c r="P287" t="str">
        <f>_xlfn.IFS(LEFT(indian_retail_raw_1000[[#This Row],[x]],1)="W", "West",LEFT(indian_retail_raw_1000[[#This Row],[x]],1)= "E","East",LEFT(O287,1) = "S", "South",LEFT(O287,1) = "N", "North")</f>
        <v>East</v>
      </c>
      <c r="Q287" t="s">
        <v>35</v>
      </c>
      <c r="R287" t="s">
        <v>16</v>
      </c>
      <c r="S287" t="str">
        <f>TEXT(indian_retail_raw_1000[[#This Row],[Order_Date]],"MMM")</f>
        <v>Apr</v>
      </c>
    </row>
    <row r="288" spans="1:19" x14ac:dyDescent="0.25">
      <c r="A288" t="s">
        <v>290</v>
      </c>
      <c r="B288" s="1">
        <v>45072</v>
      </c>
      <c r="C288" t="s">
        <v>87</v>
      </c>
      <c r="D288">
        <v>60</v>
      </c>
      <c r="E288" t="s">
        <v>23</v>
      </c>
      <c r="F288" t="s">
        <v>291</v>
      </c>
      <c r="G288" t="s">
        <v>24</v>
      </c>
      <c r="H288">
        <v>1</v>
      </c>
      <c r="I288">
        <v>3300</v>
      </c>
      <c r="J288">
        <v>0</v>
      </c>
      <c r="K288" t="s">
        <v>41</v>
      </c>
      <c r="L288" t="s">
        <v>20</v>
      </c>
      <c r="M2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8">
        <v>3300</v>
      </c>
      <c r="O288" t="s">
        <v>38</v>
      </c>
      <c r="P288" t="str">
        <f>_xlfn.IFS(LEFT(indian_retail_raw_1000[[#This Row],[x]],1)="W", "West",LEFT(indian_retail_raw_1000[[#This Row],[x]],1)= "E","East",LEFT(O288,1) = "S", "South",LEFT(O288,1) = "N", "North")</f>
        <v>North</v>
      </c>
      <c r="Q288" t="s">
        <v>17</v>
      </c>
      <c r="R288" t="s">
        <v>23</v>
      </c>
      <c r="S288" t="str">
        <f>TEXT(indian_retail_raw_1000[[#This Row],[Order_Date]],"MMM")</f>
        <v>May</v>
      </c>
    </row>
    <row r="289" spans="1:19" x14ac:dyDescent="0.25">
      <c r="A289" t="s">
        <v>927</v>
      </c>
      <c r="B289" s="1">
        <v>45284</v>
      </c>
      <c r="C289" t="s">
        <v>82</v>
      </c>
      <c r="D289">
        <v>36</v>
      </c>
      <c r="E289" t="s">
        <v>23</v>
      </c>
      <c r="F289" t="s">
        <v>30</v>
      </c>
      <c r="G289" t="s">
        <v>224</v>
      </c>
      <c r="H289">
        <v>5</v>
      </c>
      <c r="I289">
        <v>945</v>
      </c>
      <c r="J289">
        <v>30</v>
      </c>
      <c r="K289" t="s">
        <v>19</v>
      </c>
      <c r="L289" t="s">
        <v>20</v>
      </c>
      <c r="M2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9">
        <v>3307.5</v>
      </c>
      <c r="O289" t="s">
        <v>45</v>
      </c>
      <c r="P289" t="str">
        <f>_xlfn.IFS(LEFT(indian_retail_raw_1000[[#This Row],[x]],1)="W", "West",LEFT(indian_retail_raw_1000[[#This Row],[x]],1)= "E","East",LEFT(O289,1) = "S", "South",LEFT(O289,1) = "N", "North")</f>
        <v>East</v>
      </c>
      <c r="Q289" t="s">
        <v>30</v>
      </c>
      <c r="R289" t="s">
        <v>23</v>
      </c>
      <c r="S289" t="str">
        <f>TEXT(indian_retail_raw_1000[[#This Row],[Order_Date]],"MMM")</f>
        <v>Dec</v>
      </c>
    </row>
    <row r="290" spans="1:19" x14ac:dyDescent="0.25">
      <c r="A290" t="s">
        <v>1073</v>
      </c>
      <c r="B290" s="1">
        <v>45034</v>
      </c>
      <c r="C290" t="s">
        <v>48</v>
      </c>
      <c r="D290">
        <v>58</v>
      </c>
      <c r="E290" t="s">
        <v>16</v>
      </c>
      <c r="F290" t="s">
        <v>30</v>
      </c>
      <c r="G290" t="s">
        <v>540</v>
      </c>
      <c r="H290">
        <v>2</v>
      </c>
      <c r="I290">
        <v>3338</v>
      </c>
      <c r="J290">
        <v>50</v>
      </c>
      <c r="K290" t="s">
        <v>50</v>
      </c>
      <c r="L290" t="s">
        <v>51</v>
      </c>
      <c r="M2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90">
        <v>3338</v>
      </c>
      <c r="O290" t="s">
        <v>352</v>
      </c>
      <c r="P290" t="str">
        <f>_xlfn.IFS(LEFT(indian_retail_raw_1000[[#This Row],[x]],1)="W", "West",LEFT(indian_retail_raw_1000[[#This Row],[x]],1)= "E","East",LEFT(O290,1) = "S", "South",LEFT(O290,1) = "N", "North")</f>
        <v>East</v>
      </c>
      <c r="Q290" t="s">
        <v>30</v>
      </c>
      <c r="R290" t="s">
        <v>16</v>
      </c>
      <c r="S290" t="str">
        <f>TEXT(indian_retail_raw_1000[[#This Row],[Order_Date]],"MMM")</f>
        <v>Apr</v>
      </c>
    </row>
    <row r="291" spans="1:19" x14ac:dyDescent="0.25">
      <c r="A291" t="s">
        <v>905</v>
      </c>
      <c r="B291" s="1">
        <v>45272</v>
      </c>
      <c r="C291" t="s">
        <v>1336</v>
      </c>
      <c r="D291">
        <v>20</v>
      </c>
      <c r="E291" t="s">
        <v>44</v>
      </c>
      <c r="F291" t="s">
        <v>17</v>
      </c>
      <c r="G291" t="s">
        <v>94</v>
      </c>
      <c r="H291">
        <v>1</v>
      </c>
      <c r="I291">
        <v>3350</v>
      </c>
      <c r="J291">
        <v>0</v>
      </c>
      <c r="K291" t="s">
        <v>50</v>
      </c>
      <c r="L291" t="s">
        <v>51</v>
      </c>
      <c r="M2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91">
        <v>3350</v>
      </c>
      <c r="O291" t="s">
        <v>45</v>
      </c>
      <c r="P291" t="str">
        <f>_xlfn.IFS(LEFT(indian_retail_raw_1000[[#This Row],[x]],1)="W", "West",LEFT(indian_retail_raw_1000[[#This Row],[x]],1)= "E","East",LEFT(O291,1) = "S", "South",LEFT(O291,1) = "N", "North")</f>
        <v>East</v>
      </c>
      <c r="Q291" t="s">
        <v>17</v>
      </c>
      <c r="R291" t="s">
        <v>23</v>
      </c>
      <c r="S291" t="str">
        <f>TEXT(indian_retail_raw_1000[[#This Row],[Order_Date]],"MMM")</f>
        <v>Dec</v>
      </c>
    </row>
    <row r="292" spans="1:19" x14ac:dyDescent="0.25">
      <c r="A292" t="s">
        <v>1252</v>
      </c>
      <c r="B292" s="1">
        <v>44933</v>
      </c>
      <c r="C292" t="s">
        <v>128</v>
      </c>
      <c r="D292">
        <v>37</v>
      </c>
      <c r="E292" t="s">
        <v>23</v>
      </c>
      <c r="F292" t="s">
        <v>54</v>
      </c>
      <c r="G292" t="s">
        <v>348</v>
      </c>
      <c r="H292">
        <v>2</v>
      </c>
      <c r="I292">
        <v>1600</v>
      </c>
      <c r="J292">
        <v>-5</v>
      </c>
      <c r="K292" t="s">
        <v>41</v>
      </c>
      <c r="L292" t="s">
        <v>20</v>
      </c>
      <c r="M2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2">
        <v>3360</v>
      </c>
      <c r="O292" t="s">
        <v>38</v>
      </c>
      <c r="P292" t="str">
        <f>_xlfn.IFS(LEFT(indian_retail_raw_1000[[#This Row],[x]],1)="W", "West",LEFT(indian_retail_raw_1000[[#This Row],[x]],1)= "E","East",LEFT(O292,1) = "S", "South",LEFT(O292,1) = "N", "North")</f>
        <v>North</v>
      </c>
      <c r="Q292" t="s">
        <v>54</v>
      </c>
      <c r="R292" t="s">
        <v>23</v>
      </c>
      <c r="S292" t="str">
        <f>TEXT(indian_retail_raw_1000[[#This Row],[Order_Date]],"MMM")</f>
        <v>Jan</v>
      </c>
    </row>
    <row r="293" spans="1:19" x14ac:dyDescent="0.25">
      <c r="A293" t="s">
        <v>323</v>
      </c>
      <c r="B293" s="1">
        <v>45025</v>
      </c>
      <c r="C293" t="s">
        <v>160</v>
      </c>
      <c r="D293">
        <v>41</v>
      </c>
      <c r="E293" t="s">
        <v>16</v>
      </c>
      <c r="F293" t="s">
        <v>324</v>
      </c>
      <c r="G293" t="s">
        <v>36</v>
      </c>
      <c r="H293">
        <v>3</v>
      </c>
      <c r="I293">
        <v>1123</v>
      </c>
      <c r="J293">
        <v>0</v>
      </c>
      <c r="K293" t="s">
        <v>25</v>
      </c>
      <c r="L293" t="s">
        <v>20</v>
      </c>
      <c r="M2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3">
        <v>3369</v>
      </c>
      <c r="O293" t="s">
        <v>38</v>
      </c>
      <c r="P293" t="str">
        <f>_xlfn.IFS(LEFT(indian_retail_raw_1000[[#This Row],[x]],1)="W", "West",LEFT(indian_retail_raw_1000[[#This Row],[x]],1)= "E","East",LEFT(O293,1) = "S", "South",LEFT(O293,1) = "N", "North")</f>
        <v>North</v>
      </c>
      <c r="Q293" t="s">
        <v>35</v>
      </c>
      <c r="R293" t="s">
        <v>16</v>
      </c>
      <c r="S293" t="str">
        <f>TEXT(indian_retail_raw_1000[[#This Row],[Order_Date]],"MMM")</f>
        <v>Apr</v>
      </c>
    </row>
    <row r="294" spans="1:19" x14ac:dyDescent="0.25">
      <c r="A294" t="s">
        <v>305</v>
      </c>
      <c r="B294" s="1">
        <v>44969</v>
      </c>
      <c r="C294" t="s">
        <v>128</v>
      </c>
      <c r="D294">
        <v>38</v>
      </c>
      <c r="E294" t="s">
        <v>23</v>
      </c>
      <c r="F294" t="s">
        <v>30</v>
      </c>
      <c r="G294" t="s">
        <v>31</v>
      </c>
      <c r="H294">
        <v>3</v>
      </c>
      <c r="I294">
        <v>1610</v>
      </c>
      <c r="J294">
        <v>30</v>
      </c>
      <c r="K294" t="s">
        <v>19</v>
      </c>
      <c r="L294" t="s">
        <v>20</v>
      </c>
      <c r="M2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4">
        <v>3381</v>
      </c>
      <c r="O294" t="s">
        <v>21</v>
      </c>
      <c r="P294" t="str">
        <f>_xlfn.IFS(LEFT(indian_retail_raw_1000[[#This Row],[x]],1)="W", "West",LEFT(indian_retail_raw_1000[[#This Row],[x]],1)= "E","East",LEFT(O294,1) = "S", "South",LEFT(O294,1) = "N", "North")</f>
        <v>South</v>
      </c>
      <c r="Q294" t="s">
        <v>30</v>
      </c>
      <c r="R294" t="s">
        <v>23</v>
      </c>
      <c r="S294" t="str">
        <f>TEXT(indian_retail_raw_1000[[#This Row],[Order_Date]],"MMM")</f>
        <v>Feb</v>
      </c>
    </row>
    <row r="295" spans="1:19" x14ac:dyDescent="0.25">
      <c r="A295" t="s">
        <v>285</v>
      </c>
      <c r="B295" s="1">
        <v>44945</v>
      </c>
      <c r="C295" t="s">
        <v>152</v>
      </c>
      <c r="D295">
        <v>33</v>
      </c>
      <c r="E295" t="s">
        <v>23</v>
      </c>
      <c r="F295" t="s">
        <v>17</v>
      </c>
      <c r="G295" t="s">
        <v>40</v>
      </c>
      <c r="H295">
        <v>1</v>
      </c>
      <c r="I295">
        <v>3400</v>
      </c>
      <c r="J295">
        <v>0</v>
      </c>
      <c r="K295" t="s">
        <v>41</v>
      </c>
      <c r="L295" t="s">
        <v>20</v>
      </c>
      <c r="M2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5">
        <v>3400</v>
      </c>
      <c r="O295" t="s">
        <v>26</v>
      </c>
      <c r="P295" t="str">
        <f>_xlfn.IFS(LEFT(indian_retail_raw_1000[[#This Row],[x]],1)="W", "West",LEFT(indian_retail_raw_1000[[#This Row],[x]],1)= "E","East",LEFT(O295,1) = "S", "South",LEFT(O295,1) = "N", "North")</f>
        <v>West</v>
      </c>
      <c r="Q295" t="s">
        <v>17</v>
      </c>
      <c r="R295" t="s">
        <v>23</v>
      </c>
      <c r="S295" t="str">
        <f>TEXT(indian_retail_raw_1000[[#This Row],[Order_Date]],"MMM")</f>
        <v>Jan</v>
      </c>
    </row>
    <row r="296" spans="1:19" x14ac:dyDescent="0.25">
      <c r="A296" t="s">
        <v>808</v>
      </c>
      <c r="B296" s="1">
        <v>45067</v>
      </c>
      <c r="C296" t="s">
        <v>87</v>
      </c>
      <c r="D296">
        <v>62</v>
      </c>
      <c r="E296" t="s">
        <v>23</v>
      </c>
      <c r="F296" t="s">
        <v>54</v>
      </c>
      <c r="G296" t="s">
        <v>348</v>
      </c>
      <c r="H296">
        <v>2</v>
      </c>
      <c r="I296">
        <v>2000</v>
      </c>
      <c r="J296">
        <v>15</v>
      </c>
      <c r="K296" t="s">
        <v>41</v>
      </c>
      <c r="L296" t="s">
        <v>20</v>
      </c>
      <c r="M2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6">
        <v>3400</v>
      </c>
      <c r="O296" t="s">
        <v>295</v>
      </c>
      <c r="P296" t="str">
        <f>_xlfn.IFS(LEFT(indian_retail_raw_1000[[#This Row],[x]],1)="W", "West",LEFT(indian_retail_raw_1000[[#This Row],[x]],1)= "E","East",LEFT(O296,1) = "S", "South",LEFT(O296,1) = "N", "North")</f>
        <v>East</v>
      </c>
      <c r="Q296" t="s">
        <v>54</v>
      </c>
      <c r="R296" t="s">
        <v>23</v>
      </c>
      <c r="S296" t="str">
        <f>TEXT(indian_retail_raw_1000[[#This Row],[Order_Date]],"MMM")</f>
        <v>May</v>
      </c>
    </row>
    <row r="297" spans="1:19" x14ac:dyDescent="0.25">
      <c r="A297" t="s">
        <v>1040</v>
      </c>
      <c r="B297" s="1">
        <v>44984</v>
      </c>
      <c r="C297" t="s">
        <v>152</v>
      </c>
      <c r="D297">
        <v>25</v>
      </c>
      <c r="E297" t="s">
        <v>16</v>
      </c>
      <c r="F297" t="s">
        <v>17</v>
      </c>
      <c r="G297" t="s">
        <v>186</v>
      </c>
      <c r="H297">
        <v>2</v>
      </c>
      <c r="I297">
        <v>2850</v>
      </c>
      <c r="J297">
        <v>40</v>
      </c>
      <c r="K297" t="s">
        <v>261</v>
      </c>
      <c r="L297" t="s">
        <v>56</v>
      </c>
      <c r="M2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97">
        <v>3420</v>
      </c>
      <c r="O297" t="s">
        <v>26</v>
      </c>
      <c r="P297" t="str">
        <f>_xlfn.IFS(LEFT(indian_retail_raw_1000[[#This Row],[x]],1)="W", "West",LEFT(indian_retail_raw_1000[[#This Row],[x]],1)= "E","East",LEFT(O297,1) = "S", "South",LEFT(O297,1) = "N", "North")</f>
        <v>West</v>
      </c>
      <c r="Q297" t="s">
        <v>17</v>
      </c>
      <c r="R297" t="s">
        <v>16</v>
      </c>
      <c r="S297" t="str">
        <f>TEXT(indian_retail_raw_1000[[#This Row],[Order_Date]],"MMM")</f>
        <v>Feb</v>
      </c>
    </row>
    <row r="298" spans="1:19" x14ac:dyDescent="0.25">
      <c r="A298" t="s">
        <v>458</v>
      </c>
      <c r="B298" s="1">
        <v>45210</v>
      </c>
      <c r="C298" t="s">
        <v>28</v>
      </c>
      <c r="D298">
        <v>26</v>
      </c>
      <c r="E298" t="s">
        <v>23</v>
      </c>
      <c r="F298" t="s">
        <v>35</v>
      </c>
      <c r="G298" t="s">
        <v>257</v>
      </c>
      <c r="H298">
        <v>3</v>
      </c>
      <c r="I298">
        <v>1203</v>
      </c>
      <c r="J298">
        <v>5</v>
      </c>
      <c r="K298" t="s">
        <v>50</v>
      </c>
      <c r="L298" t="s">
        <v>20</v>
      </c>
      <c r="M2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8">
        <v>3428.55</v>
      </c>
      <c r="O298" t="s">
        <v>26</v>
      </c>
      <c r="P298" t="str">
        <f>_xlfn.IFS(LEFT(indian_retail_raw_1000[[#This Row],[x]],1)="W", "West",LEFT(indian_retail_raw_1000[[#This Row],[x]],1)= "E","East",LEFT(O298,1) = "S", "South",LEFT(O298,1) = "N", "North")</f>
        <v>West</v>
      </c>
      <c r="Q298" t="s">
        <v>35</v>
      </c>
      <c r="R298" t="s">
        <v>23</v>
      </c>
      <c r="S298" t="str">
        <f>TEXT(indian_retail_raw_1000[[#This Row],[Order_Date]],"MMM")</f>
        <v>Oct</v>
      </c>
    </row>
    <row r="299" spans="1:19" x14ac:dyDescent="0.25">
      <c r="A299" t="s">
        <v>489</v>
      </c>
      <c r="B299" s="1">
        <v>45066</v>
      </c>
      <c r="C299" t="s">
        <v>1336</v>
      </c>
      <c r="D299">
        <v>40</v>
      </c>
      <c r="E299" t="s">
        <v>490</v>
      </c>
      <c r="F299" t="s">
        <v>35</v>
      </c>
      <c r="G299" t="s">
        <v>99</v>
      </c>
      <c r="H299">
        <v>3</v>
      </c>
      <c r="I299">
        <v>1270</v>
      </c>
      <c r="J299">
        <v>10</v>
      </c>
      <c r="K299" t="s">
        <v>19</v>
      </c>
      <c r="L299" t="s">
        <v>20</v>
      </c>
      <c r="M2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9">
        <v>3429</v>
      </c>
      <c r="O299" t="s">
        <v>21</v>
      </c>
      <c r="P299" t="str">
        <f>_xlfn.IFS(LEFT(indian_retail_raw_1000[[#This Row],[x]],1)="W", "West",LEFT(indian_retail_raw_1000[[#This Row],[x]],1)= "E","East",LEFT(O299,1) = "S", "South",LEFT(O299,1) = "N", "North")</f>
        <v>South</v>
      </c>
      <c r="Q299" t="s">
        <v>35</v>
      </c>
      <c r="R299" t="s">
        <v>16</v>
      </c>
      <c r="S299" t="str">
        <f>TEXT(indian_retail_raw_1000[[#This Row],[Order_Date]],"MMM")</f>
        <v>May</v>
      </c>
    </row>
    <row r="300" spans="1:19" x14ac:dyDescent="0.25">
      <c r="A300" t="s">
        <v>755</v>
      </c>
      <c r="B300" s="1" t="s">
        <v>1336</v>
      </c>
      <c r="C300" t="s">
        <v>757</v>
      </c>
      <c r="D300">
        <v>22</v>
      </c>
      <c r="E300" t="s">
        <v>23</v>
      </c>
      <c r="F300" t="s">
        <v>35</v>
      </c>
      <c r="G300" t="s">
        <v>111</v>
      </c>
      <c r="H300">
        <v>8</v>
      </c>
      <c r="I300">
        <v>433</v>
      </c>
      <c r="J300">
        <v>0</v>
      </c>
      <c r="K300" t="s">
        <v>50</v>
      </c>
      <c r="L300" t="s">
        <v>51</v>
      </c>
      <c r="M3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00">
        <v>3464</v>
      </c>
      <c r="O300" t="s">
        <v>167</v>
      </c>
      <c r="P300" t="str">
        <f>_xlfn.IFS(LEFT(indian_retail_raw_1000[[#This Row],[x]],1)="W", "West",LEFT(indian_retail_raw_1000[[#This Row],[x]],1)= "E","East",LEFT(O300,1) = "S", "South",LEFT(O300,1) = "N", "North")</f>
        <v>North</v>
      </c>
      <c r="Q300" t="s">
        <v>35</v>
      </c>
      <c r="R300" t="s">
        <v>23</v>
      </c>
      <c r="S300" t="str">
        <f>TEXT(indian_retail_raw_1000[[#This Row],[Order_Date]],"MMM")</f>
        <v>Null</v>
      </c>
    </row>
    <row r="301" spans="1:19" x14ac:dyDescent="0.25">
      <c r="A301" t="s">
        <v>731</v>
      </c>
      <c r="B301" s="1">
        <v>45186</v>
      </c>
      <c r="C301" t="s">
        <v>48</v>
      </c>
      <c r="D301">
        <v>52</v>
      </c>
      <c r="E301" t="s">
        <v>23</v>
      </c>
      <c r="F301" t="s">
        <v>35</v>
      </c>
      <c r="G301" t="s">
        <v>166</v>
      </c>
      <c r="H301">
        <v>4</v>
      </c>
      <c r="I301">
        <v>1165</v>
      </c>
      <c r="J301">
        <v>25</v>
      </c>
      <c r="K301" t="s">
        <v>41</v>
      </c>
      <c r="L301" t="s">
        <v>56</v>
      </c>
      <c r="M3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01">
        <v>3495</v>
      </c>
      <c r="O301" t="s">
        <v>45</v>
      </c>
      <c r="P301" t="str">
        <f>_xlfn.IFS(LEFT(indian_retail_raw_1000[[#This Row],[x]],1)="W", "West",LEFT(indian_retail_raw_1000[[#This Row],[x]],1)= "E","East",LEFT(O301,1) = "S", "South",LEFT(O301,1) = "N", "North")</f>
        <v>East</v>
      </c>
      <c r="Q301" t="s">
        <v>35</v>
      </c>
      <c r="R301" t="s">
        <v>23</v>
      </c>
      <c r="S301" t="str">
        <f>TEXT(indian_retail_raw_1000[[#This Row],[Order_Date]],"MMM")</f>
        <v>Sep</v>
      </c>
    </row>
    <row r="302" spans="1:19" x14ac:dyDescent="0.25">
      <c r="A302" t="s">
        <v>693</v>
      </c>
      <c r="B302" s="1" t="s">
        <v>1336</v>
      </c>
      <c r="C302" t="s">
        <v>160</v>
      </c>
      <c r="D302">
        <v>33</v>
      </c>
      <c r="E302" t="s">
        <v>23</v>
      </c>
      <c r="F302" t="s">
        <v>17</v>
      </c>
      <c r="G302" t="s">
        <v>40</v>
      </c>
      <c r="H302">
        <v>1</v>
      </c>
      <c r="I302">
        <v>3500</v>
      </c>
      <c r="K302" t="s">
        <v>41</v>
      </c>
      <c r="L302" t="s">
        <v>20</v>
      </c>
      <c r="M3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2">
        <v>3500</v>
      </c>
      <c r="O302" t="s">
        <v>295</v>
      </c>
      <c r="P302" t="str">
        <f>_xlfn.IFS(LEFT(indian_retail_raw_1000[[#This Row],[x]],1)="W", "West",LEFT(indian_retail_raw_1000[[#This Row],[x]],1)= "E","East",LEFT(O302,1) = "S", "South",LEFT(O302,1) = "N", "North")</f>
        <v>East</v>
      </c>
      <c r="Q302" t="s">
        <v>17</v>
      </c>
      <c r="R302" t="s">
        <v>23</v>
      </c>
      <c r="S302" t="str">
        <f>TEXT(indian_retail_raw_1000[[#This Row],[Order_Date]],"MMM")</f>
        <v>Null</v>
      </c>
    </row>
    <row r="303" spans="1:19" x14ac:dyDescent="0.25">
      <c r="A303" t="s">
        <v>428</v>
      </c>
      <c r="B303" s="1" t="s">
        <v>1336</v>
      </c>
      <c r="C303" t="s">
        <v>243</v>
      </c>
      <c r="E303" t="s">
        <v>23</v>
      </c>
      <c r="F303" t="s">
        <v>35</v>
      </c>
      <c r="G303" t="s">
        <v>213</v>
      </c>
      <c r="H303">
        <v>6</v>
      </c>
      <c r="I303">
        <v>585</v>
      </c>
      <c r="J303">
        <v>0</v>
      </c>
      <c r="K303" t="s">
        <v>41</v>
      </c>
      <c r="L303" t="s">
        <v>51</v>
      </c>
      <c r="M3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03">
        <v>3510</v>
      </c>
      <c r="O303" t="s">
        <v>21</v>
      </c>
      <c r="P303" t="str">
        <f>_xlfn.IFS(LEFT(indian_retail_raw_1000[[#This Row],[x]],1)="W", "West",LEFT(indian_retail_raw_1000[[#This Row],[x]],1)= "E","East",LEFT(O303,1) = "S", "South",LEFT(O303,1) = "N", "North")</f>
        <v>South</v>
      </c>
      <c r="Q303" t="s">
        <v>35</v>
      </c>
      <c r="R303" t="s">
        <v>23</v>
      </c>
      <c r="S303" t="str">
        <f>TEXT(indian_retail_raw_1000[[#This Row],[Order_Date]],"MMM")</f>
        <v>Null</v>
      </c>
    </row>
    <row r="304" spans="1:19" x14ac:dyDescent="0.25">
      <c r="A304" t="s">
        <v>1247</v>
      </c>
      <c r="B304" s="1" t="s">
        <v>1336</v>
      </c>
      <c r="C304" t="s">
        <v>1249</v>
      </c>
      <c r="D304">
        <v>32</v>
      </c>
      <c r="E304" t="s">
        <v>16</v>
      </c>
      <c r="F304" t="s">
        <v>17</v>
      </c>
      <c r="G304" t="s">
        <v>49</v>
      </c>
      <c r="H304">
        <v>3</v>
      </c>
      <c r="I304">
        <v>1250</v>
      </c>
      <c r="J304">
        <v>5</v>
      </c>
      <c r="K304" t="s">
        <v>25</v>
      </c>
      <c r="L304" t="s">
        <v>56</v>
      </c>
      <c r="M3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04">
        <v>3562.5</v>
      </c>
      <c r="O304" t="s">
        <v>26</v>
      </c>
      <c r="P304" t="str">
        <f>_xlfn.IFS(LEFT(indian_retail_raw_1000[[#This Row],[x]],1)="W", "West",LEFT(indian_retail_raw_1000[[#This Row],[x]],1)= "E","East",LEFT(O304,1) = "S", "South",LEFT(O304,1) = "N", "North")</f>
        <v>West</v>
      </c>
      <c r="Q304" t="s">
        <v>17</v>
      </c>
      <c r="R304" t="s">
        <v>16</v>
      </c>
      <c r="S304" t="str">
        <f>TEXT(indian_retail_raw_1000[[#This Row],[Order_Date]],"MMM")</f>
        <v>Null</v>
      </c>
    </row>
    <row r="305" spans="1:19" x14ac:dyDescent="0.25">
      <c r="A305" t="s">
        <v>84</v>
      </c>
      <c r="B305" s="1" t="s">
        <v>1336</v>
      </c>
      <c r="C305" t="s">
        <v>1336</v>
      </c>
      <c r="D305">
        <v>57</v>
      </c>
      <c r="E305" t="s">
        <v>16</v>
      </c>
      <c r="F305" t="s">
        <v>17</v>
      </c>
      <c r="G305" t="s">
        <v>24</v>
      </c>
      <c r="H305">
        <v>3</v>
      </c>
      <c r="I305">
        <v>1700</v>
      </c>
      <c r="J305">
        <v>30</v>
      </c>
      <c r="K305" t="s">
        <v>41</v>
      </c>
      <c r="L305" t="s">
        <v>20</v>
      </c>
      <c r="M3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5">
        <v>3570</v>
      </c>
      <c r="O305" t="s">
        <v>45</v>
      </c>
      <c r="P305" t="str">
        <f>_xlfn.IFS(LEFT(indian_retail_raw_1000[[#This Row],[x]],1)="W", "West",LEFT(indian_retail_raw_1000[[#This Row],[x]],1)= "E","East",LEFT(O305,1) = "S", "South",LEFT(O305,1) = "N", "North")</f>
        <v>East</v>
      </c>
      <c r="Q305" t="s">
        <v>17</v>
      </c>
      <c r="R305" t="s">
        <v>16</v>
      </c>
      <c r="S305" t="str">
        <f>TEXT(indian_retail_raw_1000[[#This Row],[Order_Date]],"MMM")</f>
        <v>Null</v>
      </c>
    </row>
    <row r="306" spans="1:19" x14ac:dyDescent="0.25">
      <c r="A306" t="s">
        <v>157</v>
      </c>
      <c r="B306" s="1">
        <v>45144</v>
      </c>
      <c r="C306" t="s">
        <v>66</v>
      </c>
      <c r="D306">
        <v>52</v>
      </c>
      <c r="E306" t="s">
        <v>73</v>
      </c>
      <c r="F306" t="s">
        <v>35</v>
      </c>
      <c r="G306" t="s">
        <v>158</v>
      </c>
      <c r="H306">
        <v>9</v>
      </c>
      <c r="I306">
        <v>795</v>
      </c>
      <c r="J306">
        <v>50</v>
      </c>
      <c r="K306" t="s">
        <v>89</v>
      </c>
      <c r="L306" t="s">
        <v>20</v>
      </c>
      <c r="M3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6">
        <v>3577.5</v>
      </c>
      <c r="O306" t="s">
        <v>45</v>
      </c>
      <c r="P306" t="str">
        <f>_xlfn.IFS(LEFT(indian_retail_raw_1000[[#This Row],[x]],1)="W", "West",LEFT(indian_retail_raw_1000[[#This Row],[x]],1)= "E","East",LEFT(O306,1) = "S", "South",LEFT(O306,1) = "N", "North")</f>
        <v>East</v>
      </c>
      <c r="Q306" t="s">
        <v>35</v>
      </c>
      <c r="R306" t="s">
        <v>23</v>
      </c>
      <c r="S306" t="str">
        <f>TEXT(indian_retail_raw_1000[[#This Row],[Order_Date]],"MMM")</f>
        <v>Aug</v>
      </c>
    </row>
    <row r="307" spans="1:19" x14ac:dyDescent="0.25">
      <c r="A307" t="s">
        <v>14</v>
      </c>
      <c r="B307" s="1">
        <v>44933</v>
      </c>
      <c r="C307" t="s">
        <v>15</v>
      </c>
      <c r="D307">
        <v>62</v>
      </c>
      <c r="E307" t="s">
        <v>16</v>
      </c>
      <c r="F307" t="s">
        <v>17</v>
      </c>
      <c r="G307" t="s">
        <v>18</v>
      </c>
      <c r="H307">
        <v>1</v>
      </c>
      <c r="I307">
        <v>3600</v>
      </c>
      <c r="J307">
        <v>10</v>
      </c>
      <c r="K307" t="s">
        <v>19</v>
      </c>
      <c r="L307" t="s">
        <v>20</v>
      </c>
      <c r="M3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7">
        <v>3600</v>
      </c>
      <c r="O307" t="s">
        <v>21</v>
      </c>
      <c r="P307" t="str">
        <f>_xlfn.IFS(LEFT(indian_retail_raw_1000[[#This Row],[x]],1)="W", "West",LEFT(indian_retail_raw_1000[[#This Row],[x]],1)= "E","East",LEFT(O307,1) = "S", "South",LEFT(O307,1) = "N", "North")</f>
        <v>South</v>
      </c>
      <c r="Q307" t="s">
        <v>17</v>
      </c>
      <c r="R307" t="s">
        <v>16</v>
      </c>
      <c r="S307" t="str">
        <f>TEXT(indian_retail_raw_1000[[#This Row],[Order_Date]],"MMM")</f>
        <v>Jan</v>
      </c>
    </row>
    <row r="308" spans="1:19" x14ac:dyDescent="0.25">
      <c r="A308" t="s">
        <v>538</v>
      </c>
      <c r="B308" s="1">
        <v>45199</v>
      </c>
      <c r="C308" t="s">
        <v>48</v>
      </c>
      <c r="D308">
        <v>52</v>
      </c>
      <c r="E308" t="s">
        <v>16</v>
      </c>
      <c r="F308" t="s">
        <v>17</v>
      </c>
      <c r="G308" t="s">
        <v>186</v>
      </c>
      <c r="H308">
        <v>2</v>
      </c>
      <c r="I308">
        <v>2000</v>
      </c>
      <c r="J308">
        <v>10</v>
      </c>
      <c r="K308" t="s">
        <v>41</v>
      </c>
      <c r="L308" t="s">
        <v>20</v>
      </c>
      <c r="M3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8">
        <v>3600</v>
      </c>
      <c r="O308" t="s">
        <v>33</v>
      </c>
      <c r="P308" t="str">
        <f>_xlfn.IFS(LEFT(indian_retail_raw_1000[[#This Row],[x]],1)="W", "West",LEFT(indian_retail_raw_1000[[#This Row],[x]],1)= "E","East",LEFT(O308,1) = "S", "South",LEFT(O308,1) = "N", "North")</f>
        <v>West</v>
      </c>
      <c r="Q308" t="s">
        <v>17</v>
      </c>
      <c r="R308" t="s">
        <v>16</v>
      </c>
      <c r="S308" t="str">
        <f>TEXT(indian_retail_raw_1000[[#This Row],[Order_Date]],"MMM")</f>
        <v>Sep</v>
      </c>
    </row>
    <row r="309" spans="1:19" x14ac:dyDescent="0.25">
      <c r="A309" t="s">
        <v>993</v>
      </c>
      <c r="B309" s="1">
        <v>44980</v>
      </c>
      <c r="C309" t="s">
        <v>28</v>
      </c>
      <c r="D309">
        <v>28</v>
      </c>
      <c r="E309" t="s">
        <v>16</v>
      </c>
      <c r="F309" t="s">
        <v>30</v>
      </c>
      <c r="G309" t="s">
        <v>153</v>
      </c>
      <c r="H309">
        <v>2</v>
      </c>
      <c r="I309">
        <v>1830</v>
      </c>
      <c r="J309">
        <v>0</v>
      </c>
      <c r="K309" t="s">
        <v>487</v>
      </c>
      <c r="L309" t="s">
        <v>20</v>
      </c>
      <c r="M3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9">
        <v>3660</v>
      </c>
      <c r="O309" t="s">
        <v>38</v>
      </c>
      <c r="P309" t="str">
        <f>_xlfn.IFS(LEFT(indian_retail_raw_1000[[#This Row],[x]],1)="W", "West",LEFT(indian_retail_raw_1000[[#This Row],[x]],1)= "E","East",LEFT(O309,1) = "S", "South",LEFT(O309,1) = "N", "North")</f>
        <v>North</v>
      </c>
      <c r="Q309" t="s">
        <v>30</v>
      </c>
      <c r="R309" t="s">
        <v>16</v>
      </c>
      <c r="S309" t="str">
        <f>TEXT(indian_retail_raw_1000[[#This Row],[Order_Date]],"MMM")</f>
        <v>Feb</v>
      </c>
    </row>
    <row r="310" spans="1:19" x14ac:dyDescent="0.25">
      <c r="A310" t="s">
        <v>1083</v>
      </c>
      <c r="B310" s="1" t="s">
        <v>1336</v>
      </c>
      <c r="C310" t="s">
        <v>28</v>
      </c>
      <c r="D310">
        <v>36</v>
      </c>
      <c r="E310" t="s">
        <v>44</v>
      </c>
      <c r="F310" t="s">
        <v>30</v>
      </c>
      <c r="G310" t="s">
        <v>153</v>
      </c>
      <c r="H310">
        <v>2</v>
      </c>
      <c r="I310">
        <v>1945</v>
      </c>
      <c r="J310">
        <v>5</v>
      </c>
      <c r="K310" t="s">
        <v>50</v>
      </c>
      <c r="L310" t="s">
        <v>20</v>
      </c>
      <c r="M3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0">
        <v>3695.5</v>
      </c>
      <c r="O310" t="s">
        <v>375</v>
      </c>
      <c r="P310" t="str">
        <f>_xlfn.IFS(LEFT(indian_retail_raw_1000[[#This Row],[x]],1)="W", "West",LEFT(indian_retail_raw_1000[[#This Row],[x]],1)= "E","East",LEFT(O310,1) = "S", "South",LEFT(O310,1) = "N", "North")</f>
        <v>North</v>
      </c>
      <c r="Q310" t="s">
        <v>30</v>
      </c>
      <c r="R310" t="s">
        <v>23</v>
      </c>
      <c r="S310" t="str">
        <f>TEXT(indian_retail_raw_1000[[#This Row],[Order_Date]],"MMM")</f>
        <v>Null</v>
      </c>
    </row>
    <row r="311" spans="1:19" x14ac:dyDescent="0.25">
      <c r="A311" t="s">
        <v>1092</v>
      </c>
      <c r="B311" s="1">
        <v>45147</v>
      </c>
      <c r="C311" t="s">
        <v>165</v>
      </c>
      <c r="D311">
        <v>54</v>
      </c>
      <c r="E311" t="s">
        <v>16</v>
      </c>
      <c r="F311" t="s">
        <v>17</v>
      </c>
      <c r="G311" t="s">
        <v>274</v>
      </c>
      <c r="H311">
        <v>1</v>
      </c>
      <c r="I311">
        <v>3700</v>
      </c>
      <c r="J311">
        <v>-10</v>
      </c>
      <c r="K311" t="s">
        <v>41</v>
      </c>
      <c r="L311" t="s">
        <v>20</v>
      </c>
      <c r="M3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1">
        <v>3700</v>
      </c>
      <c r="O311" t="s">
        <v>26</v>
      </c>
      <c r="P311" t="str">
        <f>_xlfn.IFS(LEFT(indian_retail_raw_1000[[#This Row],[x]],1)="W", "West",LEFT(indian_retail_raw_1000[[#This Row],[x]],1)= "E","East",LEFT(O311,1) = "S", "South",LEFT(O311,1) = "N", "North")</f>
        <v>West</v>
      </c>
      <c r="Q311" t="s">
        <v>17</v>
      </c>
      <c r="R311" t="s">
        <v>16</v>
      </c>
      <c r="S311" t="str">
        <f>TEXT(indian_retail_raw_1000[[#This Row],[Order_Date]],"MMM")</f>
        <v>Aug</v>
      </c>
    </row>
    <row r="312" spans="1:19" x14ac:dyDescent="0.25">
      <c r="A312" t="s">
        <v>1145</v>
      </c>
      <c r="B312" s="1" t="s">
        <v>1336</v>
      </c>
      <c r="C312" t="s">
        <v>43</v>
      </c>
      <c r="D312">
        <v>52</v>
      </c>
      <c r="E312" t="s">
        <v>23</v>
      </c>
      <c r="F312" t="s">
        <v>30</v>
      </c>
      <c r="G312" t="s">
        <v>294</v>
      </c>
      <c r="H312">
        <v>10</v>
      </c>
      <c r="I312">
        <v>529</v>
      </c>
      <c r="J312">
        <v>30</v>
      </c>
      <c r="K312" t="s">
        <v>41</v>
      </c>
      <c r="L312" t="s">
        <v>51</v>
      </c>
      <c r="M3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12">
        <v>3703</v>
      </c>
      <c r="O312" t="s">
        <v>38</v>
      </c>
      <c r="P312" t="str">
        <f>_xlfn.IFS(LEFT(indian_retail_raw_1000[[#This Row],[x]],1)="W", "West",LEFT(indian_retail_raw_1000[[#This Row],[x]],1)= "E","East",LEFT(O312,1) = "S", "South",LEFT(O312,1) = "N", "North")</f>
        <v>North</v>
      </c>
      <c r="Q312" t="s">
        <v>30</v>
      </c>
      <c r="R312" t="s">
        <v>23</v>
      </c>
      <c r="S312" t="str">
        <f>TEXT(indian_retail_raw_1000[[#This Row],[Order_Date]],"MMM")</f>
        <v>Null</v>
      </c>
    </row>
    <row r="313" spans="1:19" x14ac:dyDescent="0.25">
      <c r="A313" t="s">
        <v>633</v>
      </c>
      <c r="B313" s="1">
        <v>45071</v>
      </c>
      <c r="C313" t="s">
        <v>1336</v>
      </c>
      <c r="D313">
        <v>22</v>
      </c>
      <c r="E313" t="s">
        <v>23</v>
      </c>
      <c r="F313" t="s">
        <v>250</v>
      </c>
      <c r="G313" t="s">
        <v>186</v>
      </c>
      <c r="H313">
        <v>3</v>
      </c>
      <c r="I313">
        <v>1250</v>
      </c>
      <c r="J313">
        <v>0</v>
      </c>
      <c r="K313" t="s">
        <v>25</v>
      </c>
      <c r="L313" t="s">
        <v>20</v>
      </c>
      <c r="M3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3">
        <v>3750</v>
      </c>
      <c r="O313" t="s">
        <v>38</v>
      </c>
      <c r="P313" t="str">
        <f>_xlfn.IFS(LEFT(indian_retail_raw_1000[[#This Row],[x]],1)="W", "West",LEFT(indian_retail_raw_1000[[#This Row],[x]],1)= "E","East",LEFT(O313,1) = "S", "South",LEFT(O313,1) = "N", "North")</f>
        <v>North</v>
      </c>
      <c r="Q313" t="s">
        <v>17</v>
      </c>
      <c r="R313" t="s">
        <v>23</v>
      </c>
      <c r="S313" t="str">
        <f>TEXT(indian_retail_raw_1000[[#This Row],[Order_Date]],"MMM")</f>
        <v>May</v>
      </c>
    </row>
    <row r="314" spans="1:19" x14ac:dyDescent="0.25">
      <c r="A314" t="s">
        <v>1327</v>
      </c>
      <c r="B314" s="1">
        <v>45206</v>
      </c>
      <c r="C314" t="s">
        <v>1336</v>
      </c>
      <c r="D314">
        <v>50</v>
      </c>
      <c r="E314" t="s">
        <v>23</v>
      </c>
      <c r="F314" t="s">
        <v>17</v>
      </c>
      <c r="G314" t="s">
        <v>94</v>
      </c>
      <c r="H314">
        <v>1</v>
      </c>
      <c r="I314">
        <v>3950</v>
      </c>
      <c r="J314">
        <v>5</v>
      </c>
      <c r="K314" t="s">
        <v>41</v>
      </c>
      <c r="L314" t="s">
        <v>20</v>
      </c>
      <c r="M3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4">
        <v>3752.5</v>
      </c>
      <c r="O314" t="s">
        <v>26</v>
      </c>
      <c r="P314" t="str">
        <f>_xlfn.IFS(LEFT(indian_retail_raw_1000[[#This Row],[x]],1)="W", "West",LEFT(indian_retail_raw_1000[[#This Row],[x]],1)= "E","East",LEFT(O314,1) = "S", "South",LEFT(O314,1) = "N", "North")</f>
        <v>West</v>
      </c>
      <c r="Q314" t="s">
        <v>17</v>
      </c>
      <c r="R314" t="s">
        <v>23</v>
      </c>
      <c r="S314" t="str">
        <f>TEXT(indian_retail_raw_1000[[#This Row],[Order_Date]],"MMM")</f>
        <v>Oct</v>
      </c>
    </row>
    <row r="315" spans="1:19" x14ac:dyDescent="0.25">
      <c r="A315" t="s">
        <v>408</v>
      </c>
      <c r="B315" s="1" t="s">
        <v>1336</v>
      </c>
      <c r="C315" t="s">
        <v>102</v>
      </c>
      <c r="D315">
        <v>65</v>
      </c>
      <c r="E315" t="s">
        <v>23</v>
      </c>
      <c r="F315" t="s">
        <v>30</v>
      </c>
      <c r="G315" t="s">
        <v>235</v>
      </c>
      <c r="H315">
        <v>2</v>
      </c>
      <c r="I315">
        <v>2208</v>
      </c>
      <c r="J315">
        <v>15</v>
      </c>
      <c r="K315" t="s">
        <v>19</v>
      </c>
      <c r="L315" t="s">
        <v>20</v>
      </c>
      <c r="M3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5">
        <v>3753.6</v>
      </c>
      <c r="O315" t="s">
        <v>409</v>
      </c>
      <c r="P315" t="str">
        <f>_xlfn.IFS(LEFT(indian_retail_raw_1000[[#This Row],[x]],1)="W", "West",LEFT(indian_retail_raw_1000[[#This Row],[x]],1)= "E","East",LEFT(O315,1) = "S", "South",LEFT(O315,1) = "N", "North")</f>
        <v>South</v>
      </c>
      <c r="Q315" t="s">
        <v>30</v>
      </c>
      <c r="R315" t="s">
        <v>23</v>
      </c>
      <c r="S315" t="str">
        <f>TEXT(indian_retail_raw_1000[[#This Row],[Order_Date]],"MMM")</f>
        <v>Null</v>
      </c>
    </row>
    <row r="316" spans="1:19" x14ac:dyDescent="0.25">
      <c r="A316" t="s">
        <v>1236</v>
      </c>
      <c r="B316" s="1">
        <v>45200</v>
      </c>
      <c r="C316" t="s">
        <v>53</v>
      </c>
      <c r="D316">
        <v>21</v>
      </c>
      <c r="E316" t="s">
        <v>23</v>
      </c>
      <c r="F316" t="s">
        <v>30</v>
      </c>
      <c r="G316" t="s">
        <v>294</v>
      </c>
      <c r="H316">
        <v>8</v>
      </c>
      <c r="I316">
        <v>478</v>
      </c>
      <c r="J316">
        <v>0</v>
      </c>
      <c r="K316" t="s">
        <v>50</v>
      </c>
      <c r="L316" t="s">
        <v>20</v>
      </c>
      <c r="M3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6">
        <v>3824</v>
      </c>
      <c r="O316" t="s">
        <v>38</v>
      </c>
      <c r="P316" t="str">
        <f>_xlfn.IFS(LEFT(indian_retail_raw_1000[[#This Row],[x]],1)="W", "West",LEFT(indian_retail_raw_1000[[#This Row],[x]],1)= "E","East",LEFT(O316,1) = "S", "South",LEFT(O316,1) = "N", "North")</f>
        <v>North</v>
      </c>
      <c r="Q316" t="s">
        <v>30</v>
      </c>
      <c r="R316" t="s">
        <v>23</v>
      </c>
      <c r="S316" t="str">
        <f>TEXT(indian_retail_raw_1000[[#This Row],[Order_Date]],"MMM")</f>
        <v>Oct</v>
      </c>
    </row>
    <row r="317" spans="1:19" x14ac:dyDescent="0.25">
      <c r="A317" t="s">
        <v>437</v>
      </c>
      <c r="B317" s="1" t="s">
        <v>1336</v>
      </c>
      <c r="C317" t="s">
        <v>179</v>
      </c>
      <c r="D317">
        <v>36</v>
      </c>
      <c r="E317" t="s">
        <v>23</v>
      </c>
      <c r="F317" t="s">
        <v>438</v>
      </c>
      <c r="G317" t="s">
        <v>18</v>
      </c>
      <c r="H317">
        <v>2</v>
      </c>
      <c r="I317">
        <v>2550</v>
      </c>
      <c r="J317">
        <v>25</v>
      </c>
      <c r="K317" t="s">
        <v>50</v>
      </c>
      <c r="L317" t="s">
        <v>363</v>
      </c>
      <c r="M3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17">
        <v>3825</v>
      </c>
      <c r="O317" t="s">
        <v>38</v>
      </c>
      <c r="P317" t="str">
        <f>_xlfn.IFS(LEFT(indian_retail_raw_1000[[#This Row],[x]],1)="W", "West",LEFT(indian_retail_raw_1000[[#This Row],[x]],1)= "E","East",LEFT(O317,1) = "S", "South",LEFT(O317,1) = "N", "North")</f>
        <v>North</v>
      </c>
      <c r="Q317" t="s">
        <v>17</v>
      </c>
      <c r="R317" t="s">
        <v>23</v>
      </c>
      <c r="S317" t="str">
        <f>TEXT(indian_retail_raw_1000[[#This Row],[Order_Date]],"MMM")</f>
        <v>Null</v>
      </c>
    </row>
    <row r="318" spans="1:19" x14ac:dyDescent="0.25">
      <c r="A318" t="s">
        <v>1098</v>
      </c>
      <c r="B318" s="1">
        <v>45047</v>
      </c>
      <c r="C318" t="s">
        <v>179</v>
      </c>
      <c r="D318">
        <v>27</v>
      </c>
      <c r="E318" t="s">
        <v>16</v>
      </c>
      <c r="F318" t="s">
        <v>438</v>
      </c>
      <c r="G318" t="s">
        <v>186</v>
      </c>
      <c r="H318">
        <v>3</v>
      </c>
      <c r="I318">
        <v>2550</v>
      </c>
      <c r="J318">
        <v>50</v>
      </c>
      <c r="K318" t="s">
        <v>41</v>
      </c>
      <c r="L318" t="s">
        <v>20</v>
      </c>
      <c r="M3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8">
        <v>3825</v>
      </c>
      <c r="O318" t="s">
        <v>38</v>
      </c>
      <c r="P318" t="str">
        <f>_xlfn.IFS(LEFT(indian_retail_raw_1000[[#This Row],[x]],1)="W", "West",LEFT(indian_retail_raw_1000[[#This Row],[x]],1)= "E","East",LEFT(O318,1) = "S", "South",LEFT(O318,1) = "N", "North")</f>
        <v>North</v>
      </c>
      <c r="Q318" t="s">
        <v>17</v>
      </c>
      <c r="R318" t="s">
        <v>16</v>
      </c>
      <c r="S318" t="str">
        <f>TEXT(indian_retail_raw_1000[[#This Row],[Order_Date]],"MMM")</f>
        <v>May</v>
      </c>
    </row>
    <row r="319" spans="1:19" x14ac:dyDescent="0.25">
      <c r="A319" t="s">
        <v>692</v>
      </c>
      <c r="B319" s="1">
        <v>45014</v>
      </c>
      <c r="C319" t="s">
        <v>165</v>
      </c>
      <c r="D319">
        <v>61</v>
      </c>
      <c r="E319" t="s">
        <v>23</v>
      </c>
      <c r="F319" t="s">
        <v>35</v>
      </c>
      <c r="G319" t="s">
        <v>203</v>
      </c>
      <c r="H319">
        <v>3</v>
      </c>
      <c r="I319">
        <v>1420</v>
      </c>
      <c r="J319">
        <v>10</v>
      </c>
      <c r="K319" t="s">
        <v>25</v>
      </c>
      <c r="L319" t="s">
        <v>20</v>
      </c>
      <c r="M3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9">
        <v>3834</v>
      </c>
      <c r="O319" t="s">
        <v>45</v>
      </c>
      <c r="P319" t="str">
        <f>_xlfn.IFS(LEFT(indian_retail_raw_1000[[#This Row],[x]],1)="W", "West",LEFT(indian_retail_raw_1000[[#This Row],[x]],1)= "E","East",LEFT(O319,1) = "S", "South",LEFT(O319,1) = "N", "North")</f>
        <v>East</v>
      </c>
      <c r="Q319" t="s">
        <v>35</v>
      </c>
      <c r="R319" t="s">
        <v>23</v>
      </c>
      <c r="S319" t="str">
        <f>TEXT(indian_retail_raw_1000[[#This Row],[Order_Date]],"MMM")</f>
        <v>Mar</v>
      </c>
    </row>
    <row r="320" spans="1:19" x14ac:dyDescent="0.25">
      <c r="A320" t="s">
        <v>689</v>
      </c>
      <c r="B320" s="1" t="s">
        <v>1336</v>
      </c>
      <c r="C320" t="s">
        <v>241</v>
      </c>
      <c r="D320">
        <v>40</v>
      </c>
      <c r="E320" t="s">
        <v>23</v>
      </c>
      <c r="F320" t="s">
        <v>54</v>
      </c>
      <c r="G320" t="s">
        <v>338</v>
      </c>
      <c r="H320">
        <v>1</v>
      </c>
      <c r="I320">
        <v>4800</v>
      </c>
      <c r="J320">
        <v>20</v>
      </c>
      <c r="K320" t="s">
        <v>19</v>
      </c>
      <c r="L320" t="s">
        <v>51</v>
      </c>
      <c r="M3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20">
        <v>3840</v>
      </c>
      <c r="O320" t="s">
        <v>45</v>
      </c>
      <c r="P320" t="str">
        <f>_xlfn.IFS(LEFT(indian_retail_raw_1000[[#This Row],[x]],1)="W", "West",LEFT(indian_retail_raw_1000[[#This Row],[x]],1)= "E","East",LEFT(O320,1) = "S", "South",LEFT(O320,1) = "N", "North")</f>
        <v>East</v>
      </c>
      <c r="Q320" t="s">
        <v>54</v>
      </c>
      <c r="R320" t="s">
        <v>23</v>
      </c>
      <c r="S320" t="str">
        <f>TEXT(indian_retail_raw_1000[[#This Row],[Order_Date]],"MMM")</f>
        <v>Null</v>
      </c>
    </row>
    <row r="321" spans="1:19" x14ac:dyDescent="0.25">
      <c r="A321" t="s">
        <v>1009</v>
      </c>
      <c r="B321" s="1" t="s">
        <v>1336</v>
      </c>
      <c r="C321" t="s">
        <v>366</v>
      </c>
      <c r="D321">
        <v>33</v>
      </c>
      <c r="E321" t="s">
        <v>16</v>
      </c>
      <c r="F321" t="s">
        <v>17</v>
      </c>
      <c r="G321" t="s">
        <v>40</v>
      </c>
      <c r="H321">
        <v>2</v>
      </c>
      <c r="I321">
        <v>3200</v>
      </c>
      <c r="J321">
        <v>40</v>
      </c>
      <c r="K321" t="s">
        <v>41</v>
      </c>
      <c r="L321" t="s">
        <v>20</v>
      </c>
      <c r="M3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21">
        <v>3840</v>
      </c>
      <c r="O321" t="s">
        <v>38</v>
      </c>
      <c r="P321" t="str">
        <f>_xlfn.IFS(LEFT(indian_retail_raw_1000[[#This Row],[x]],1)="W", "West",LEFT(indian_retail_raw_1000[[#This Row],[x]],1)= "E","East",LEFT(O321,1) = "S", "South",LEFT(O321,1) = "N", "North")</f>
        <v>North</v>
      </c>
      <c r="Q321" t="s">
        <v>17</v>
      </c>
      <c r="R321" t="s">
        <v>16</v>
      </c>
      <c r="S321" t="str">
        <f>TEXT(indian_retail_raw_1000[[#This Row],[Order_Date]],"MMM")</f>
        <v>Null</v>
      </c>
    </row>
    <row r="322" spans="1:19" x14ac:dyDescent="0.25">
      <c r="A322" t="s">
        <v>1041</v>
      </c>
      <c r="B322" s="1">
        <v>44968</v>
      </c>
      <c r="C322" t="s">
        <v>102</v>
      </c>
      <c r="D322">
        <v>31</v>
      </c>
      <c r="E322" t="s">
        <v>23</v>
      </c>
      <c r="F322" t="s">
        <v>30</v>
      </c>
      <c r="G322" t="s">
        <v>224</v>
      </c>
      <c r="H322">
        <v>5</v>
      </c>
      <c r="I322">
        <v>1282</v>
      </c>
      <c r="J322">
        <v>40</v>
      </c>
      <c r="K322" t="s">
        <v>41</v>
      </c>
      <c r="L322" t="s">
        <v>493</v>
      </c>
      <c r="M3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22">
        <v>3846</v>
      </c>
      <c r="O322" t="s">
        <v>26</v>
      </c>
      <c r="P322" t="str">
        <f>_xlfn.IFS(LEFT(indian_retail_raw_1000[[#This Row],[x]],1)="W", "West",LEFT(indian_retail_raw_1000[[#This Row],[x]],1)= "E","East",LEFT(O322,1) = "S", "South",LEFT(O322,1) = "N", "North")</f>
        <v>West</v>
      </c>
      <c r="Q322" t="s">
        <v>30</v>
      </c>
      <c r="R322" t="s">
        <v>23</v>
      </c>
      <c r="S322" t="str">
        <f>TEXT(indian_retail_raw_1000[[#This Row],[Order_Date]],"MMM")</f>
        <v>Feb</v>
      </c>
    </row>
    <row r="323" spans="1:19" x14ac:dyDescent="0.25">
      <c r="A323" t="s">
        <v>791</v>
      </c>
      <c r="B323" s="1">
        <v>45126</v>
      </c>
      <c r="C323" t="s">
        <v>188</v>
      </c>
      <c r="D323">
        <v>19</v>
      </c>
      <c r="E323" t="s">
        <v>23</v>
      </c>
      <c r="F323" t="s">
        <v>17</v>
      </c>
      <c r="G323" t="s">
        <v>297</v>
      </c>
      <c r="H323">
        <v>1</v>
      </c>
      <c r="I323">
        <v>5500</v>
      </c>
      <c r="J323">
        <v>30</v>
      </c>
      <c r="K323" t="s">
        <v>19</v>
      </c>
      <c r="L323" t="s">
        <v>51</v>
      </c>
      <c r="M3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23">
        <v>3850</v>
      </c>
      <c r="O323" t="s">
        <v>45</v>
      </c>
      <c r="P323" t="str">
        <f>_xlfn.IFS(LEFT(indian_retail_raw_1000[[#This Row],[x]],1)="W", "West",LEFT(indian_retail_raw_1000[[#This Row],[x]],1)= "E","East",LEFT(O323,1) = "S", "South",LEFT(O323,1) = "N", "North")</f>
        <v>East</v>
      </c>
      <c r="Q323" t="s">
        <v>17</v>
      </c>
      <c r="R323" t="s">
        <v>23</v>
      </c>
      <c r="S323" t="str">
        <f>TEXT(indian_retail_raw_1000[[#This Row],[Order_Date]],"MMM")</f>
        <v>Jul</v>
      </c>
    </row>
    <row r="324" spans="1:19" x14ac:dyDescent="0.25">
      <c r="A324" t="s">
        <v>577</v>
      </c>
      <c r="B324" s="1">
        <v>45178</v>
      </c>
      <c r="C324" t="s">
        <v>15</v>
      </c>
      <c r="D324">
        <v>999</v>
      </c>
      <c r="E324" t="s">
        <v>23</v>
      </c>
      <c r="F324" t="s">
        <v>30</v>
      </c>
      <c r="G324" t="s">
        <v>121</v>
      </c>
      <c r="H324">
        <v>1</v>
      </c>
      <c r="I324">
        <v>4338</v>
      </c>
      <c r="J324">
        <v>10</v>
      </c>
      <c r="K324" t="s">
        <v>50</v>
      </c>
      <c r="L324" t="s">
        <v>20</v>
      </c>
      <c r="M3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24">
        <v>3904.2</v>
      </c>
      <c r="O324" t="s">
        <v>26</v>
      </c>
      <c r="P324" t="str">
        <f>_xlfn.IFS(LEFT(indian_retail_raw_1000[[#This Row],[x]],1)="W", "West",LEFT(indian_retail_raw_1000[[#This Row],[x]],1)= "E","East",LEFT(O324,1) = "S", "South",LEFT(O324,1) = "N", "North")</f>
        <v>West</v>
      </c>
      <c r="Q324" t="s">
        <v>30</v>
      </c>
      <c r="R324" t="s">
        <v>23</v>
      </c>
      <c r="S324" t="str">
        <f>TEXT(indian_retail_raw_1000[[#This Row],[Order_Date]],"MMM")</f>
        <v>Sep</v>
      </c>
    </row>
    <row r="325" spans="1:19" x14ac:dyDescent="0.25">
      <c r="A325" t="s">
        <v>1014</v>
      </c>
      <c r="B325" s="1" t="s">
        <v>1336</v>
      </c>
      <c r="C325" t="s">
        <v>757</v>
      </c>
      <c r="D325">
        <v>24</v>
      </c>
      <c r="E325" t="s">
        <v>23</v>
      </c>
      <c r="F325" t="s">
        <v>17</v>
      </c>
      <c r="G325" t="s">
        <v>186</v>
      </c>
      <c r="H325">
        <v>2</v>
      </c>
      <c r="I325">
        <v>2450</v>
      </c>
      <c r="J325">
        <v>20</v>
      </c>
      <c r="K325" t="s">
        <v>41</v>
      </c>
      <c r="L325" t="s">
        <v>20</v>
      </c>
      <c r="M3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25">
        <v>3920</v>
      </c>
      <c r="O325" t="s">
        <v>45</v>
      </c>
      <c r="P325" t="str">
        <f>_xlfn.IFS(LEFT(indian_retail_raw_1000[[#This Row],[x]],1)="W", "West",LEFT(indian_retail_raw_1000[[#This Row],[x]],1)= "E","East",LEFT(O325,1) = "S", "South",LEFT(O325,1) = "N", "North")</f>
        <v>East</v>
      </c>
      <c r="Q325" t="s">
        <v>17</v>
      </c>
      <c r="R325" t="s">
        <v>23</v>
      </c>
      <c r="S325" t="str">
        <f>TEXT(indian_retail_raw_1000[[#This Row],[Order_Date]],"MMM")</f>
        <v>Null</v>
      </c>
    </row>
    <row r="326" spans="1:19" x14ac:dyDescent="0.25">
      <c r="A326" t="s">
        <v>478</v>
      </c>
      <c r="B326" s="1" t="s">
        <v>1336</v>
      </c>
      <c r="C326" t="s">
        <v>192</v>
      </c>
      <c r="D326">
        <v>47</v>
      </c>
      <c r="E326" t="s">
        <v>23</v>
      </c>
      <c r="F326" t="s">
        <v>35</v>
      </c>
      <c r="G326" t="s">
        <v>126</v>
      </c>
      <c r="H326">
        <v>8</v>
      </c>
      <c r="I326">
        <v>493</v>
      </c>
      <c r="J326">
        <v>0</v>
      </c>
      <c r="K326" t="s">
        <v>25</v>
      </c>
      <c r="L326" t="s">
        <v>363</v>
      </c>
      <c r="M3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26">
        <v>3944</v>
      </c>
      <c r="O326" t="s">
        <v>38</v>
      </c>
      <c r="P326" t="str">
        <f>_xlfn.IFS(LEFT(indian_retail_raw_1000[[#This Row],[x]],1)="W", "West",LEFT(indian_retail_raw_1000[[#This Row],[x]],1)= "E","East",LEFT(O326,1) = "S", "South",LEFT(O326,1) = "N", "North")</f>
        <v>North</v>
      </c>
      <c r="Q326" t="s">
        <v>35</v>
      </c>
      <c r="R326" t="s">
        <v>23</v>
      </c>
      <c r="S326" t="str">
        <f>TEXT(indian_retail_raw_1000[[#This Row],[Order_Date]],"MMM")</f>
        <v>Null</v>
      </c>
    </row>
    <row r="327" spans="1:19" x14ac:dyDescent="0.25">
      <c r="A327" t="s">
        <v>248</v>
      </c>
      <c r="B327" s="1">
        <v>45245</v>
      </c>
      <c r="C327" t="s">
        <v>48</v>
      </c>
      <c r="D327">
        <v>22</v>
      </c>
      <c r="E327" t="s">
        <v>143</v>
      </c>
      <c r="F327" t="s">
        <v>35</v>
      </c>
      <c r="G327" t="s">
        <v>213</v>
      </c>
      <c r="H327">
        <v>8</v>
      </c>
      <c r="I327">
        <v>520</v>
      </c>
      <c r="J327">
        <v>5</v>
      </c>
      <c r="K327" t="s">
        <v>41</v>
      </c>
      <c r="L327" t="s">
        <v>20</v>
      </c>
      <c r="M3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27">
        <v>3952</v>
      </c>
      <c r="O327" t="s">
        <v>45</v>
      </c>
      <c r="P327" t="str">
        <f>_xlfn.IFS(LEFT(indian_retail_raw_1000[[#This Row],[x]],1)="W", "West",LEFT(indian_retail_raw_1000[[#This Row],[x]],1)= "E","East",LEFT(O327,1) = "S", "South",LEFT(O327,1) = "N", "North")</f>
        <v>East</v>
      </c>
      <c r="Q327" t="s">
        <v>35</v>
      </c>
      <c r="R327" t="s">
        <v>138</v>
      </c>
      <c r="S327" t="str">
        <f>TEXT(indian_retail_raw_1000[[#This Row],[Order_Date]],"MMM")</f>
        <v>Nov</v>
      </c>
    </row>
    <row r="328" spans="1:19" x14ac:dyDescent="0.25">
      <c r="A328" t="s">
        <v>526</v>
      </c>
      <c r="B328" s="1">
        <v>45055</v>
      </c>
      <c r="C328" t="s">
        <v>142</v>
      </c>
      <c r="D328">
        <v>50</v>
      </c>
      <c r="E328" t="s">
        <v>16</v>
      </c>
      <c r="F328" t="s">
        <v>35</v>
      </c>
      <c r="G328" t="s">
        <v>139</v>
      </c>
      <c r="H328">
        <v>9</v>
      </c>
      <c r="I328">
        <v>519</v>
      </c>
      <c r="J328">
        <v>15</v>
      </c>
      <c r="K328" t="s">
        <v>41</v>
      </c>
      <c r="L328" t="s">
        <v>20</v>
      </c>
      <c r="M3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28">
        <v>3970.35</v>
      </c>
      <c r="O328" t="s">
        <v>45</v>
      </c>
      <c r="P328" t="str">
        <f>_xlfn.IFS(LEFT(indian_retail_raw_1000[[#This Row],[x]],1)="W", "West",LEFT(indian_retail_raw_1000[[#This Row],[x]],1)= "E","East",LEFT(O328,1) = "S", "South",LEFT(O328,1) = "N", "North")</f>
        <v>East</v>
      </c>
      <c r="Q328" t="s">
        <v>35</v>
      </c>
      <c r="R328" t="s">
        <v>16</v>
      </c>
      <c r="S328" t="str">
        <f>TEXT(indian_retail_raw_1000[[#This Row],[Order_Date]],"MMM")</f>
        <v>May</v>
      </c>
    </row>
    <row r="329" spans="1:19" x14ac:dyDescent="0.25">
      <c r="A329" t="s">
        <v>985</v>
      </c>
      <c r="B329" s="1">
        <v>44963</v>
      </c>
      <c r="C329" t="s">
        <v>318</v>
      </c>
      <c r="D329">
        <v>51</v>
      </c>
      <c r="E329" t="s">
        <v>16</v>
      </c>
      <c r="F329" t="s">
        <v>17</v>
      </c>
      <c r="G329" t="s">
        <v>492</v>
      </c>
      <c r="H329">
        <v>3</v>
      </c>
      <c r="I329">
        <v>1900</v>
      </c>
      <c r="J329">
        <v>30</v>
      </c>
      <c r="K329" t="s">
        <v>25</v>
      </c>
      <c r="L329" t="s">
        <v>56</v>
      </c>
      <c r="M3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29">
        <v>3990</v>
      </c>
      <c r="O329" t="s">
        <v>38</v>
      </c>
      <c r="P329" t="str">
        <f>_xlfn.IFS(LEFT(indian_retail_raw_1000[[#This Row],[x]],1)="W", "West",LEFT(indian_retail_raw_1000[[#This Row],[x]],1)= "E","East",LEFT(O329,1) = "S", "South",LEFT(O329,1) = "N", "North")</f>
        <v>North</v>
      </c>
      <c r="Q329" t="s">
        <v>17</v>
      </c>
      <c r="R329" t="s">
        <v>16</v>
      </c>
      <c r="S329" t="str">
        <f>TEXT(indian_retail_raw_1000[[#This Row],[Order_Date]],"MMM")</f>
        <v>Feb</v>
      </c>
    </row>
    <row r="330" spans="1:19" x14ac:dyDescent="0.25">
      <c r="A330" t="s">
        <v>1209</v>
      </c>
      <c r="B330" s="1">
        <v>45284</v>
      </c>
      <c r="C330" t="s">
        <v>192</v>
      </c>
      <c r="D330">
        <v>46</v>
      </c>
      <c r="E330" t="s">
        <v>16</v>
      </c>
      <c r="F330" t="s">
        <v>17</v>
      </c>
      <c r="G330" t="s">
        <v>40</v>
      </c>
      <c r="H330">
        <v>1</v>
      </c>
      <c r="I330">
        <v>4200</v>
      </c>
      <c r="J330">
        <v>5</v>
      </c>
      <c r="K330" t="s">
        <v>25</v>
      </c>
      <c r="L330" t="s">
        <v>20</v>
      </c>
      <c r="M3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30">
        <v>3990</v>
      </c>
      <c r="O330" t="s">
        <v>26</v>
      </c>
      <c r="P330" t="str">
        <f>_xlfn.IFS(LEFT(indian_retail_raw_1000[[#This Row],[x]],1)="W", "West",LEFT(indian_retail_raw_1000[[#This Row],[x]],1)= "E","East",LEFT(O330,1) = "S", "South",LEFT(O330,1) = "N", "North")</f>
        <v>West</v>
      </c>
      <c r="Q330" t="s">
        <v>17</v>
      </c>
      <c r="R330" t="s">
        <v>16</v>
      </c>
      <c r="S330" t="str">
        <f>TEXT(indian_retail_raw_1000[[#This Row],[Order_Date]],"MMM")</f>
        <v>Dec</v>
      </c>
    </row>
    <row r="331" spans="1:19" x14ac:dyDescent="0.25">
      <c r="A331" t="s">
        <v>310</v>
      </c>
      <c r="B331" s="1">
        <v>45286</v>
      </c>
      <c r="C331" t="s">
        <v>207</v>
      </c>
      <c r="D331">
        <v>37</v>
      </c>
      <c r="E331" t="s">
        <v>23</v>
      </c>
      <c r="F331" t="s">
        <v>54</v>
      </c>
      <c r="G331" t="s">
        <v>311</v>
      </c>
      <c r="H331">
        <v>1</v>
      </c>
      <c r="I331">
        <v>4000</v>
      </c>
      <c r="J331">
        <v>0</v>
      </c>
      <c r="K331" t="s">
        <v>41</v>
      </c>
      <c r="L331" t="s">
        <v>56</v>
      </c>
      <c r="M3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31">
        <v>4000</v>
      </c>
      <c r="O331" t="s">
        <v>38</v>
      </c>
      <c r="P331" t="str">
        <f>_xlfn.IFS(LEFT(indian_retail_raw_1000[[#This Row],[x]],1)="W", "West",LEFT(indian_retail_raw_1000[[#This Row],[x]],1)= "E","East",LEFT(O331,1) = "S", "South",LEFT(O331,1) = "N", "North")</f>
        <v>North</v>
      </c>
      <c r="Q331" t="s">
        <v>54</v>
      </c>
      <c r="R331" t="s">
        <v>23</v>
      </c>
      <c r="S331" t="str">
        <f>TEXT(indian_retail_raw_1000[[#This Row],[Order_Date]],"MMM")</f>
        <v>Dec</v>
      </c>
    </row>
    <row r="332" spans="1:19" x14ac:dyDescent="0.25">
      <c r="A332" t="s">
        <v>346</v>
      </c>
      <c r="B332" s="1">
        <v>45139</v>
      </c>
      <c r="C332" t="s">
        <v>1336</v>
      </c>
      <c r="D332">
        <v>21</v>
      </c>
      <c r="E332" t="s">
        <v>16</v>
      </c>
      <c r="F332" t="s">
        <v>347</v>
      </c>
      <c r="G332" t="s">
        <v>348</v>
      </c>
      <c r="H332">
        <v>2</v>
      </c>
      <c r="I332">
        <v>2500</v>
      </c>
      <c r="J332">
        <v>20</v>
      </c>
      <c r="K332" t="s">
        <v>19</v>
      </c>
      <c r="L332" t="s">
        <v>20</v>
      </c>
      <c r="M3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32">
        <v>4000</v>
      </c>
      <c r="O332" t="s">
        <v>349</v>
      </c>
      <c r="P332" t="str">
        <f>_xlfn.IFS(LEFT(indian_retail_raw_1000[[#This Row],[x]],1)="W", "West",LEFT(indian_retail_raw_1000[[#This Row],[x]],1)= "E","East",LEFT(O332,1) = "S", "South",LEFT(O332,1) = "N", "North")</f>
        <v>South</v>
      </c>
      <c r="Q332" t="s">
        <v>54</v>
      </c>
      <c r="R332" t="s">
        <v>16</v>
      </c>
      <c r="S332" t="str">
        <f>TEXT(indian_retail_raw_1000[[#This Row],[Order_Date]],"MMM")</f>
        <v>Aug</v>
      </c>
    </row>
    <row r="333" spans="1:19" x14ac:dyDescent="0.25">
      <c r="A333" t="s">
        <v>1315</v>
      </c>
      <c r="B333" s="1">
        <v>45243</v>
      </c>
      <c r="C333" t="s">
        <v>152</v>
      </c>
      <c r="D333">
        <v>27</v>
      </c>
      <c r="E333" t="s">
        <v>23</v>
      </c>
      <c r="F333" t="s">
        <v>30</v>
      </c>
      <c r="G333" t="s">
        <v>294</v>
      </c>
      <c r="H333">
        <v>8</v>
      </c>
      <c r="I333">
        <v>720</v>
      </c>
      <c r="J333">
        <v>30</v>
      </c>
      <c r="K333" t="s">
        <v>25</v>
      </c>
      <c r="L333" t="s">
        <v>51</v>
      </c>
      <c r="M3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33">
        <v>4032</v>
      </c>
      <c r="O333" t="s">
        <v>45</v>
      </c>
      <c r="P333" t="str">
        <f>_xlfn.IFS(LEFT(indian_retail_raw_1000[[#This Row],[x]],1)="W", "West",LEFT(indian_retail_raw_1000[[#This Row],[x]],1)= "E","East",LEFT(O333,1) = "S", "South",LEFT(O333,1) = "N", "North")</f>
        <v>East</v>
      </c>
      <c r="Q333" t="s">
        <v>30</v>
      </c>
      <c r="R333" t="s">
        <v>23</v>
      </c>
      <c r="S333" t="str">
        <f>TEXT(indian_retail_raw_1000[[#This Row],[Order_Date]],"MMM")</f>
        <v>Nov</v>
      </c>
    </row>
    <row r="334" spans="1:19" x14ac:dyDescent="0.25">
      <c r="A334" t="s">
        <v>1176</v>
      </c>
      <c r="B334" s="1" t="s">
        <v>1336</v>
      </c>
      <c r="C334" t="s">
        <v>82</v>
      </c>
      <c r="D334">
        <v>54</v>
      </c>
      <c r="E334" t="s">
        <v>44</v>
      </c>
      <c r="F334" t="s">
        <v>35</v>
      </c>
      <c r="G334" t="s">
        <v>111</v>
      </c>
      <c r="H334">
        <v>5</v>
      </c>
      <c r="I334">
        <v>270</v>
      </c>
      <c r="J334">
        <v>25</v>
      </c>
      <c r="K334" t="s">
        <v>19</v>
      </c>
      <c r="L334" t="s">
        <v>915</v>
      </c>
      <c r="M3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34">
        <v>4050</v>
      </c>
      <c r="O334" t="s">
        <v>26</v>
      </c>
      <c r="P334" t="str">
        <f>_xlfn.IFS(LEFT(indian_retail_raw_1000[[#This Row],[x]],1)="W", "West",LEFT(indian_retail_raw_1000[[#This Row],[x]],1)= "E","East",LEFT(O334,1) = "S", "South",LEFT(O334,1) = "N", "North")</f>
        <v>West</v>
      </c>
      <c r="Q334" t="s">
        <v>35</v>
      </c>
      <c r="R334" t="s">
        <v>23</v>
      </c>
      <c r="S334" t="str">
        <f>TEXT(indian_retail_raw_1000[[#This Row],[Order_Date]],"MMM")</f>
        <v>Null</v>
      </c>
    </row>
    <row r="335" spans="1:19" x14ac:dyDescent="0.25">
      <c r="A335" t="s">
        <v>649</v>
      </c>
      <c r="B335" s="1">
        <v>45010</v>
      </c>
      <c r="C335" t="s">
        <v>1336</v>
      </c>
      <c r="D335">
        <v>47</v>
      </c>
      <c r="E335" t="s">
        <v>23</v>
      </c>
      <c r="F335" t="s">
        <v>17</v>
      </c>
      <c r="G335" t="s">
        <v>49</v>
      </c>
      <c r="H335">
        <v>3</v>
      </c>
      <c r="I335">
        <v>1950</v>
      </c>
      <c r="J335">
        <v>30</v>
      </c>
      <c r="K335" t="s">
        <v>115</v>
      </c>
      <c r="L335" t="s">
        <v>51</v>
      </c>
      <c r="M3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35">
        <v>4095</v>
      </c>
      <c r="O335" t="s">
        <v>21</v>
      </c>
      <c r="P335" t="str">
        <f>_xlfn.IFS(LEFT(indian_retail_raw_1000[[#This Row],[x]],1)="W", "West",LEFT(indian_retail_raw_1000[[#This Row],[x]],1)= "E","East",LEFT(O335,1) = "S", "South",LEFT(O335,1) = "N", "North")</f>
        <v>South</v>
      </c>
      <c r="Q335" t="s">
        <v>17</v>
      </c>
      <c r="R335" t="s">
        <v>23</v>
      </c>
      <c r="S335" t="str">
        <f>TEXT(indian_retail_raw_1000[[#This Row],[Order_Date]],"MMM")</f>
        <v>Mar</v>
      </c>
    </row>
    <row r="336" spans="1:19" x14ac:dyDescent="0.25">
      <c r="A336" t="s">
        <v>887</v>
      </c>
      <c r="B336" s="1">
        <v>45198</v>
      </c>
      <c r="C336" t="s">
        <v>265</v>
      </c>
      <c r="D336">
        <v>47</v>
      </c>
      <c r="E336" t="s">
        <v>16</v>
      </c>
      <c r="F336" t="s">
        <v>35</v>
      </c>
      <c r="G336" t="s">
        <v>126</v>
      </c>
      <c r="H336">
        <v>9</v>
      </c>
      <c r="I336">
        <v>482</v>
      </c>
      <c r="J336">
        <v>5</v>
      </c>
      <c r="K336" t="s">
        <v>50</v>
      </c>
      <c r="L336" t="s">
        <v>56</v>
      </c>
      <c r="M3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36">
        <v>4121.1000000000004</v>
      </c>
      <c r="O336" t="s">
        <v>38</v>
      </c>
      <c r="P336" t="str">
        <f>_xlfn.IFS(LEFT(indian_retail_raw_1000[[#This Row],[x]],1)="W", "West",LEFT(indian_retail_raw_1000[[#This Row],[x]],1)= "E","East",LEFT(O336,1) = "S", "South",LEFT(O336,1) = "N", "North")</f>
        <v>North</v>
      </c>
      <c r="Q336" t="s">
        <v>35</v>
      </c>
      <c r="R336" t="s">
        <v>16</v>
      </c>
      <c r="S336" t="str">
        <f>TEXT(indian_retail_raw_1000[[#This Row],[Order_Date]],"MMM")</f>
        <v>Sep</v>
      </c>
    </row>
    <row r="337" spans="1:19" x14ac:dyDescent="0.25">
      <c r="A337" t="s">
        <v>1306</v>
      </c>
      <c r="B337" s="1">
        <v>45103</v>
      </c>
      <c r="C337" t="s">
        <v>1336</v>
      </c>
      <c r="D337">
        <v>39</v>
      </c>
      <c r="E337" t="s">
        <v>23</v>
      </c>
      <c r="F337" t="s">
        <v>17</v>
      </c>
      <c r="G337" t="s">
        <v>40</v>
      </c>
      <c r="H337">
        <v>1</v>
      </c>
      <c r="I337">
        <v>4350</v>
      </c>
      <c r="J337">
        <v>5</v>
      </c>
      <c r="K337" t="s">
        <v>41</v>
      </c>
      <c r="L337" t="s">
        <v>20</v>
      </c>
      <c r="M3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37">
        <v>4132.5</v>
      </c>
      <c r="O337" t="s">
        <v>38</v>
      </c>
      <c r="P337" t="str">
        <f>_xlfn.IFS(LEFT(indian_retail_raw_1000[[#This Row],[x]],1)="W", "West",LEFT(indian_retail_raw_1000[[#This Row],[x]],1)= "E","East",LEFT(O337,1) = "S", "South",LEFT(O337,1) = "N", "North")</f>
        <v>North</v>
      </c>
      <c r="Q337" t="s">
        <v>17</v>
      </c>
      <c r="R337" t="s">
        <v>23</v>
      </c>
      <c r="S337" t="str">
        <f>TEXT(indian_retail_raw_1000[[#This Row],[Order_Date]],"MMM")</f>
        <v>Jun</v>
      </c>
    </row>
    <row r="338" spans="1:19" x14ac:dyDescent="0.25">
      <c r="A338" t="s">
        <v>514</v>
      </c>
      <c r="B338" s="1">
        <v>45115</v>
      </c>
      <c r="C338" t="s">
        <v>1336</v>
      </c>
      <c r="D338">
        <v>56</v>
      </c>
      <c r="E338" t="s">
        <v>16</v>
      </c>
      <c r="F338" t="s">
        <v>35</v>
      </c>
      <c r="G338" t="s">
        <v>36</v>
      </c>
      <c r="H338">
        <v>9</v>
      </c>
      <c r="I338">
        <v>921</v>
      </c>
      <c r="J338">
        <v>50</v>
      </c>
      <c r="K338" t="s">
        <v>19</v>
      </c>
      <c r="L338" t="s">
        <v>56</v>
      </c>
      <c r="M3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38">
        <v>4144.5</v>
      </c>
      <c r="O338" t="s">
        <v>21</v>
      </c>
      <c r="P338" t="str">
        <f>_xlfn.IFS(LEFT(indian_retail_raw_1000[[#This Row],[x]],1)="W", "West",LEFT(indian_retail_raw_1000[[#This Row],[x]],1)= "E","East",LEFT(O338,1) = "S", "South",LEFT(O338,1) = "N", "North")</f>
        <v>South</v>
      </c>
      <c r="Q338" t="s">
        <v>35</v>
      </c>
      <c r="R338" t="s">
        <v>16</v>
      </c>
      <c r="S338" t="str">
        <f>TEXT(indian_retail_raw_1000[[#This Row],[Order_Date]],"MMM")</f>
        <v>Jul</v>
      </c>
    </row>
    <row r="339" spans="1:19" x14ac:dyDescent="0.25">
      <c r="A339" t="s">
        <v>1080</v>
      </c>
      <c r="B339" s="1" t="s">
        <v>1336</v>
      </c>
      <c r="C339" t="s">
        <v>66</v>
      </c>
      <c r="D339">
        <v>20</v>
      </c>
      <c r="E339" t="s">
        <v>16</v>
      </c>
      <c r="F339" t="s">
        <v>17</v>
      </c>
      <c r="G339" t="s">
        <v>49</v>
      </c>
      <c r="H339">
        <v>3</v>
      </c>
      <c r="I339">
        <v>1850</v>
      </c>
      <c r="J339">
        <v>25</v>
      </c>
      <c r="K339" t="s">
        <v>25</v>
      </c>
      <c r="L339" t="s">
        <v>20</v>
      </c>
      <c r="M3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39">
        <v>4162.5</v>
      </c>
      <c r="O339" t="s">
        <v>45</v>
      </c>
      <c r="P339" t="str">
        <f>_xlfn.IFS(LEFT(indian_retail_raw_1000[[#This Row],[x]],1)="W", "West",LEFT(indian_retail_raw_1000[[#This Row],[x]],1)= "E","East",LEFT(O339,1) = "S", "South",LEFT(O339,1) = "N", "North")</f>
        <v>East</v>
      </c>
      <c r="Q339" t="s">
        <v>17</v>
      </c>
      <c r="R339" t="s">
        <v>16</v>
      </c>
      <c r="S339" t="str">
        <f>TEXT(indian_retail_raw_1000[[#This Row],[Order_Date]],"MMM")</f>
        <v>Null</v>
      </c>
    </row>
    <row r="340" spans="1:19" x14ac:dyDescent="0.25">
      <c r="A340" t="s">
        <v>1035</v>
      </c>
      <c r="B340" s="1">
        <v>45173</v>
      </c>
      <c r="C340" t="s">
        <v>241</v>
      </c>
      <c r="D340">
        <v>49</v>
      </c>
      <c r="E340" t="s">
        <v>23</v>
      </c>
      <c r="F340" t="s">
        <v>35</v>
      </c>
      <c r="G340" t="s">
        <v>36</v>
      </c>
      <c r="H340">
        <v>5</v>
      </c>
      <c r="I340">
        <v>1046</v>
      </c>
      <c r="J340">
        <v>20</v>
      </c>
      <c r="K340" t="s">
        <v>19</v>
      </c>
      <c r="L340" t="s">
        <v>107</v>
      </c>
      <c r="M3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0">
        <v>4184</v>
      </c>
      <c r="O340" t="s">
        <v>352</v>
      </c>
      <c r="P340" t="str">
        <f>_xlfn.IFS(LEFT(indian_retail_raw_1000[[#This Row],[x]],1)="W", "West",LEFT(indian_retail_raw_1000[[#This Row],[x]],1)= "E","East",LEFT(O340,1) = "S", "South",LEFT(O340,1) = "N", "North")</f>
        <v>East</v>
      </c>
      <c r="Q340" t="s">
        <v>35</v>
      </c>
      <c r="R340" t="s">
        <v>23</v>
      </c>
      <c r="S340" t="str">
        <f>TEXT(indian_retail_raw_1000[[#This Row],[Order_Date]],"MMM")</f>
        <v>Sep</v>
      </c>
    </row>
    <row r="341" spans="1:19" x14ac:dyDescent="0.25">
      <c r="A341" t="s">
        <v>1213</v>
      </c>
      <c r="B341" s="1">
        <v>45129</v>
      </c>
      <c r="C341" t="s">
        <v>62</v>
      </c>
      <c r="D341">
        <v>42</v>
      </c>
      <c r="E341" t="s">
        <v>16</v>
      </c>
      <c r="F341" t="s">
        <v>17</v>
      </c>
      <c r="G341" t="s">
        <v>297</v>
      </c>
      <c r="H341">
        <v>1</v>
      </c>
      <c r="I341">
        <v>4650</v>
      </c>
      <c r="J341">
        <v>10</v>
      </c>
      <c r="K341" t="s">
        <v>41</v>
      </c>
      <c r="L341" t="s">
        <v>20</v>
      </c>
      <c r="M3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1">
        <v>4185</v>
      </c>
      <c r="O341" t="s">
        <v>26</v>
      </c>
      <c r="P341" t="str">
        <f>_xlfn.IFS(LEFT(indian_retail_raw_1000[[#This Row],[x]],1)="W", "West",LEFT(indian_retail_raw_1000[[#This Row],[x]],1)= "E","East",LEFT(O341,1) = "S", "South",LEFT(O341,1) = "N", "North")</f>
        <v>West</v>
      </c>
      <c r="Q341" t="s">
        <v>17</v>
      </c>
      <c r="R341" t="s">
        <v>16</v>
      </c>
      <c r="S341" t="str">
        <f>TEXT(indian_retail_raw_1000[[#This Row],[Order_Date]],"MMM")</f>
        <v>Jul</v>
      </c>
    </row>
    <row r="342" spans="1:19" x14ac:dyDescent="0.25">
      <c r="A342" t="s">
        <v>634</v>
      </c>
      <c r="B342" s="1" t="s">
        <v>1336</v>
      </c>
      <c r="C342" t="s">
        <v>87</v>
      </c>
      <c r="D342">
        <v>41</v>
      </c>
      <c r="E342" t="s">
        <v>16</v>
      </c>
      <c r="F342" t="s">
        <v>54</v>
      </c>
      <c r="G342" t="s">
        <v>338</v>
      </c>
      <c r="H342">
        <v>1</v>
      </c>
      <c r="I342">
        <v>7000</v>
      </c>
      <c r="J342">
        <v>40</v>
      </c>
      <c r="K342" t="s">
        <v>50</v>
      </c>
      <c r="L342" t="s">
        <v>20</v>
      </c>
      <c r="M3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2">
        <v>4200</v>
      </c>
      <c r="O342" t="s">
        <v>21</v>
      </c>
      <c r="P342" t="str">
        <f>_xlfn.IFS(LEFT(indian_retail_raw_1000[[#This Row],[x]],1)="W", "West",LEFT(indian_retail_raw_1000[[#This Row],[x]],1)= "E","East",LEFT(O342,1) = "S", "South",LEFT(O342,1) = "N", "North")</f>
        <v>South</v>
      </c>
      <c r="Q342" t="s">
        <v>54</v>
      </c>
      <c r="R342" t="s">
        <v>16</v>
      </c>
      <c r="S342" t="str">
        <f>TEXT(indian_retail_raw_1000[[#This Row],[Order_Date]],"MMM")</f>
        <v>Null</v>
      </c>
    </row>
    <row r="343" spans="1:19" x14ac:dyDescent="0.25">
      <c r="A343" t="s">
        <v>732</v>
      </c>
      <c r="B343" s="1">
        <v>45288</v>
      </c>
      <c r="C343" t="s">
        <v>1336</v>
      </c>
      <c r="D343">
        <v>40</v>
      </c>
      <c r="E343" t="s">
        <v>16</v>
      </c>
      <c r="F343" t="s">
        <v>347</v>
      </c>
      <c r="G343" t="s">
        <v>348</v>
      </c>
      <c r="H343">
        <v>2</v>
      </c>
      <c r="I343">
        <v>2100</v>
      </c>
      <c r="K343" t="s">
        <v>19</v>
      </c>
      <c r="L343" t="s">
        <v>449</v>
      </c>
      <c r="M3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3">
        <v>4200</v>
      </c>
      <c r="O343" t="s">
        <v>45</v>
      </c>
      <c r="P343" t="str">
        <f>_xlfn.IFS(LEFT(indian_retail_raw_1000[[#This Row],[x]],1)="W", "West",LEFT(indian_retail_raw_1000[[#This Row],[x]],1)= "E","East",LEFT(O343,1) = "S", "South",LEFT(O343,1) = "N", "North")</f>
        <v>East</v>
      </c>
      <c r="Q343" t="s">
        <v>54</v>
      </c>
      <c r="R343" t="s">
        <v>16</v>
      </c>
      <c r="S343" t="str">
        <f>TEXT(indian_retail_raw_1000[[#This Row],[Order_Date]],"MMM")</f>
        <v>Dec</v>
      </c>
    </row>
    <row r="344" spans="1:19" x14ac:dyDescent="0.25">
      <c r="A344" t="s">
        <v>1140</v>
      </c>
      <c r="B344" s="1" t="s">
        <v>1336</v>
      </c>
      <c r="C344" t="s">
        <v>62</v>
      </c>
      <c r="D344">
        <v>44</v>
      </c>
      <c r="E344" t="s">
        <v>490</v>
      </c>
      <c r="F344" t="s">
        <v>17</v>
      </c>
      <c r="G344" t="s">
        <v>117</v>
      </c>
      <c r="H344">
        <v>1</v>
      </c>
      <c r="I344">
        <v>7000</v>
      </c>
      <c r="J344">
        <v>40</v>
      </c>
      <c r="K344" t="s">
        <v>41</v>
      </c>
      <c r="L344" t="s">
        <v>20</v>
      </c>
      <c r="M3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4">
        <v>4200</v>
      </c>
      <c r="O344" t="s">
        <v>409</v>
      </c>
      <c r="P344" t="str">
        <f>_xlfn.IFS(LEFT(indian_retail_raw_1000[[#This Row],[x]],1)="W", "West",LEFT(indian_retail_raw_1000[[#This Row],[x]],1)= "E","East",LEFT(O344,1) = "S", "South",LEFT(O344,1) = "N", "North")</f>
        <v>South</v>
      </c>
      <c r="Q344" t="s">
        <v>17</v>
      </c>
      <c r="R344" t="s">
        <v>16</v>
      </c>
      <c r="S344" t="str">
        <f>TEXT(indian_retail_raw_1000[[#This Row],[Order_Date]],"MMM")</f>
        <v>Null</v>
      </c>
    </row>
    <row r="345" spans="1:19" x14ac:dyDescent="0.25">
      <c r="A345" t="s">
        <v>1191</v>
      </c>
      <c r="B345" s="1">
        <v>45145</v>
      </c>
      <c r="C345" t="s">
        <v>411</v>
      </c>
      <c r="D345">
        <v>40</v>
      </c>
      <c r="E345" t="s">
        <v>23</v>
      </c>
      <c r="F345" t="s">
        <v>17</v>
      </c>
      <c r="G345" t="s">
        <v>297</v>
      </c>
      <c r="H345">
        <v>1</v>
      </c>
      <c r="I345">
        <v>5650</v>
      </c>
      <c r="J345">
        <v>25</v>
      </c>
      <c r="K345" t="s">
        <v>83</v>
      </c>
      <c r="L345" t="s">
        <v>56</v>
      </c>
      <c r="M3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45">
        <v>4237.5</v>
      </c>
      <c r="O345" t="s">
        <v>26</v>
      </c>
      <c r="P345" t="str">
        <f>_xlfn.IFS(LEFT(indian_retail_raw_1000[[#This Row],[x]],1)="W", "West",LEFT(indian_retail_raw_1000[[#This Row],[x]],1)= "E","East",LEFT(O345,1) = "S", "South",LEFT(O345,1) = "N", "North")</f>
        <v>West</v>
      </c>
      <c r="Q345" t="s">
        <v>17</v>
      </c>
      <c r="R345" t="s">
        <v>23</v>
      </c>
      <c r="S345" t="str">
        <f>TEXT(indian_retail_raw_1000[[#This Row],[Order_Date]],"MMM")</f>
        <v>Aug</v>
      </c>
    </row>
    <row r="346" spans="1:19" x14ac:dyDescent="0.25">
      <c r="A346" t="s">
        <v>498</v>
      </c>
      <c r="B346" s="1">
        <v>45154</v>
      </c>
      <c r="C346" t="s">
        <v>1336</v>
      </c>
      <c r="D346">
        <v>47</v>
      </c>
      <c r="E346" t="s">
        <v>16</v>
      </c>
      <c r="F346" t="s">
        <v>17</v>
      </c>
      <c r="G346" t="s">
        <v>80</v>
      </c>
      <c r="H346">
        <v>1</v>
      </c>
      <c r="I346">
        <v>5000</v>
      </c>
      <c r="J346">
        <v>15</v>
      </c>
      <c r="K346" t="s">
        <v>19</v>
      </c>
      <c r="L346" t="s">
        <v>20</v>
      </c>
      <c r="M3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6">
        <v>4250</v>
      </c>
      <c r="O346" t="s">
        <v>38</v>
      </c>
      <c r="P346" t="str">
        <f>_xlfn.IFS(LEFT(indian_retail_raw_1000[[#This Row],[x]],1)="W", "West",LEFT(indian_retail_raw_1000[[#This Row],[x]],1)= "E","East",LEFT(O346,1) = "S", "South",LEFT(O346,1) = "N", "North")</f>
        <v>North</v>
      </c>
      <c r="Q346" t="s">
        <v>17</v>
      </c>
      <c r="R346" t="s">
        <v>16</v>
      </c>
      <c r="S346" t="str">
        <f>TEXT(indian_retail_raw_1000[[#This Row],[Order_Date]],"MMM")</f>
        <v>Aug</v>
      </c>
    </row>
    <row r="347" spans="1:19" x14ac:dyDescent="0.25">
      <c r="A347" t="s">
        <v>1148</v>
      </c>
      <c r="B347" s="1">
        <v>45279</v>
      </c>
      <c r="C347" t="s">
        <v>587</v>
      </c>
      <c r="D347">
        <v>47</v>
      </c>
      <c r="E347" t="s">
        <v>16</v>
      </c>
      <c r="F347" t="s">
        <v>17</v>
      </c>
      <c r="G347" t="s">
        <v>186</v>
      </c>
      <c r="H347">
        <v>2</v>
      </c>
      <c r="I347">
        <v>2500</v>
      </c>
      <c r="J347">
        <v>15</v>
      </c>
      <c r="K347" t="s">
        <v>50</v>
      </c>
      <c r="L347" t="s">
        <v>20</v>
      </c>
      <c r="M3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7">
        <v>4250</v>
      </c>
      <c r="O347" t="s">
        <v>21</v>
      </c>
      <c r="P347" t="str">
        <f>_xlfn.IFS(LEFT(indian_retail_raw_1000[[#This Row],[x]],1)="W", "West",LEFT(indian_retail_raw_1000[[#This Row],[x]],1)= "E","East",LEFT(O347,1) = "S", "South",LEFT(O347,1) = "N", "North")</f>
        <v>South</v>
      </c>
      <c r="Q347" t="s">
        <v>17</v>
      </c>
      <c r="R347" t="s">
        <v>16</v>
      </c>
      <c r="S347" t="str">
        <f>TEXT(indian_retail_raw_1000[[#This Row],[Order_Date]],"MMM")</f>
        <v>Dec</v>
      </c>
    </row>
    <row r="348" spans="1:19" x14ac:dyDescent="0.25">
      <c r="A348" t="s">
        <v>857</v>
      </c>
      <c r="B348" s="1" t="s">
        <v>1336</v>
      </c>
      <c r="C348" t="s">
        <v>82</v>
      </c>
      <c r="D348">
        <v>35</v>
      </c>
      <c r="E348" t="s">
        <v>16</v>
      </c>
      <c r="F348" t="s">
        <v>17</v>
      </c>
      <c r="G348" t="s">
        <v>297</v>
      </c>
      <c r="H348">
        <v>1</v>
      </c>
      <c r="I348">
        <v>5350</v>
      </c>
      <c r="J348">
        <v>20</v>
      </c>
      <c r="K348" t="s">
        <v>19</v>
      </c>
      <c r="L348" t="s">
        <v>20</v>
      </c>
      <c r="M3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8">
        <v>4280</v>
      </c>
      <c r="O348" t="s">
        <v>38</v>
      </c>
      <c r="P348" t="str">
        <f>_xlfn.IFS(LEFT(indian_retail_raw_1000[[#This Row],[x]],1)="W", "West",LEFT(indian_retail_raw_1000[[#This Row],[x]],1)= "E","East",LEFT(O348,1) = "S", "South",LEFT(O348,1) = "N", "North")</f>
        <v>North</v>
      </c>
      <c r="Q348" t="s">
        <v>17</v>
      </c>
      <c r="R348" t="s">
        <v>16</v>
      </c>
      <c r="S348" t="str">
        <f>TEXT(indian_retail_raw_1000[[#This Row],[Order_Date]],"MMM")</f>
        <v>Null</v>
      </c>
    </row>
    <row r="349" spans="1:19" x14ac:dyDescent="0.25">
      <c r="A349" t="s">
        <v>613</v>
      </c>
      <c r="B349" s="1" t="s">
        <v>1336</v>
      </c>
      <c r="C349" t="s">
        <v>1336</v>
      </c>
      <c r="D349">
        <v>30</v>
      </c>
      <c r="E349" t="s">
        <v>16</v>
      </c>
      <c r="F349" t="s">
        <v>17</v>
      </c>
      <c r="G349" t="s">
        <v>492</v>
      </c>
      <c r="H349">
        <v>3</v>
      </c>
      <c r="I349">
        <v>2050</v>
      </c>
      <c r="J349">
        <v>30</v>
      </c>
      <c r="K349" t="s">
        <v>19</v>
      </c>
      <c r="L349" t="s">
        <v>56</v>
      </c>
      <c r="M3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49">
        <v>4305</v>
      </c>
      <c r="O349" t="s">
        <v>26</v>
      </c>
      <c r="P349" t="str">
        <f>_xlfn.IFS(LEFT(indian_retail_raw_1000[[#This Row],[x]],1)="W", "West",LEFT(indian_retail_raw_1000[[#This Row],[x]],1)= "E","East",LEFT(O349,1) = "S", "South",LEFT(O349,1) = "N", "North")</f>
        <v>West</v>
      </c>
      <c r="Q349" t="s">
        <v>17</v>
      </c>
      <c r="R349" t="s">
        <v>16</v>
      </c>
      <c r="S349" t="str">
        <f>TEXT(indian_retail_raw_1000[[#This Row],[Order_Date]],"MMM")</f>
        <v>Null</v>
      </c>
    </row>
    <row r="350" spans="1:19" x14ac:dyDescent="0.25">
      <c r="A350" t="s">
        <v>327</v>
      </c>
      <c r="B350" s="1">
        <v>45178</v>
      </c>
      <c r="C350" t="s">
        <v>53</v>
      </c>
      <c r="D350">
        <v>35</v>
      </c>
      <c r="E350" t="s">
        <v>146</v>
      </c>
      <c r="F350" t="s">
        <v>35</v>
      </c>
      <c r="G350" t="s">
        <v>139</v>
      </c>
      <c r="H350">
        <v>5</v>
      </c>
      <c r="I350">
        <v>862</v>
      </c>
      <c r="J350">
        <v>5</v>
      </c>
      <c r="K350" t="s">
        <v>89</v>
      </c>
      <c r="L350" t="s">
        <v>51</v>
      </c>
      <c r="M3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50">
        <v>4310</v>
      </c>
      <c r="O350" t="s">
        <v>21</v>
      </c>
      <c r="P350" t="str">
        <f>_xlfn.IFS(LEFT(indian_retail_raw_1000[[#This Row],[x]],1)="W", "West",LEFT(indian_retail_raw_1000[[#This Row],[x]],1)= "E","East",LEFT(O350,1) = "S", "South",LEFT(O350,1) = "N", "North")</f>
        <v>South</v>
      </c>
      <c r="Q350" t="s">
        <v>35</v>
      </c>
      <c r="R350" t="s">
        <v>16</v>
      </c>
      <c r="S350" t="str">
        <f>TEXT(indian_retail_raw_1000[[#This Row],[Order_Date]],"MMM")</f>
        <v>Sep</v>
      </c>
    </row>
    <row r="351" spans="1:19" x14ac:dyDescent="0.25">
      <c r="A351" t="s">
        <v>796</v>
      </c>
      <c r="B351" s="1" t="s">
        <v>1336</v>
      </c>
      <c r="C351" t="s">
        <v>165</v>
      </c>
      <c r="D351">
        <v>25</v>
      </c>
      <c r="E351" t="s">
        <v>23</v>
      </c>
      <c r="F351" t="s">
        <v>35</v>
      </c>
      <c r="G351" t="s">
        <v>111</v>
      </c>
      <c r="H351">
        <v>10</v>
      </c>
      <c r="I351">
        <v>455</v>
      </c>
      <c r="J351">
        <v>5</v>
      </c>
      <c r="K351" t="s">
        <v>261</v>
      </c>
      <c r="L351" t="s">
        <v>51</v>
      </c>
      <c r="M3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51">
        <v>4322.5</v>
      </c>
      <c r="O351" t="s">
        <v>26</v>
      </c>
      <c r="P351" t="str">
        <f>_xlfn.IFS(LEFT(indian_retail_raw_1000[[#This Row],[x]],1)="W", "West",LEFT(indian_retail_raw_1000[[#This Row],[x]],1)= "E","East",LEFT(O351,1) = "S", "South",LEFT(O351,1) = "N", "North")</f>
        <v>West</v>
      </c>
      <c r="Q351" t="s">
        <v>35</v>
      </c>
      <c r="R351" t="s">
        <v>23</v>
      </c>
      <c r="S351" t="str">
        <f>TEXT(indian_retail_raw_1000[[#This Row],[Order_Date]],"MMM")</f>
        <v>Null</v>
      </c>
    </row>
    <row r="352" spans="1:19" x14ac:dyDescent="0.25">
      <c r="A352" t="s">
        <v>240</v>
      </c>
      <c r="B352" s="1">
        <v>45022</v>
      </c>
      <c r="C352" t="s">
        <v>241</v>
      </c>
      <c r="D352">
        <v>31</v>
      </c>
      <c r="E352" t="s">
        <v>29</v>
      </c>
      <c r="F352" t="s">
        <v>35</v>
      </c>
      <c r="G352" t="s">
        <v>63</v>
      </c>
      <c r="H352">
        <v>4</v>
      </c>
      <c r="I352">
        <v>4324</v>
      </c>
      <c r="J352">
        <v>0</v>
      </c>
      <c r="K352" t="s">
        <v>41</v>
      </c>
      <c r="L352" t="s">
        <v>20</v>
      </c>
      <c r="M3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2">
        <v>4324</v>
      </c>
      <c r="O352" t="s">
        <v>26</v>
      </c>
      <c r="P352" t="str">
        <f>_xlfn.IFS(LEFT(indian_retail_raw_1000[[#This Row],[x]],1)="W", "West",LEFT(indian_retail_raw_1000[[#This Row],[x]],1)= "E","East",LEFT(O352,1) = "S", "South",LEFT(O352,1) = "N", "North")</f>
        <v>West</v>
      </c>
      <c r="Q352" t="s">
        <v>35</v>
      </c>
      <c r="R352" t="s">
        <v>16</v>
      </c>
      <c r="S352" t="str">
        <f>TEXT(indian_retail_raw_1000[[#This Row],[Order_Date]],"MMM")</f>
        <v>Apr</v>
      </c>
    </row>
    <row r="353" spans="1:19" x14ac:dyDescent="0.25">
      <c r="A353" t="s">
        <v>1123</v>
      </c>
      <c r="B353" s="1">
        <v>45054</v>
      </c>
      <c r="C353" t="s">
        <v>1336</v>
      </c>
      <c r="D353">
        <v>43</v>
      </c>
      <c r="E353" t="s">
        <v>23</v>
      </c>
      <c r="F353" t="s">
        <v>35</v>
      </c>
      <c r="G353" t="s">
        <v>139</v>
      </c>
      <c r="H353">
        <v>6</v>
      </c>
      <c r="I353">
        <v>803</v>
      </c>
      <c r="J353">
        <v>10</v>
      </c>
      <c r="K353" t="s">
        <v>19</v>
      </c>
      <c r="L353" t="s">
        <v>20</v>
      </c>
      <c r="M3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3">
        <v>4336.2</v>
      </c>
      <c r="O353" t="s">
        <v>45</v>
      </c>
      <c r="P353" t="str">
        <f>_xlfn.IFS(LEFT(indian_retail_raw_1000[[#This Row],[x]],1)="W", "West",LEFT(indian_retail_raw_1000[[#This Row],[x]],1)= "E","East",LEFT(O353,1) = "S", "South",LEFT(O353,1) = "N", "North")</f>
        <v>East</v>
      </c>
      <c r="Q353" t="s">
        <v>35</v>
      </c>
      <c r="R353" t="s">
        <v>23</v>
      </c>
      <c r="S353" t="str">
        <f>TEXT(indian_retail_raw_1000[[#This Row],[Order_Date]],"MMM")</f>
        <v>May</v>
      </c>
    </row>
    <row r="354" spans="1:19" x14ac:dyDescent="0.25">
      <c r="A354" t="s">
        <v>699</v>
      </c>
      <c r="B354" s="1">
        <v>44997</v>
      </c>
      <c r="C354" t="s">
        <v>28</v>
      </c>
      <c r="D354">
        <v>62</v>
      </c>
      <c r="E354" t="s">
        <v>16</v>
      </c>
      <c r="F354" t="s">
        <v>35</v>
      </c>
      <c r="G354" t="s">
        <v>257</v>
      </c>
      <c r="H354">
        <v>7</v>
      </c>
      <c r="I354">
        <v>892</v>
      </c>
      <c r="J354">
        <v>30</v>
      </c>
      <c r="K354" t="s">
        <v>41</v>
      </c>
      <c r="L354" t="s">
        <v>20</v>
      </c>
      <c r="M3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4">
        <v>4370.8</v>
      </c>
      <c r="O354" t="s">
        <v>38</v>
      </c>
      <c r="P354" t="str">
        <f>_xlfn.IFS(LEFT(indian_retail_raw_1000[[#This Row],[x]],1)="W", "West",LEFT(indian_retail_raw_1000[[#This Row],[x]],1)= "E","East",LEFT(O354,1) = "S", "South",LEFT(O354,1) = "N", "North")</f>
        <v>North</v>
      </c>
      <c r="Q354" t="s">
        <v>35</v>
      </c>
      <c r="R354" t="s">
        <v>16</v>
      </c>
      <c r="S354" t="str">
        <f>TEXT(indian_retail_raw_1000[[#This Row],[Order_Date]],"MMM")</f>
        <v>Mar</v>
      </c>
    </row>
    <row r="355" spans="1:19" x14ac:dyDescent="0.25">
      <c r="A355" t="s">
        <v>376</v>
      </c>
      <c r="B355" s="1" t="s">
        <v>1336</v>
      </c>
      <c r="C355" t="s">
        <v>43</v>
      </c>
      <c r="D355">
        <v>26</v>
      </c>
      <c r="E355" t="s">
        <v>16</v>
      </c>
      <c r="F355" t="s">
        <v>30</v>
      </c>
      <c r="G355" t="s">
        <v>235</v>
      </c>
      <c r="H355">
        <v>3</v>
      </c>
      <c r="I355">
        <v>2448</v>
      </c>
      <c r="J355">
        <v>40</v>
      </c>
      <c r="K355" t="s">
        <v>19</v>
      </c>
      <c r="L355" t="s">
        <v>56</v>
      </c>
      <c r="M3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55">
        <v>4406.3999999999996</v>
      </c>
      <c r="O355" t="s">
        <v>26</v>
      </c>
      <c r="P355" t="str">
        <f>_xlfn.IFS(LEFT(indian_retail_raw_1000[[#This Row],[x]],1)="W", "West",LEFT(indian_retail_raw_1000[[#This Row],[x]],1)= "E","East",LEFT(O355,1) = "S", "South",LEFT(O355,1) = "N", "North")</f>
        <v>West</v>
      </c>
      <c r="Q355" t="s">
        <v>30</v>
      </c>
      <c r="R355" t="s">
        <v>16</v>
      </c>
      <c r="S355" t="str">
        <f>TEXT(indian_retail_raw_1000[[#This Row],[Order_Date]],"MMM")</f>
        <v>Null</v>
      </c>
    </row>
    <row r="356" spans="1:19" x14ac:dyDescent="0.25">
      <c r="A356" t="s">
        <v>717</v>
      </c>
      <c r="B356" s="1" t="s">
        <v>1336</v>
      </c>
      <c r="C356" t="s">
        <v>66</v>
      </c>
      <c r="D356">
        <v>58</v>
      </c>
      <c r="E356" t="s">
        <v>16</v>
      </c>
      <c r="F356" t="s">
        <v>17</v>
      </c>
      <c r="G356" t="s">
        <v>274</v>
      </c>
      <c r="H356">
        <v>2</v>
      </c>
      <c r="I356">
        <v>2450</v>
      </c>
      <c r="J356">
        <v>10</v>
      </c>
      <c r="K356" t="s">
        <v>41</v>
      </c>
      <c r="L356" t="s">
        <v>20</v>
      </c>
      <c r="M3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6">
        <v>4410</v>
      </c>
      <c r="O356" t="s">
        <v>74</v>
      </c>
      <c r="P356" t="str">
        <f>_xlfn.IFS(LEFT(indian_retail_raw_1000[[#This Row],[x]],1)="W", "West",LEFT(indian_retail_raw_1000[[#This Row],[x]],1)= "E","East",LEFT(O356,1) = "S", "South",LEFT(O356,1) = "N", "North")</f>
        <v>West</v>
      </c>
      <c r="Q356" t="s">
        <v>17</v>
      </c>
      <c r="R356" t="s">
        <v>16</v>
      </c>
      <c r="S356" t="str">
        <f>TEXT(indian_retail_raw_1000[[#This Row],[Order_Date]],"MMM")</f>
        <v>Null</v>
      </c>
    </row>
    <row r="357" spans="1:19" x14ac:dyDescent="0.25">
      <c r="A357" t="s">
        <v>604</v>
      </c>
      <c r="B357" s="1">
        <v>45100</v>
      </c>
      <c r="C357" t="s">
        <v>1336</v>
      </c>
      <c r="D357">
        <v>54</v>
      </c>
      <c r="E357" t="s">
        <v>23</v>
      </c>
      <c r="F357" t="s">
        <v>17</v>
      </c>
      <c r="G357" t="s">
        <v>189</v>
      </c>
      <c r="H357">
        <v>2</v>
      </c>
      <c r="I357">
        <v>2600</v>
      </c>
      <c r="J357">
        <v>15</v>
      </c>
      <c r="K357" t="s">
        <v>41</v>
      </c>
      <c r="L357" t="s">
        <v>51</v>
      </c>
      <c r="M3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57">
        <v>4420</v>
      </c>
      <c r="O357" t="s">
        <v>38</v>
      </c>
      <c r="P357" t="str">
        <f>_xlfn.IFS(LEFT(indian_retail_raw_1000[[#This Row],[x]],1)="W", "West",LEFT(indian_retail_raw_1000[[#This Row],[x]],1)= "E","East",LEFT(O357,1) = "S", "South",LEFT(O357,1) = "N", "North")</f>
        <v>North</v>
      </c>
      <c r="Q357" t="s">
        <v>17</v>
      </c>
      <c r="R357" t="s">
        <v>23</v>
      </c>
      <c r="S357" t="str">
        <f>TEXT(indian_retail_raw_1000[[#This Row],[Order_Date]],"MMM")</f>
        <v>Jun</v>
      </c>
    </row>
    <row r="358" spans="1:19" x14ac:dyDescent="0.25">
      <c r="A358" t="s">
        <v>550</v>
      </c>
      <c r="B358" s="1">
        <v>45235</v>
      </c>
      <c r="C358" t="s">
        <v>66</v>
      </c>
      <c r="D358">
        <v>64</v>
      </c>
      <c r="E358" t="s">
        <v>23</v>
      </c>
      <c r="F358" t="s">
        <v>129</v>
      </c>
      <c r="G358" t="s">
        <v>268</v>
      </c>
      <c r="H358">
        <v>3</v>
      </c>
      <c r="I358">
        <v>1965</v>
      </c>
      <c r="J358">
        <v>25</v>
      </c>
      <c r="K358" t="s">
        <v>115</v>
      </c>
      <c r="L358" t="s">
        <v>20</v>
      </c>
      <c r="M3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8">
        <v>4421.25</v>
      </c>
      <c r="O358" t="s">
        <v>21</v>
      </c>
      <c r="P358" t="str">
        <f>_xlfn.IFS(LEFT(indian_retail_raw_1000[[#This Row],[x]],1)="W", "West",LEFT(indian_retail_raw_1000[[#This Row],[x]],1)= "E","East",LEFT(O358,1) = "S", "South",LEFT(O358,1) = "N", "North")</f>
        <v>South</v>
      </c>
      <c r="Q358" t="s">
        <v>30</v>
      </c>
      <c r="R358" t="s">
        <v>23</v>
      </c>
      <c r="S358" t="str">
        <f>TEXT(indian_retail_raw_1000[[#This Row],[Order_Date]],"MMM")</f>
        <v>Nov</v>
      </c>
    </row>
    <row r="359" spans="1:19" x14ac:dyDescent="0.25">
      <c r="A359" t="s">
        <v>1295</v>
      </c>
      <c r="B359" s="1" t="s">
        <v>1336</v>
      </c>
      <c r="C359" t="s">
        <v>48</v>
      </c>
      <c r="D359">
        <v>61</v>
      </c>
      <c r="E359" t="s">
        <v>23</v>
      </c>
      <c r="F359" t="s">
        <v>35</v>
      </c>
      <c r="G359" t="s">
        <v>158</v>
      </c>
      <c r="H359">
        <v>5</v>
      </c>
      <c r="I359">
        <v>885</v>
      </c>
      <c r="J359">
        <v>0</v>
      </c>
      <c r="K359" t="s">
        <v>25</v>
      </c>
      <c r="L359" t="s">
        <v>20</v>
      </c>
      <c r="M3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9">
        <v>4425</v>
      </c>
      <c r="O359" t="s">
        <v>21</v>
      </c>
      <c r="P359" t="str">
        <f>_xlfn.IFS(LEFT(indian_retail_raw_1000[[#This Row],[x]],1)="W", "West",LEFT(indian_retail_raw_1000[[#This Row],[x]],1)= "E","East",LEFT(O359,1) = "S", "South",LEFT(O359,1) = "N", "North")</f>
        <v>South</v>
      </c>
      <c r="Q359" t="s">
        <v>35</v>
      </c>
      <c r="R359" t="s">
        <v>23</v>
      </c>
      <c r="S359" t="str">
        <f>TEXT(indian_retail_raw_1000[[#This Row],[Order_Date]],"MMM")</f>
        <v>Null</v>
      </c>
    </row>
    <row r="360" spans="1:19" x14ac:dyDescent="0.25">
      <c r="A360" t="s">
        <v>387</v>
      </c>
      <c r="B360" s="1">
        <v>45014</v>
      </c>
      <c r="C360" t="s">
        <v>1336</v>
      </c>
      <c r="D360">
        <v>39</v>
      </c>
      <c r="E360" t="s">
        <v>143</v>
      </c>
      <c r="F360" t="s">
        <v>35</v>
      </c>
      <c r="G360" t="s">
        <v>99</v>
      </c>
      <c r="H360">
        <v>10</v>
      </c>
      <c r="I360">
        <v>741</v>
      </c>
      <c r="J360">
        <v>40</v>
      </c>
      <c r="K360" t="s">
        <v>115</v>
      </c>
      <c r="L360" t="s">
        <v>20</v>
      </c>
      <c r="M3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0">
        <v>4446</v>
      </c>
      <c r="O360" t="s">
        <v>45</v>
      </c>
      <c r="P360" t="str">
        <f>_xlfn.IFS(LEFT(indian_retail_raw_1000[[#This Row],[x]],1)="W", "West",LEFT(indian_retail_raw_1000[[#This Row],[x]],1)= "E","East",LEFT(O360,1) = "S", "South",LEFT(O360,1) = "N", "North")</f>
        <v>East</v>
      </c>
      <c r="Q360" t="s">
        <v>35</v>
      </c>
      <c r="R360" t="s">
        <v>138</v>
      </c>
      <c r="S360" t="str">
        <f>TEXT(indian_retail_raw_1000[[#This Row],[Order_Date]],"MMM")</f>
        <v>Mar</v>
      </c>
    </row>
    <row r="361" spans="1:19" x14ac:dyDescent="0.25">
      <c r="A361" t="s">
        <v>227</v>
      </c>
      <c r="B361" s="1">
        <v>45282</v>
      </c>
      <c r="C361" t="s">
        <v>156</v>
      </c>
      <c r="D361">
        <v>30</v>
      </c>
      <c r="E361" t="s">
        <v>23</v>
      </c>
      <c r="F361" t="s">
        <v>35</v>
      </c>
      <c r="G361" t="s">
        <v>166</v>
      </c>
      <c r="H361">
        <v>6</v>
      </c>
      <c r="I361">
        <v>873</v>
      </c>
      <c r="J361">
        <v>15</v>
      </c>
      <c r="K361" t="s">
        <v>19</v>
      </c>
      <c r="L361" t="s">
        <v>51</v>
      </c>
      <c r="M3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61">
        <v>4452.3</v>
      </c>
      <c r="O361" t="s">
        <v>21</v>
      </c>
      <c r="P361" t="str">
        <f>_xlfn.IFS(LEFT(indian_retail_raw_1000[[#This Row],[x]],1)="W", "West",LEFT(indian_retail_raw_1000[[#This Row],[x]],1)= "E","East",LEFT(O361,1) = "S", "South",LEFT(O361,1) = "N", "North")</f>
        <v>South</v>
      </c>
      <c r="Q361" t="s">
        <v>35</v>
      </c>
      <c r="R361" t="s">
        <v>23</v>
      </c>
      <c r="S361" t="str">
        <f>TEXT(indian_retail_raw_1000[[#This Row],[Order_Date]],"MMM")</f>
        <v>Dec</v>
      </c>
    </row>
    <row r="362" spans="1:19" x14ac:dyDescent="0.25">
      <c r="A362" t="s">
        <v>1232</v>
      </c>
      <c r="B362" s="1">
        <v>44964</v>
      </c>
      <c r="C362" t="s">
        <v>1336</v>
      </c>
      <c r="D362">
        <v>29</v>
      </c>
      <c r="E362" t="s">
        <v>16</v>
      </c>
      <c r="F362" t="s">
        <v>17</v>
      </c>
      <c r="G362" t="s">
        <v>492</v>
      </c>
      <c r="H362">
        <v>1</v>
      </c>
      <c r="I362">
        <v>4950</v>
      </c>
      <c r="J362">
        <v>10</v>
      </c>
      <c r="K362" t="s">
        <v>41</v>
      </c>
      <c r="L362" t="s">
        <v>20</v>
      </c>
      <c r="M3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2">
        <v>4455</v>
      </c>
      <c r="O362" t="s">
        <v>38</v>
      </c>
      <c r="P362" t="str">
        <f>_xlfn.IFS(LEFT(indian_retail_raw_1000[[#This Row],[x]],1)="W", "West",LEFT(indian_retail_raw_1000[[#This Row],[x]],1)= "E","East",LEFT(O362,1) = "S", "South",LEFT(O362,1) = "N", "North")</f>
        <v>North</v>
      </c>
      <c r="Q362" t="s">
        <v>17</v>
      </c>
      <c r="R362" t="s">
        <v>16</v>
      </c>
      <c r="S362" t="str">
        <f>TEXT(indian_retail_raw_1000[[#This Row],[Order_Date]],"MMM")</f>
        <v>Feb</v>
      </c>
    </row>
    <row r="363" spans="1:19" x14ac:dyDescent="0.25">
      <c r="A363" t="s">
        <v>357</v>
      </c>
      <c r="B363" s="1">
        <v>45012</v>
      </c>
      <c r="C363" t="s">
        <v>358</v>
      </c>
      <c r="D363">
        <v>49</v>
      </c>
      <c r="E363" t="s">
        <v>23</v>
      </c>
      <c r="F363" t="s">
        <v>30</v>
      </c>
      <c r="G363" t="s">
        <v>224</v>
      </c>
      <c r="H363">
        <v>4</v>
      </c>
      <c r="I363">
        <v>1124</v>
      </c>
      <c r="J363">
        <v>0</v>
      </c>
      <c r="K363" t="s">
        <v>19</v>
      </c>
      <c r="L363" t="s">
        <v>20</v>
      </c>
      <c r="M3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3">
        <v>4496</v>
      </c>
      <c r="O363" t="s">
        <v>21</v>
      </c>
      <c r="P363" t="str">
        <f>_xlfn.IFS(LEFT(indian_retail_raw_1000[[#This Row],[x]],1)="W", "West",LEFT(indian_retail_raw_1000[[#This Row],[x]],1)= "E","East",LEFT(O363,1) = "S", "South",LEFT(O363,1) = "N", "North")</f>
        <v>South</v>
      </c>
      <c r="Q363" t="s">
        <v>30</v>
      </c>
      <c r="R363" t="s">
        <v>23</v>
      </c>
      <c r="S363" t="str">
        <f>TEXT(indian_retail_raw_1000[[#This Row],[Order_Date]],"MMM")</f>
        <v>Mar</v>
      </c>
    </row>
    <row r="364" spans="1:19" x14ac:dyDescent="0.25">
      <c r="A364" t="s">
        <v>215</v>
      </c>
      <c r="B364" s="1">
        <v>44997</v>
      </c>
      <c r="C364" t="s">
        <v>1336</v>
      </c>
      <c r="D364">
        <v>37</v>
      </c>
      <c r="E364" t="s">
        <v>23</v>
      </c>
      <c r="F364" t="s">
        <v>17</v>
      </c>
      <c r="G364" t="s">
        <v>189</v>
      </c>
      <c r="H364">
        <v>2</v>
      </c>
      <c r="I364">
        <v>2500</v>
      </c>
      <c r="J364">
        <v>10</v>
      </c>
      <c r="K364" t="s">
        <v>25</v>
      </c>
      <c r="L364" t="s">
        <v>20</v>
      </c>
      <c r="M3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4">
        <v>4500</v>
      </c>
      <c r="O364" t="s">
        <v>21</v>
      </c>
      <c r="P364" t="str">
        <f>_xlfn.IFS(LEFT(indian_retail_raw_1000[[#This Row],[x]],1)="W", "West",LEFT(indian_retail_raw_1000[[#This Row],[x]],1)= "E","East",LEFT(O364,1) = "S", "South",LEFT(O364,1) = "N", "North")</f>
        <v>South</v>
      </c>
      <c r="Q364" t="s">
        <v>17</v>
      </c>
      <c r="R364" t="s">
        <v>23</v>
      </c>
      <c r="S364" t="str">
        <f>TEXT(indian_retail_raw_1000[[#This Row],[Order_Date]],"MMM")</f>
        <v>Mar</v>
      </c>
    </row>
    <row r="365" spans="1:19" x14ac:dyDescent="0.25">
      <c r="A365" t="s">
        <v>573</v>
      </c>
      <c r="B365" s="1" t="s">
        <v>1336</v>
      </c>
      <c r="C365" t="s">
        <v>43</v>
      </c>
      <c r="D365">
        <v>53</v>
      </c>
      <c r="E365" t="s">
        <v>23</v>
      </c>
      <c r="F365" t="s">
        <v>54</v>
      </c>
      <c r="G365" t="s">
        <v>338</v>
      </c>
      <c r="H365">
        <v>1</v>
      </c>
      <c r="I365">
        <v>5000</v>
      </c>
      <c r="J365">
        <v>10</v>
      </c>
      <c r="K365" t="s">
        <v>25</v>
      </c>
      <c r="L365" t="s">
        <v>20</v>
      </c>
      <c r="M3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5">
        <v>4500</v>
      </c>
      <c r="O365" t="s">
        <v>21</v>
      </c>
      <c r="P365" t="str">
        <f>_xlfn.IFS(LEFT(indian_retail_raw_1000[[#This Row],[x]],1)="W", "West",LEFT(indian_retail_raw_1000[[#This Row],[x]],1)= "E","East",LEFT(O365,1) = "S", "South",LEFT(O365,1) = "N", "North")</f>
        <v>South</v>
      </c>
      <c r="Q365" t="s">
        <v>54</v>
      </c>
      <c r="R365" t="s">
        <v>23</v>
      </c>
      <c r="S365" t="str">
        <f>TEXT(indian_retail_raw_1000[[#This Row],[Order_Date]],"MMM")</f>
        <v>Null</v>
      </c>
    </row>
    <row r="366" spans="1:19" x14ac:dyDescent="0.25">
      <c r="A366" t="s">
        <v>1038</v>
      </c>
      <c r="B366" s="1">
        <v>45270</v>
      </c>
      <c r="C366" t="s">
        <v>152</v>
      </c>
      <c r="D366">
        <v>25</v>
      </c>
      <c r="E366" t="s">
        <v>16</v>
      </c>
      <c r="F366" t="s">
        <v>54</v>
      </c>
      <c r="G366" t="s">
        <v>311</v>
      </c>
      <c r="H366">
        <v>1</v>
      </c>
      <c r="I366">
        <v>4500</v>
      </c>
      <c r="J366">
        <v>0</v>
      </c>
      <c r="K366" t="s">
        <v>115</v>
      </c>
      <c r="L366" t="s">
        <v>20</v>
      </c>
      <c r="M3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6">
        <v>4500</v>
      </c>
      <c r="O366" t="s">
        <v>38</v>
      </c>
      <c r="P366" t="str">
        <f>_xlfn.IFS(LEFT(indian_retail_raw_1000[[#This Row],[x]],1)="W", "West",LEFT(indian_retail_raw_1000[[#This Row],[x]],1)= "E","East",LEFT(O366,1) = "S", "South",LEFT(O366,1) = "N", "North")</f>
        <v>North</v>
      </c>
      <c r="Q366" t="s">
        <v>54</v>
      </c>
      <c r="R366" t="s">
        <v>16</v>
      </c>
      <c r="S366" t="str">
        <f>TEXT(indian_retail_raw_1000[[#This Row],[Order_Date]],"MMM")</f>
        <v>Dec</v>
      </c>
    </row>
    <row r="367" spans="1:19" x14ac:dyDescent="0.25">
      <c r="A367" t="s">
        <v>1228</v>
      </c>
      <c r="B367" s="1">
        <v>44931</v>
      </c>
      <c r="C367" t="s">
        <v>1336</v>
      </c>
      <c r="D367">
        <v>54</v>
      </c>
      <c r="E367" t="s">
        <v>16</v>
      </c>
      <c r="F367" t="s">
        <v>17</v>
      </c>
      <c r="G367" t="s">
        <v>186</v>
      </c>
      <c r="H367">
        <v>2</v>
      </c>
      <c r="I367">
        <v>2500</v>
      </c>
      <c r="J367">
        <v>10</v>
      </c>
      <c r="K367" t="s">
        <v>41</v>
      </c>
      <c r="L367" t="s">
        <v>20</v>
      </c>
      <c r="M3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7">
        <v>4500</v>
      </c>
      <c r="O367" t="s">
        <v>45</v>
      </c>
      <c r="P367" t="str">
        <f>_xlfn.IFS(LEFT(indian_retail_raw_1000[[#This Row],[x]],1)="W", "West",LEFT(indian_retail_raw_1000[[#This Row],[x]],1)= "E","East",LEFT(O367,1) = "S", "South",LEFT(O367,1) = "N", "North")</f>
        <v>East</v>
      </c>
      <c r="Q367" t="s">
        <v>17</v>
      </c>
      <c r="R367" t="s">
        <v>16</v>
      </c>
      <c r="S367" t="str">
        <f>TEXT(indian_retail_raw_1000[[#This Row],[Order_Date]],"MMM")</f>
        <v>Jan</v>
      </c>
    </row>
    <row r="368" spans="1:19" x14ac:dyDescent="0.25">
      <c r="A368" t="s">
        <v>797</v>
      </c>
      <c r="B368" s="1">
        <v>45285</v>
      </c>
      <c r="C368" t="s">
        <v>87</v>
      </c>
      <c r="D368">
        <v>21</v>
      </c>
      <c r="E368" t="s">
        <v>138</v>
      </c>
      <c r="F368" t="s">
        <v>17</v>
      </c>
      <c r="G368" t="s">
        <v>124</v>
      </c>
      <c r="H368">
        <v>1</v>
      </c>
      <c r="I368">
        <v>5050</v>
      </c>
      <c r="J368">
        <v>10</v>
      </c>
      <c r="K368" t="s">
        <v>50</v>
      </c>
      <c r="L368" t="s">
        <v>56</v>
      </c>
      <c r="M3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68">
        <v>4545</v>
      </c>
      <c r="O368" t="s">
        <v>21</v>
      </c>
      <c r="P368" t="str">
        <f>_xlfn.IFS(LEFT(indian_retail_raw_1000[[#This Row],[x]],1)="W", "West",LEFT(indian_retail_raw_1000[[#This Row],[x]],1)= "E","East",LEFT(O368,1) = "S", "South",LEFT(O368,1) = "N", "North")</f>
        <v>South</v>
      </c>
      <c r="Q368" t="s">
        <v>17</v>
      </c>
      <c r="R368" t="s">
        <v>138</v>
      </c>
      <c r="S368" t="str">
        <f>TEXT(indian_retail_raw_1000[[#This Row],[Order_Date]],"MMM")</f>
        <v>Dec</v>
      </c>
    </row>
    <row r="369" spans="1:19" x14ac:dyDescent="0.25">
      <c r="A369" t="s">
        <v>640</v>
      </c>
      <c r="B369" s="1" t="s">
        <v>1336</v>
      </c>
      <c r="C369" t="s">
        <v>1336</v>
      </c>
      <c r="D369">
        <v>36</v>
      </c>
      <c r="E369" t="s">
        <v>138</v>
      </c>
      <c r="F369" t="s">
        <v>35</v>
      </c>
      <c r="G369" t="s">
        <v>99</v>
      </c>
      <c r="H369">
        <v>5</v>
      </c>
      <c r="I369">
        <v>910</v>
      </c>
      <c r="J369">
        <v>0</v>
      </c>
      <c r="K369" t="s">
        <v>41</v>
      </c>
      <c r="L369" t="s">
        <v>51</v>
      </c>
      <c r="M3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69">
        <v>4550</v>
      </c>
      <c r="O369" t="s">
        <v>21</v>
      </c>
      <c r="P369" t="str">
        <f>_xlfn.IFS(LEFT(indian_retail_raw_1000[[#This Row],[x]],1)="W", "West",LEFT(indian_retail_raw_1000[[#This Row],[x]],1)= "E","East",LEFT(O369,1) = "S", "South",LEFT(O369,1) = "N", "North")</f>
        <v>South</v>
      </c>
      <c r="Q369" t="s">
        <v>35</v>
      </c>
      <c r="R369" t="s">
        <v>138</v>
      </c>
      <c r="S369" t="str">
        <f>TEXT(indian_retail_raw_1000[[#This Row],[Order_Date]],"MMM")</f>
        <v>Null</v>
      </c>
    </row>
    <row r="370" spans="1:19" x14ac:dyDescent="0.25">
      <c r="A370" t="s">
        <v>727</v>
      </c>
      <c r="B370" s="1">
        <v>45096</v>
      </c>
      <c r="C370" t="s">
        <v>1336</v>
      </c>
      <c r="D370">
        <v>21</v>
      </c>
      <c r="E370" t="s">
        <v>23</v>
      </c>
      <c r="F370" t="s">
        <v>438</v>
      </c>
      <c r="G370" t="s">
        <v>80</v>
      </c>
      <c r="H370">
        <v>1</v>
      </c>
      <c r="I370">
        <v>4550</v>
      </c>
      <c r="K370" t="s">
        <v>41</v>
      </c>
      <c r="L370" t="s">
        <v>20</v>
      </c>
      <c r="M3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70">
        <v>4550</v>
      </c>
      <c r="O370" t="s">
        <v>45</v>
      </c>
      <c r="P370" t="str">
        <f>_xlfn.IFS(LEFT(indian_retail_raw_1000[[#This Row],[x]],1)="W", "West",LEFT(indian_retail_raw_1000[[#This Row],[x]],1)= "E","East",LEFT(O370,1) = "S", "South",LEFT(O370,1) = "N", "North")</f>
        <v>East</v>
      </c>
      <c r="Q370" t="s">
        <v>17</v>
      </c>
      <c r="R370" t="s">
        <v>23</v>
      </c>
      <c r="S370" t="str">
        <f>TEXT(indian_retail_raw_1000[[#This Row],[Order_Date]],"MMM")</f>
        <v>Jun</v>
      </c>
    </row>
    <row r="371" spans="1:19" x14ac:dyDescent="0.25">
      <c r="A371" t="s">
        <v>269</v>
      </c>
      <c r="B371" s="1" t="s">
        <v>1336</v>
      </c>
      <c r="C371" t="s">
        <v>192</v>
      </c>
      <c r="D371">
        <v>58</v>
      </c>
      <c r="E371" t="s">
        <v>16</v>
      </c>
      <c r="F371" t="s">
        <v>35</v>
      </c>
      <c r="G371" t="s">
        <v>166</v>
      </c>
      <c r="H371">
        <v>8</v>
      </c>
      <c r="I371">
        <v>599</v>
      </c>
      <c r="J371">
        <v>5</v>
      </c>
      <c r="K371" t="s">
        <v>41</v>
      </c>
      <c r="L371" t="s">
        <v>51</v>
      </c>
      <c r="M3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71">
        <v>4552.3999999999996</v>
      </c>
      <c r="O371" t="s">
        <v>38</v>
      </c>
      <c r="P371" t="str">
        <f>_xlfn.IFS(LEFT(indian_retail_raw_1000[[#This Row],[x]],1)="W", "West",LEFT(indian_retail_raw_1000[[#This Row],[x]],1)= "E","East",LEFT(O371,1) = "S", "South",LEFT(O371,1) = "N", "North")</f>
        <v>North</v>
      </c>
      <c r="Q371" t="s">
        <v>35</v>
      </c>
      <c r="R371" t="s">
        <v>16</v>
      </c>
      <c r="S371" t="str">
        <f>TEXT(indian_retail_raw_1000[[#This Row],[Order_Date]],"MMM")</f>
        <v>Null</v>
      </c>
    </row>
    <row r="372" spans="1:19" x14ac:dyDescent="0.25">
      <c r="A372" t="s">
        <v>269</v>
      </c>
      <c r="B372" s="1" t="s">
        <v>1336</v>
      </c>
      <c r="C372" t="s">
        <v>192</v>
      </c>
      <c r="D372">
        <v>58</v>
      </c>
      <c r="E372" t="s">
        <v>16</v>
      </c>
      <c r="F372" t="s">
        <v>35</v>
      </c>
      <c r="G372" t="s">
        <v>166</v>
      </c>
      <c r="H372">
        <v>8</v>
      </c>
      <c r="I372">
        <v>599</v>
      </c>
      <c r="J372">
        <v>5</v>
      </c>
      <c r="K372" t="s">
        <v>41</v>
      </c>
      <c r="L372" t="s">
        <v>51</v>
      </c>
      <c r="M3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72">
        <v>4552.3999999999996</v>
      </c>
      <c r="O372" t="s">
        <v>38</v>
      </c>
      <c r="P372" t="str">
        <f>_xlfn.IFS(LEFT(indian_retail_raw_1000[[#This Row],[x]],1)="W", "West",LEFT(indian_retail_raw_1000[[#This Row],[x]],1)= "E","East",LEFT(O372,1) = "S", "South",LEFT(O372,1) = "N", "North")</f>
        <v>North</v>
      </c>
      <c r="Q372" t="s">
        <v>35</v>
      </c>
      <c r="R372" t="s">
        <v>16</v>
      </c>
      <c r="S372" t="str">
        <f>TEXT(indian_retail_raw_1000[[#This Row],[Order_Date]],"MMM")</f>
        <v>Null</v>
      </c>
    </row>
    <row r="373" spans="1:19" x14ac:dyDescent="0.25">
      <c r="A373" t="s">
        <v>1117</v>
      </c>
      <c r="B373" s="1" t="s">
        <v>1336</v>
      </c>
      <c r="C373" t="s">
        <v>128</v>
      </c>
      <c r="D373">
        <v>58</v>
      </c>
      <c r="E373" t="s">
        <v>16</v>
      </c>
      <c r="F373" t="s">
        <v>30</v>
      </c>
      <c r="G373" t="s">
        <v>224</v>
      </c>
      <c r="H373">
        <v>7</v>
      </c>
      <c r="I373">
        <v>1302</v>
      </c>
      <c r="J373">
        <v>50</v>
      </c>
      <c r="K373" t="s">
        <v>41</v>
      </c>
      <c r="L373" t="s">
        <v>51</v>
      </c>
      <c r="M3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73">
        <v>4557</v>
      </c>
      <c r="O373" t="s">
        <v>45</v>
      </c>
      <c r="P373" t="str">
        <f>_xlfn.IFS(LEFT(indian_retail_raw_1000[[#This Row],[x]],1)="W", "West",LEFT(indian_retail_raw_1000[[#This Row],[x]],1)= "E","East",LEFT(O373,1) = "S", "South",LEFT(O373,1) = "N", "North")</f>
        <v>East</v>
      </c>
      <c r="Q373" t="s">
        <v>30</v>
      </c>
      <c r="R373" t="s">
        <v>16</v>
      </c>
      <c r="S373" t="str">
        <f>TEXT(indian_retail_raw_1000[[#This Row],[Order_Date]],"MMM")</f>
        <v>Null</v>
      </c>
    </row>
    <row r="374" spans="1:19" x14ac:dyDescent="0.25">
      <c r="A374" t="s">
        <v>1206</v>
      </c>
      <c r="B374" s="1">
        <v>45062</v>
      </c>
      <c r="C374" t="s">
        <v>82</v>
      </c>
      <c r="D374">
        <v>24</v>
      </c>
      <c r="E374" t="s">
        <v>16</v>
      </c>
      <c r="F374" t="s">
        <v>35</v>
      </c>
      <c r="G374" t="s">
        <v>63</v>
      </c>
      <c r="H374">
        <v>3</v>
      </c>
      <c r="I374">
        <v>1696</v>
      </c>
      <c r="J374">
        <v>10</v>
      </c>
      <c r="K374" t="s">
        <v>50</v>
      </c>
      <c r="L374" t="s">
        <v>51</v>
      </c>
      <c r="M3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74">
        <v>4579.2</v>
      </c>
      <c r="O374" t="s">
        <v>26</v>
      </c>
      <c r="P374" t="str">
        <f>_xlfn.IFS(LEFT(indian_retail_raw_1000[[#This Row],[x]],1)="W", "West",LEFT(indian_retail_raw_1000[[#This Row],[x]],1)= "E","East",LEFT(O374,1) = "S", "South",LEFT(O374,1) = "N", "North")</f>
        <v>West</v>
      </c>
      <c r="Q374" t="s">
        <v>35</v>
      </c>
      <c r="R374" t="s">
        <v>16</v>
      </c>
      <c r="S374" t="str">
        <f>TEXT(indian_retail_raw_1000[[#This Row],[Order_Date]],"MMM")</f>
        <v>May</v>
      </c>
    </row>
    <row r="375" spans="1:19" x14ac:dyDescent="0.25">
      <c r="A375" t="s">
        <v>1049</v>
      </c>
      <c r="B375" s="1" t="s">
        <v>1336</v>
      </c>
      <c r="C375" t="s">
        <v>53</v>
      </c>
      <c r="D375">
        <v>58</v>
      </c>
      <c r="E375" t="s">
        <v>16</v>
      </c>
      <c r="F375" t="s">
        <v>17</v>
      </c>
      <c r="G375" t="s">
        <v>274</v>
      </c>
      <c r="H375">
        <v>2</v>
      </c>
      <c r="I375">
        <v>2550</v>
      </c>
      <c r="J375">
        <v>10</v>
      </c>
      <c r="K375" t="s">
        <v>19</v>
      </c>
      <c r="L375" t="s">
        <v>20</v>
      </c>
      <c r="M3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75">
        <v>4590</v>
      </c>
      <c r="O375" t="s">
        <v>21</v>
      </c>
      <c r="P375" t="str">
        <f>_xlfn.IFS(LEFT(indian_retail_raw_1000[[#This Row],[x]],1)="W", "West",LEFT(indian_retail_raw_1000[[#This Row],[x]],1)= "E","East",LEFT(O375,1) = "S", "South",LEFT(O375,1) = "N", "North")</f>
        <v>South</v>
      </c>
      <c r="Q375" t="s">
        <v>17</v>
      </c>
      <c r="R375" t="s">
        <v>16</v>
      </c>
      <c r="S375" t="str">
        <f>TEXT(indian_retail_raw_1000[[#This Row],[Order_Date]],"MMM")</f>
        <v>Null</v>
      </c>
    </row>
    <row r="376" spans="1:19" x14ac:dyDescent="0.25">
      <c r="A376" t="s">
        <v>650</v>
      </c>
      <c r="B376" s="1">
        <v>45105</v>
      </c>
      <c r="C376" t="s">
        <v>1336</v>
      </c>
      <c r="D376">
        <v>25</v>
      </c>
      <c r="E376" t="s">
        <v>23</v>
      </c>
      <c r="F376" t="s">
        <v>54</v>
      </c>
      <c r="G376" t="s">
        <v>348</v>
      </c>
      <c r="H376">
        <v>2</v>
      </c>
      <c r="I376">
        <v>2300</v>
      </c>
      <c r="K376" t="s">
        <v>25</v>
      </c>
      <c r="L376" t="s">
        <v>56</v>
      </c>
      <c r="M3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76">
        <v>4600</v>
      </c>
      <c r="O376" t="s">
        <v>38</v>
      </c>
      <c r="P376" t="str">
        <f>_xlfn.IFS(LEFT(indian_retail_raw_1000[[#This Row],[x]],1)="W", "West",LEFT(indian_retail_raw_1000[[#This Row],[x]],1)= "E","East",LEFT(O376,1) = "S", "South",LEFT(O376,1) = "N", "North")</f>
        <v>North</v>
      </c>
      <c r="Q376" t="s">
        <v>54</v>
      </c>
      <c r="R376" t="s">
        <v>23</v>
      </c>
      <c r="S376" t="str">
        <f>TEXT(indian_retail_raw_1000[[#This Row],[Order_Date]],"MMM")</f>
        <v>Jun</v>
      </c>
    </row>
    <row r="377" spans="1:19" x14ac:dyDescent="0.25">
      <c r="A377" t="s">
        <v>1119</v>
      </c>
      <c r="B377" s="1">
        <v>45048</v>
      </c>
      <c r="C377" t="s">
        <v>1336</v>
      </c>
      <c r="D377">
        <v>22</v>
      </c>
      <c r="E377" t="s">
        <v>16</v>
      </c>
      <c r="F377" t="s">
        <v>54</v>
      </c>
      <c r="G377" t="s">
        <v>348</v>
      </c>
      <c r="H377">
        <v>2</v>
      </c>
      <c r="I377">
        <v>2300</v>
      </c>
      <c r="J377">
        <v>0</v>
      </c>
      <c r="K377" t="s">
        <v>50</v>
      </c>
      <c r="L377" t="s">
        <v>51</v>
      </c>
      <c r="M3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77">
        <v>4600</v>
      </c>
      <c r="O377" t="s">
        <v>26</v>
      </c>
      <c r="P377" t="str">
        <f>_xlfn.IFS(LEFT(indian_retail_raw_1000[[#This Row],[x]],1)="W", "West",LEFT(indian_retail_raw_1000[[#This Row],[x]],1)= "E","East",LEFT(O377,1) = "S", "South",LEFT(O377,1) = "N", "North")</f>
        <v>West</v>
      </c>
      <c r="Q377" t="s">
        <v>54</v>
      </c>
      <c r="R377" t="s">
        <v>16</v>
      </c>
      <c r="S377" t="str">
        <f>TEXT(indian_retail_raw_1000[[#This Row],[Order_Date]],"MMM")</f>
        <v>May</v>
      </c>
    </row>
    <row r="378" spans="1:19" x14ac:dyDescent="0.25">
      <c r="A378" t="s">
        <v>1237</v>
      </c>
      <c r="B378" s="1">
        <v>45081</v>
      </c>
      <c r="C378" t="s">
        <v>211</v>
      </c>
      <c r="D378">
        <v>55</v>
      </c>
      <c r="E378" t="s">
        <v>16</v>
      </c>
      <c r="F378" t="s">
        <v>17</v>
      </c>
      <c r="G378" t="s">
        <v>18</v>
      </c>
      <c r="H378">
        <v>2</v>
      </c>
      <c r="I378">
        <v>2300</v>
      </c>
      <c r="J378">
        <v>0</v>
      </c>
      <c r="K378" t="s">
        <v>64</v>
      </c>
      <c r="L378" t="s">
        <v>20</v>
      </c>
      <c r="M3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78">
        <v>4600</v>
      </c>
      <c r="O378" t="s">
        <v>26</v>
      </c>
      <c r="P378" t="str">
        <f>_xlfn.IFS(LEFT(indian_retail_raw_1000[[#This Row],[x]],1)="W", "West",LEFT(indian_retail_raw_1000[[#This Row],[x]],1)= "E","East",LEFT(O378,1) = "S", "South",LEFT(O378,1) = "N", "North")</f>
        <v>West</v>
      </c>
      <c r="Q378" t="s">
        <v>17</v>
      </c>
      <c r="R378" t="s">
        <v>16</v>
      </c>
      <c r="S378" t="str">
        <f>TEXT(indian_retail_raw_1000[[#This Row],[Order_Date]],"MMM")</f>
        <v>Jun</v>
      </c>
    </row>
    <row r="379" spans="1:19" x14ac:dyDescent="0.25">
      <c r="A379" t="s">
        <v>570</v>
      </c>
      <c r="B379" s="1">
        <v>45250</v>
      </c>
      <c r="C379" t="s">
        <v>66</v>
      </c>
      <c r="D379">
        <v>37</v>
      </c>
      <c r="E379" t="s">
        <v>23</v>
      </c>
      <c r="F379" t="s">
        <v>30</v>
      </c>
      <c r="G379" t="s">
        <v>153</v>
      </c>
      <c r="H379">
        <v>2</v>
      </c>
      <c r="I379">
        <v>2303</v>
      </c>
      <c r="J379">
        <v>0</v>
      </c>
      <c r="K379" t="s">
        <v>25</v>
      </c>
      <c r="L379" t="s">
        <v>20</v>
      </c>
      <c r="M3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79">
        <v>4606</v>
      </c>
      <c r="O379" t="s">
        <v>38</v>
      </c>
      <c r="P379" t="str">
        <f>_xlfn.IFS(LEFT(indian_retail_raw_1000[[#This Row],[x]],1)="W", "West",LEFT(indian_retail_raw_1000[[#This Row],[x]],1)= "E","East",LEFT(O379,1) = "S", "South",LEFT(O379,1) = "N", "North")</f>
        <v>North</v>
      </c>
      <c r="Q379" t="s">
        <v>30</v>
      </c>
      <c r="R379" t="s">
        <v>23</v>
      </c>
      <c r="S379" t="str">
        <f>TEXT(indian_retail_raw_1000[[#This Row],[Order_Date]],"MMM")</f>
        <v>Nov</v>
      </c>
    </row>
    <row r="380" spans="1:19" x14ac:dyDescent="0.25">
      <c r="A380" t="s">
        <v>1179</v>
      </c>
      <c r="B380" s="1" t="s">
        <v>1336</v>
      </c>
      <c r="C380" t="s">
        <v>28</v>
      </c>
      <c r="D380">
        <v>42</v>
      </c>
      <c r="E380" t="s">
        <v>16</v>
      </c>
      <c r="F380" t="s">
        <v>35</v>
      </c>
      <c r="G380" t="s">
        <v>139</v>
      </c>
      <c r="H380">
        <v>7</v>
      </c>
      <c r="I380">
        <v>697</v>
      </c>
      <c r="J380">
        <v>5</v>
      </c>
      <c r="K380" t="s">
        <v>25</v>
      </c>
      <c r="L380" t="s">
        <v>20</v>
      </c>
      <c r="M3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0">
        <v>4635.05</v>
      </c>
      <c r="O380" t="s">
        <v>45</v>
      </c>
      <c r="P380" t="str">
        <f>_xlfn.IFS(LEFT(indian_retail_raw_1000[[#This Row],[x]],1)="W", "West",LEFT(indian_retail_raw_1000[[#This Row],[x]],1)= "E","East",LEFT(O380,1) = "S", "South",LEFT(O380,1) = "N", "North")</f>
        <v>East</v>
      </c>
      <c r="Q380" t="s">
        <v>35</v>
      </c>
      <c r="R380" t="s">
        <v>16</v>
      </c>
      <c r="S380" t="str">
        <f>TEXT(indian_retail_raw_1000[[#This Row],[Order_Date]],"MMM")</f>
        <v>Null</v>
      </c>
    </row>
    <row r="381" spans="1:19" x14ac:dyDescent="0.25">
      <c r="A381" t="s">
        <v>701</v>
      </c>
      <c r="B381" s="1">
        <v>45280</v>
      </c>
      <c r="C381" t="s">
        <v>152</v>
      </c>
      <c r="D381">
        <v>56</v>
      </c>
      <c r="E381" t="s">
        <v>23</v>
      </c>
      <c r="F381" t="s">
        <v>17</v>
      </c>
      <c r="G381" t="s">
        <v>259</v>
      </c>
      <c r="H381">
        <v>2</v>
      </c>
      <c r="I381">
        <v>4650</v>
      </c>
      <c r="J381">
        <v>50</v>
      </c>
      <c r="K381" t="s">
        <v>50</v>
      </c>
      <c r="L381" t="s">
        <v>20</v>
      </c>
      <c r="M3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1">
        <v>4650</v>
      </c>
      <c r="O381" t="s">
        <v>26</v>
      </c>
      <c r="P381" t="str">
        <f>_xlfn.IFS(LEFT(indian_retail_raw_1000[[#This Row],[x]],1)="W", "West",LEFT(indian_retail_raw_1000[[#This Row],[x]],1)= "E","East",LEFT(O381,1) = "S", "South",LEFT(O381,1) = "N", "North")</f>
        <v>West</v>
      </c>
      <c r="Q381" t="s">
        <v>17</v>
      </c>
      <c r="R381" t="s">
        <v>23</v>
      </c>
      <c r="S381" t="str">
        <f>TEXT(indian_retail_raw_1000[[#This Row],[Order_Date]],"MMM")</f>
        <v>Dec</v>
      </c>
    </row>
    <row r="382" spans="1:19" x14ac:dyDescent="0.25">
      <c r="A382" t="s">
        <v>678</v>
      </c>
      <c r="B382" s="1">
        <v>44961</v>
      </c>
      <c r="C382" t="s">
        <v>160</v>
      </c>
      <c r="E382" t="s">
        <v>23</v>
      </c>
      <c r="F382" t="s">
        <v>17</v>
      </c>
      <c r="G382" t="s">
        <v>189</v>
      </c>
      <c r="H382">
        <v>2</v>
      </c>
      <c r="I382">
        <v>2600</v>
      </c>
      <c r="J382">
        <v>10</v>
      </c>
      <c r="K382" t="s">
        <v>41</v>
      </c>
      <c r="L382" t="s">
        <v>100</v>
      </c>
      <c r="M3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82">
        <v>4680</v>
      </c>
      <c r="O382" t="s">
        <v>21</v>
      </c>
      <c r="P382" t="str">
        <f>_xlfn.IFS(LEFT(indian_retail_raw_1000[[#This Row],[x]],1)="W", "West",LEFT(indian_retail_raw_1000[[#This Row],[x]],1)= "E","East",LEFT(O382,1) = "S", "South",LEFT(O382,1) = "N", "North")</f>
        <v>South</v>
      </c>
      <c r="Q382" t="s">
        <v>17</v>
      </c>
      <c r="R382" t="s">
        <v>23</v>
      </c>
      <c r="S382" t="str">
        <f>TEXT(indian_retail_raw_1000[[#This Row],[Order_Date]],"MMM")</f>
        <v>Feb</v>
      </c>
    </row>
    <row r="383" spans="1:19" x14ac:dyDescent="0.25">
      <c r="A383" t="s">
        <v>1055</v>
      </c>
      <c r="B383" s="1">
        <v>45180</v>
      </c>
      <c r="C383" t="s">
        <v>156</v>
      </c>
      <c r="D383">
        <v>59</v>
      </c>
      <c r="E383" t="s">
        <v>23</v>
      </c>
      <c r="F383" t="s">
        <v>30</v>
      </c>
      <c r="G383" t="s">
        <v>218</v>
      </c>
      <c r="H383">
        <v>2</v>
      </c>
      <c r="I383">
        <v>3124</v>
      </c>
      <c r="J383">
        <v>25</v>
      </c>
      <c r="K383" t="s">
        <v>25</v>
      </c>
      <c r="L383" t="s">
        <v>20</v>
      </c>
      <c r="M3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3">
        <v>4686</v>
      </c>
      <c r="O383" t="s">
        <v>894</v>
      </c>
      <c r="P383" t="str">
        <f>_xlfn.IFS(LEFT(indian_retail_raw_1000[[#This Row],[x]],1)="W", "West",LEFT(indian_retail_raw_1000[[#This Row],[x]],1)= "E","East",LEFT(O383,1) = "S", "South",LEFT(O383,1) = "N", "North")</f>
        <v>North</v>
      </c>
      <c r="Q383" t="s">
        <v>30</v>
      </c>
      <c r="R383" t="s">
        <v>23</v>
      </c>
      <c r="S383" t="str">
        <f>TEXT(indian_retail_raw_1000[[#This Row],[Order_Date]],"MMM")</f>
        <v>Sep</v>
      </c>
    </row>
    <row r="384" spans="1:19" x14ac:dyDescent="0.25">
      <c r="A384" t="s">
        <v>1138</v>
      </c>
      <c r="B384" s="1" t="s">
        <v>1336</v>
      </c>
      <c r="C384" t="s">
        <v>587</v>
      </c>
      <c r="D384">
        <v>53</v>
      </c>
      <c r="E384" t="s">
        <v>23</v>
      </c>
      <c r="F384" t="s">
        <v>569</v>
      </c>
      <c r="G384" t="s">
        <v>257</v>
      </c>
      <c r="H384">
        <v>4</v>
      </c>
      <c r="I384">
        <v>1186</v>
      </c>
      <c r="K384" t="s">
        <v>41</v>
      </c>
      <c r="L384" t="s">
        <v>20</v>
      </c>
      <c r="M3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4">
        <v>4744</v>
      </c>
      <c r="O384" t="s">
        <v>38</v>
      </c>
      <c r="P384" t="str">
        <f>_xlfn.IFS(LEFT(indian_retail_raw_1000[[#This Row],[x]],1)="W", "West",LEFT(indian_retail_raw_1000[[#This Row],[x]],1)= "E","East",LEFT(O384,1) = "S", "South",LEFT(O384,1) = "N", "North")</f>
        <v>North</v>
      </c>
      <c r="Q384" t="s">
        <v>35</v>
      </c>
      <c r="R384" t="s">
        <v>23</v>
      </c>
      <c r="S384" t="str">
        <f>TEXT(indian_retail_raw_1000[[#This Row],[Order_Date]],"MMM")</f>
        <v>Null</v>
      </c>
    </row>
    <row r="385" spans="1:19" x14ac:dyDescent="0.25">
      <c r="A385" t="s">
        <v>1181</v>
      </c>
      <c r="B385" s="1" t="s">
        <v>1336</v>
      </c>
      <c r="C385" t="s">
        <v>165</v>
      </c>
      <c r="D385">
        <v>47</v>
      </c>
      <c r="E385" t="s">
        <v>16</v>
      </c>
      <c r="F385" t="s">
        <v>30</v>
      </c>
      <c r="G385" t="s">
        <v>130</v>
      </c>
      <c r="H385">
        <v>3</v>
      </c>
      <c r="I385">
        <v>2125</v>
      </c>
      <c r="J385">
        <v>25</v>
      </c>
      <c r="K385" t="s">
        <v>531</v>
      </c>
      <c r="L385" t="s">
        <v>20</v>
      </c>
      <c r="M3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5">
        <v>4781.25</v>
      </c>
      <c r="O385" t="s">
        <v>379</v>
      </c>
      <c r="P385" t="str">
        <f>_xlfn.IFS(LEFT(indian_retail_raw_1000[[#This Row],[x]],1)="W", "West",LEFT(indian_retail_raw_1000[[#This Row],[x]],1)= "E","East",LEFT(O385,1) = "S", "South",LEFT(O385,1) = "N", "North")</f>
        <v>South</v>
      </c>
      <c r="Q385" t="s">
        <v>30</v>
      </c>
      <c r="R385" t="s">
        <v>16</v>
      </c>
      <c r="S385" t="str">
        <f>TEXT(indian_retail_raw_1000[[#This Row],[Order_Date]],"MMM")</f>
        <v>Null</v>
      </c>
    </row>
    <row r="386" spans="1:19" x14ac:dyDescent="0.25">
      <c r="A386" t="s">
        <v>508</v>
      </c>
      <c r="B386" s="1">
        <v>45117</v>
      </c>
      <c r="C386" t="s">
        <v>192</v>
      </c>
      <c r="D386">
        <v>32</v>
      </c>
      <c r="E386" t="s">
        <v>490</v>
      </c>
      <c r="F386" t="s">
        <v>17</v>
      </c>
      <c r="G386" t="s">
        <v>18</v>
      </c>
      <c r="H386">
        <v>2</v>
      </c>
      <c r="I386">
        <v>3000</v>
      </c>
      <c r="J386">
        <v>20</v>
      </c>
      <c r="K386" t="s">
        <v>19</v>
      </c>
      <c r="L386" t="s">
        <v>20</v>
      </c>
      <c r="M3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6">
        <v>4800</v>
      </c>
      <c r="O386" t="s">
        <v>38</v>
      </c>
      <c r="P386" t="str">
        <f>_xlfn.IFS(LEFT(indian_retail_raw_1000[[#This Row],[x]],1)="W", "West",LEFT(indian_retail_raw_1000[[#This Row],[x]],1)= "E","East",LEFT(O386,1) = "S", "South",LEFT(O386,1) = "N", "North")</f>
        <v>North</v>
      </c>
      <c r="Q386" t="s">
        <v>17</v>
      </c>
      <c r="R386" t="s">
        <v>16</v>
      </c>
      <c r="S386" t="str">
        <f>TEXT(indian_retail_raw_1000[[#This Row],[Order_Date]],"MMM")</f>
        <v>Jul</v>
      </c>
    </row>
    <row r="387" spans="1:19" x14ac:dyDescent="0.25">
      <c r="A387" t="s">
        <v>1294</v>
      </c>
      <c r="B387" s="1">
        <v>45234</v>
      </c>
      <c r="C387" t="s">
        <v>66</v>
      </c>
      <c r="D387">
        <v>20</v>
      </c>
      <c r="E387" t="s">
        <v>23</v>
      </c>
      <c r="F387" t="s">
        <v>17</v>
      </c>
      <c r="G387" t="s">
        <v>80</v>
      </c>
      <c r="H387">
        <v>1</v>
      </c>
      <c r="I387">
        <v>4800</v>
      </c>
      <c r="K387" t="s">
        <v>83</v>
      </c>
      <c r="L387" t="s">
        <v>56</v>
      </c>
      <c r="M3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87">
        <v>4800</v>
      </c>
      <c r="O387" t="s">
        <v>21</v>
      </c>
      <c r="P387" t="str">
        <f>_xlfn.IFS(LEFT(indian_retail_raw_1000[[#This Row],[x]],1)="W", "West",LEFT(indian_retail_raw_1000[[#This Row],[x]],1)= "E","East",LEFT(O387,1) = "S", "South",LEFT(O387,1) = "N", "North")</f>
        <v>South</v>
      </c>
      <c r="Q387" t="s">
        <v>17</v>
      </c>
      <c r="R387" t="s">
        <v>23</v>
      </c>
      <c r="S387" t="str">
        <f>TEXT(indian_retail_raw_1000[[#This Row],[Order_Date]],"MMM")</f>
        <v>Nov</v>
      </c>
    </row>
    <row r="388" spans="1:19" x14ac:dyDescent="0.25">
      <c r="A388" t="s">
        <v>209</v>
      </c>
      <c r="B388" s="1">
        <v>45113</v>
      </c>
      <c r="C388" t="s">
        <v>165</v>
      </c>
      <c r="D388">
        <v>42</v>
      </c>
      <c r="E388" t="s">
        <v>23</v>
      </c>
      <c r="F388" t="s">
        <v>17</v>
      </c>
      <c r="G388" t="s">
        <v>117</v>
      </c>
      <c r="H388">
        <v>1</v>
      </c>
      <c r="I388">
        <v>5350</v>
      </c>
      <c r="J388">
        <v>10</v>
      </c>
      <c r="K388" t="s">
        <v>19</v>
      </c>
      <c r="L388" t="s">
        <v>20</v>
      </c>
      <c r="M3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8">
        <v>4815</v>
      </c>
      <c r="O388" t="s">
        <v>26</v>
      </c>
      <c r="P388" t="str">
        <f>_xlfn.IFS(LEFT(indian_retail_raw_1000[[#This Row],[x]],1)="W", "West",LEFT(indian_retail_raw_1000[[#This Row],[x]],1)= "E","East",LEFT(O388,1) = "S", "South",LEFT(O388,1) = "N", "North")</f>
        <v>West</v>
      </c>
      <c r="Q388" t="s">
        <v>17</v>
      </c>
      <c r="R388" t="s">
        <v>23</v>
      </c>
      <c r="S388" t="str">
        <f>TEXT(indian_retail_raw_1000[[#This Row],[Order_Date]],"MMM")</f>
        <v>Jul</v>
      </c>
    </row>
    <row r="389" spans="1:19" x14ac:dyDescent="0.25">
      <c r="A389" t="s">
        <v>247</v>
      </c>
      <c r="B389" s="1" t="s">
        <v>1336</v>
      </c>
      <c r="C389" t="s">
        <v>170</v>
      </c>
      <c r="D389">
        <v>51</v>
      </c>
      <c r="E389" t="s">
        <v>16</v>
      </c>
      <c r="F389" t="s">
        <v>30</v>
      </c>
      <c r="G389" t="s">
        <v>130</v>
      </c>
      <c r="H389">
        <v>5</v>
      </c>
      <c r="I389">
        <v>1927</v>
      </c>
      <c r="J389">
        <v>50</v>
      </c>
      <c r="K389" t="s">
        <v>41</v>
      </c>
      <c r="L389" t="s">
        <v>20</v>
      </c>
      <c r="M3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9">
        <v>4817.5</v>
      </c>
      <c r="O389" t="s">
        <v>26</v>
      </c>
      <c r="P389" t="str">
        <f>_xlfn.IFS(LEFT(indian_retail_raw_1000[[#This Row],[x]],1)="W", "West",LEFT(indian_retail_raw_1000[[#This Row],[x]],1)= "E","East",LEFT(O389,1) = "S", "South",LEFT(O389,1) = "N", "North")</f>
        <v>West</v>
      </c>
      <c r="Q389" t="s">
        <v>30</v>
      </c>
      <c r="R389" t="s">
        <v>16</v>
      </c>
      <c r="S389" t="str">
        <f>TEXT(indian_retail_raw_1000[[#This Row],[Order_Date]],"MMM")</f>
        <v>Null</v>
      </c>
    </row>
    <row r="390" spans="1:19" x14ac:dyDescent="0.25">
      <c r="A390" t="s">
        <v>444</v>
      </c>
      <c r="B390" s="1">
        <v>45046</v>
      </c>
      <c r="C390" t="s">
        <v>152</v>
      </c>
      <c r="D390">
        <v>48</v>
      </c>
      <c r="E390" t="s">
        <v>23</v>
      </c>
      <c r="F390" t="s">
        <v>30</v>
      </c>
      <c r="G390" t="s">
        <v>235</v>
      </c>
      <c r="H390">
        <v>2</v>
      </c>
      <c r="I390">
        <v>2412</v>
      </c>
      <c r="J390">
        <v>0</v>
      </c>
      <c r="K390" t="s">
        <v>445</v>
      </c>
      <c r="L390" t="s">
        <v>56</v>
      </c>
      <c r="M3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90">
        <v>4824</v>
      </c>
      <c r="O390" t="s">
        <v>349</v>
      </c>
      <c r="P390" t="str">
        <f>_xlfn.IFS(LEFT(indian_retail_raw_1000[[#This Row],[x]],1)="W", "West",LEFT(indian_retail_raw_1000[[#This Row],[x]],1)= "E","East",LEFT(O390,1) = "S", "South",LEFT(O390,1) = "N", "North")</f>
        <v>South</v>
      </c>
      <c r="Q390" t="s">
        <v>30</v>
      </c>
      <c r="R390" t="s">
        <v>23</v>
      </c>
      <c r="S390" t="str">
        <f>TEXT(indian_retail_raw_1000[[#This Row],[Order_Date]],"MMM")</f>
        <v>Apr</v>
      </c>
    </row>
    <row r="391" spans="1:19" x14ac:dyDescent="0.25">
      <c r="A391" t="s">
        <v>547</v>
      </c>
      <c r="B391" s="1">
        <v>45247</v>
      </c>
      <c r="C391" t="s">
        <v>160</v>
      </c>
      <c r="D391">
        <v>57</v>
      </c>
      <c r="E391" t="s">
        <v>23</v>
      </c>
      <c r="F391" t="s">
        <v>30</v>
      </c>
      <c r="G391" t="s">
        <v>224</v>
      </c>
      <c r="H391">
        <v>8</v>
      </c>
      <c r="I391">
        <v>864</v>
      </c>
      <c r="J391">
        <v>30</v>
      </c>
      <c r="K391" t="s">
        <v>50</v>
      </c>
      <c r="L391" t="s">
        <v>20</v>
      </c>
      <c r="M3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1">
        <v>4838.3999999999996</v>
      </c>
      <c r="O391" t="s">
        <v>45</v>
      </c>
      <c r="P391" t="str">
        <f>_xlfn.IFS(LEFT(indian_retail_raw_1000[[#This Row],[x]],1)="W", "West",LEFT(indian_retail_raw_1000[[#This Row],[x]],1)= "E","East",LEFT(O391,1) = "S", "South",LEFT(O391,1) = "N", "North")</f>
        <v>East</v>
      </c>
      <c r="Q391" t="s">
        <v>30</v>
      </c>
      <c r="R391" t="s">
        <v>23</v>
      </c>
      <c r="S391" t="str">
        <f>TEXT(indian_retail_raw_1000[[#This Row],[Order_Date]],"MMM")</f>
        <v>Nov</v>
      </c>
    </row>
    <row r="392" spans="1:19" x14ac:dyDescent="0.25">
      <c r="A392" t="s">
        <v>721</v>
      </c>
      <c r="B392" s="1">
        <v>44960</v>
      </c>
      <c r="C392" t="s">
        <v>1336</v>
      </c>
      <c r="D392">
        <v>48</v>
      </c>
      <c r="E392" t="s">
        <v>23</v>
      </c>
      <c r="F392" t="s">
        <v>35</v>
      </c>
      <c r="G392" t="s">
        <v>158</v>
      </c>
      <c r="H392">
        <v>4</v>
      </c>
      <c r="I392">
        <v>808</v>
      </c>
      <c r="J392">
        <v>50</v>
      </c>
      <c r="K392" t="s">
        <v>25</v>
      </c>
      <c r="L392" t="s">
        <v>20</v>
      </c>
      <c r="M3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2">
        <v>4848</v>
      </c>
      <c r="O392" t="s">
        <v>45</v>
      </c>
      <c r="P392" t="str">
        <f>_xlfn.IFS(LEFT(indian_retail_raw_1000[[#This Row],[x]],1)="W", "West",LEFT(indian_retail_raw_1000[[#This Row],[x]],1)= "E","East",LEFT(O392,1) = "S", "South",LEFT(O392,1) = "N", "North")</f>
        <v>East</v>
      </c>
      <c r="Q392" t="s">
        <v>35</v>
      </c>
      <c r="R392" t="s">
        <v>23</v>
      </c>
      <c r="S392" t="str">
        <f>TEXT(indian_retail_raw_1000[[#This Row],[Order_Date]],"MMM")</f>
        <v>Feb</v>
      </c>
    </row>
    <row r="393" spans="1:19" x14ac:dyDescent="0.25">
      <c r="A393" t="s">
        <v>903</v>
      </c>
      <c r="B393" s="1">
        <v>45094</v>
      </c>
      <c r="C393" t="s">
        <v>217</v>
      </c>
      <c r="D393">
        <v>46</v>
      </c>
      <c r="E393" t="s">
        <v>16</v>
      </c>
      <c r="F393" t="s">
        <v>30</v>
      </c>
      <c r="G393" t="s">
        <v>153</v>
      </c>
      <c r="H393">
        <v>6</v>
      </c>
      <c r="I393">
        <v>1078</v>
      </c>
      <c r="J393">
        <v>25</v>
      </c>
      <c r="K393" t="s">
        <v>50</v>
      </c>
      <c r="L393" t="s">
        <v>20</v>
      </c>
      <c r="M3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3">
        <v>4851</v>
      </c>
      <c r="O393" t="s">
        <v>45</v>
      </c>
      <c r="P393" t="str">
        <f>_xlfn.IFS(LEFT(indian_retail_raw_1000[[#This Row],[x]],1)="W", "West",LEFT(indian_retail_raw_1000[[#This Row],[x]],1)= "E","East",LEFT(O393,1) = "S", "South",LEFT(O393,1) = "N", "North")</f>
        <v>East</v>
      </c>
      <c r="Q393" t="s">
        <v>30</v>
      </c>
      <c r="R393" t="s">
        <v>16</v>
      </c>
      <c r="S393" t="str">
        <f>TEXT(indian_retail_raw_1000[[#This Row],[Order_Date]],"MMM")</f>
        <v>Jun</v>
      </c>
    </row>
    <row r="394" spans="1:19" x14ac:dyDescent="0.25">
      <c r="A394" t="s">
        <v>1115</v>
      </c>
      <c r="B394" s="1">
        <v>44962</v>
      </c>
      <c r="C394" t="s">
        <v>62</v>
      </c>
      <c r="D394">
        <v>31</v>
      </c>
      <c r="E394" t="s">
        <v>23</v>
      </c>
      <c r="F394" t="s">
        <v>30</v>
      </c>
      <c r="G394" t="s">
        <v>130</v>
      </c>
      <c r="H394">
        <v>4</v>
      </c>
      <c r="I394">
        <v>2430</v>
      </c>
      <c r="J394">
        <v>50</v>
      </c>
      <c r="K394" t="s">
        <v>487</v>
      </c>
      <c r="L394" t="s">
        <v>20</v>
      </c>
      <c r="M3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4">
        <v>4860</v>
      </c>
      <c r="O394" t="s">
        <v>21</v>
      </c>
      <c r="P394" t="str">
        <f>_xlfn.IFS(LEFT(indian_retail_raw_1000[[#This Row],[x]],1)="W", "West",LEFT(indian_retail_raw_1000[[#This Row],[x]],1)= "E","East",LEFT(O394,1) = "S", "South",LEFT(O394,1) = "N", "North")</f>
        <v>South</v>
      </c>
      <c r="Q394" t="s">
        <v>30</v>
      </c>
      <c r="R394" t="s">
        <v>23</v>
      </c>
      <c r="S394" t="str">
        <f>TEXT(indian_retail_raw_1000[[#This Row],[Order_Date]],"MMM")</f>
        <v>Feb</v>
      </c>
    </row>
    <row r="395" spans="1:19" x14ac:dyDescent="0.25">
      <c r="A395" t="s">
        <v>518</v>
      </c>
      <c r="B395" s="1">
        <v>45057</v>
      </c>
      <c r="C395" t="s">
        <v>1336</v>
      </c>
      <c r="D395">
        <v>61</v>
      </c>
      <c r="E395" t="s">
        <v>23</v>
      </c>
      <c r="F395" t="s">
        <v>17</v>
      </c>
      <c r="G395" t="s">
        <v>259</v>
      </c>
      <c r="H395">
        <v>1</v>
      </c>
      <c r="I395">
        <v>4900</v>
      </c>
      <c r="K395" t="s">
        <v>50</v>
      </c>
      <c r="L395" t="s">
        <v>20</v>
      </c>
      <c r="M3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5">
        <v>4900</v>
      </c>
      <c r="O395" t="s">
        <v>74</v>
      </c>
      <c r="P395" t="str">
        <f>_xlfn.IFS(LEFT(indian_retail_raw_1000[[#This Row],[x]],1)="W", "West",LEFT(indian_retail_raw_1000[[#This Row],[x]],1)= "E","East",LEFT(O395,1) = "S", "South",LEFT(O395,1) = "N", "North")</f>
        <v>West</v>
      </c>
      <c r="Q395" t="s">
        <v>17</v>
      </c>
      <c r="R395" t="s">
        <v>23</v>
      </c>
      <c r="S395" t="str">
        <f>TEXT(indian_retail_raw_1000[[#This Row],[Order_Date]],"MMM")</f>
        <v>May</v>
      </c>
    </row>
    <row r="396" spans="1:19" x14ac:dyDescent="0.25">
      <c r="A396" t="s">
        <v>928</v>
      </c>
      <c r="B396" s="1" t="s">
        <v>1336</v>
      </c>
      <c r="C396" t="s">
        <v>265</v>
      </c>
      <c r="D396">
        <v>150</v>
      </c>
      <c r="E396" t="s">
        <v>16</v>
      </c>
      <c r="F396" t="s">
        <v>35</v>
      </c>
      <c r="G396" t="s">
        <v>158</v>
      </c>
      <c r="H396">
        <v>10</v>
      </c>
      <c r="I396">
        <v>492</v>
      </c>
      <c r="J396">
        <v>0</v>
      </c>
      <c r="K396" t="s">
        <v>89</v>
      </c>
      <c r="L396" t="s">
        <v>20</v>
      </c>
      <c r="M3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6">
        <v>4920</v>
      </c>
      <c r="O396" t="s">
        <v>149</v>
      </c>
      <c r="P396" t="str">
        <f>_xlfn.IFS(LEFT(indian_retail_raw_1000[[#This Row],[x]],1)="W", "West",LEFT(indian_retail_raw_1000[[#This Row],[x]],1)= "E","East",LEFT(O396,1) = "S", "South",LEFT(O396,1) = "N", "North")</f>
        <v>West</v>
      </c>
      <c r="Q396" t="s">
        <v>35</v>
      </c>
      <c r="R396" t="s">
        <v>16</v>
      </c>
      <c r="S396" t="str">
        <f>TEXT(indian_retail_raw_1000[[#This Row],[Order_Date]],"MMM")</f>
        <v>Null</v>
      </c>
    </row>
    <row r="397" spans="1:19" x14ac:dyDescent="0.25">
      <c r="A397" t="s">
        <v>1046</v>
      </c>
      <c r="B397" s="1">
        <v>45178</v>
      </c>
      <c r="C397" t="s">
        <v>165</v>
      </c>
      <c r="D397">
        <v>60</v>
      </c>
      <c r="E397" t="s">
        <v>16</v>
      </c>
      <c r="F397" t="s">
        <v>35</v>
      </c>
      <c r="G397" t="s">
        <v>139</v>
      </c>
      <c r="H397">
        <v>6</v>
      </c>
      <c r="I397">
        <v>864</v>
      </c>
      <c r="J397">
        <v>5</v>
      </c>
      <c r="K397" t="s">
        <v>64</v>
      </c>
      <c r="L397" t="s">
        <v>56</v>
      </c>
      <c r="M3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97">
        <v>4924.8</v>
      </c>
      <c r="O397" t="s">
        <v>149</v>
      </c>
      <c r="P397" t="str">
        <f>_xlfn.IFS(LEFT(indian_retail_raw_1000[[#This Row],[x]],1)="W", "West",LEFT(indian_retail_raw_1000[[#This Row],[x]],1)= "E","East",LEFT(O397,1) = "S", "South",LEFT(O397,1) = "N", "North")</f>
        <v>West</v>
      </c>
      <c r="Q397" t="s">
        <v>35</v>
      </c>
      <c r="R397" t="s">
        <v>16</v>
      </c>
      <c r="S397" t="str">
        <f>TEXT(indian_retail_raw_1000[[#This Row],[Order_Date]],"MMM")</f>
        <v>Sep</v>
      </c>
    </row>
    <row r="398" spans="1:19" x14ac:dyDescent="0.25">
      <c r="A398" t="s">
        <v>1023</v>
      </c>
      <c r="B398" s="1">
        <v>45048</v>
      </c>
      <c r="C398" t="s">
        <v>173</v>
      </c>
      <c r="E398" t="s">
        <v>16</v>
      </c>
      <c r="F398" t="s">
        <v>35</v>
      </c>
      <c r="G398" t="s">
        <v>139</v>
      </c>
      <c r="H398">
        <v>7</v>
      </c>
      <c r="I398">
        <v>708</v>
      </c>
      <c r="J398">
        <v>0</v>
      </c>
      <c r="K398" t="s">
        <v>41</v>
      </c>
      <c r="L398" t="s">
        <v>20</v>
      </c>
      <c r="M3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8">
        <v>4956</v>
      </c>
      <c r="O398" t="s">
        <v>122</v>
      </c>
      <c r="P398" t="str">
        <f>_xlfn.IFS(LEFT(indian_retail_raw_1000[[#This Row],[x]],1)="W", "West",LEFT(indian_retail_raw_1000[[#This Row],[x]],1)= "E","East",LEFT(O398,1) = "S", "South",LEFT(O398,1) = "N", "North")</f>
        <v>East</v>
      </c>
      <c r="Q398" t="s">
        <v>35</v>
      </c>
      <c r="R398" t="s">
        <v>16</v>
      </c>
      <c r="S398" t="str">
        <f>TEXT(indian_retail_raw_1000[[#This Row],[Order_Date]],"MMM")</f>
        <v>May</v>
      </c>
    </row>
    <row r="399" spans="1:19" x14ac:dyDescent="0.25">
      <c r="A399" t="s">
        <v>1002</v>
      </c>
      <c r="B399" s="1">
        <v>45249</v>
      </c>
      <c r="C399" t="s">
        <v>217</v>
      </c>
      <c r="D399">
        <v>20</v>
      </c>
      <c r="E399" t="s">
        <v>16</v>
      </c>
      <c r="F399" t="s">
        <v>35</v>
      </c>
      <c r="G399" t="s">
        <v>257</v>
      </c>
      <c r="H399">
        <v>9</v>
      </c>
      <c r="I399">
        <v>1102</v>
      </c>
      <c r="J399">
        <v>50</v>
      </c>
      <c r="K399" t="s">
        <v>25</v>
      </c>
      <c r="L399" t="s">
        <v>56</v>
      </c>
      <c r="M3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99">
        <v>4959</v>
      </c>
      <c r="O399" t="s">
        <v>21</v>
      </c>
      <c r="P399" t="str">
        <f>_xlfn.IFS(LEFT(indian_retail_raw_1000[[#This Row],[x]],1)="W", "West",LEFT(indian_retail_raw_1000[[#This Row],[x]],1)= "E","East",LEFT(O399,1) = "S", "South",LEFT(O399,1) = "N", "North")</f>
        <v>South</v>
      </c>
      <c r="Q399" t="s">
        <v>35</v>
      </c>
      <c r="R399" t="s">
        <v>16</v>
      </c>
      <c r="S399" t="str">
        <f>TEXT(indian_retail_raw_1000[[#This Row],[Order_Date]],"MMM")</f>
        <v>Nov</v>
      </c>
    </row>
    <row r="400" spans="1:19" x14ac:dyDescent="0.25">
      <c r="A400" t="s">
        <v>1275</v>
      </c>
      <c r="B400" s="1">
        <v>45178</v>
      </c>
      <c r="C400" t="s">
        <v>142</v>
      </c>
      <c r="D400">
        <v>51</v>
      </c>
      <c r="E400" t="s">
        <v>138</v>
      </c>
      <c r="F400" t="s">
        <v>759</v>
      </c>
      <c r="G400" t="s">
        <v>235</v>
      </c>
      <c r="H400">
        <v>2</v>
      </c>
      <c r="I400">
        <v>2482</v>
      </c>
      <c r="J400">
        <v>0</v>
      </c>
      <c r="K400" t="s">
        <v>41</v>
      </c>
      <c r="L400" t="s">
        <v>51</v>
      </c>
      <c r="M4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00">
        <v>4964</v>
      </c>
      <c r="O400" t="s">
        <v>21</v>
      </c>
      <c r="P400" t="str">
        <f>_xlfn.IFS(LEFT(indian_retail_raw_1000[[#This Row],[x]],1)="W", "West",LEFT(indian_retail_raw_1000[[#This Row],[x]],1)= "E","East",LEFT(O400,1) = "S", "South",LEFT(O400,1) = "N", "North")</f>
        <v>South</v>
      </c>
      <c r="Q400" t="s">
        <v>30</v>
      </c>
      <c r="R400" t="s">
        <v>138</v>
      </c>
      <c r="S400" t="str">
        <f>TEXT(indian_retail_raw_1000[[#This Row],[Order_Date]],"MMM")</f>
        <v>Sep</v>
      </c>
    </row>
    <row r="401" spans="1:19" x14ac:dyDescent="0.25">
      <c r="A401" t="s">
        <v>1207</v>
      </c>
      <c r="B401" s="1">
        <v>44960</v>
      </c>
      <c r="C401" t="s">
        <v>757</v>
      </c>
      <c r="D401">
        <v>27</v>
      </c>
      <c r="E401" t="s">
        <v>16</v>
      </c>
      <c r="F401" t="s">
        <v>17</v>
      </c>
      <c r="G401" t="s">
        <v>94</v>
      </c>
      <c r="H401">
        <v>3</v>
      </c>
      <c r="I401">
        <v>1850</v>
      </c>
      <c r="J401">
        <v>10</v>
      </c>
      <c r="K401" t="s">
        <v>41</v>
      </c>
      <c r="L401" t="s">
        <v>51</v>
      </c>
      <c r="M4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01">
        <v>4995</v>
      </c>
      <c r="O401" t="s">
        <v>21</v>
      </c>
      <c r="P401" t="str">
        <f>_xlfn.IFS(LEFT(indian_retail_raw_1000[[#This Row],[x]],1)="W", "West",LEFT(indian_retail_raw_1000[[#This Row],[x]],1)= "E","East",LEFT(O401,1) = "S", "South",LEFT(O401,1) = "N", "North")</f>
        <v>South</v>
      </c>
      <c r="Q401" t="s">
        <v>17</v>
      </c>
      <c r="R401" t="s">
        <v>16</v>
      </c>
      <c r="S401" t="str">
        <f>TEXT(indian_retail_raw_1000[[#This Row],[Order_Date]],"MMM")</f>
        <v>Feb</v>
      </c>
    </row>
    <row r="402" spans="1:19" x14ac:dyDescent="0.25">
      <c r="A402" t="s">
        <v>606</v>
      </c>
      <c r="B402" s="1" t="s">
        <v>1336</v>
      </c>
      <c r="C402" t="s">
        <v>1336</v>
      </c>
      <c r="D402">
        <v>33</v>
      </c>
      <c r="E402" t="s">
        <v>23</v>
      </c>
      <c r="F402" t="s">
        <v>608</v>
      </c>
      <c r="G402" t="s">
        <v>92</v>
      </c>
      <c r="H402">
        <v>1</v>
      </c>
      <c r="I402">
        <v>5000</v>
      </c>
      <c r="J402">
        <v>0</v>
      </c>
      <c r="K402" t="s">
        <v>19</v>
      </c>
      <c r="L402" t="s">
        <v>20</v>
      </c>
      <c r="M4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02">
        <v>5000</v>
      </c>
      <c r="O402" t="s">
        <v>38</v>
      </c>
      <c r="P402" t="str">
        <f>_xlfn.IFS(LEFT(indian_retail_raw_1000[[#This Row],[x]],1)="W", "West",LEFT(indian_retail_raw_1000[[#This Row],[x]],1)= "E","East",LEFT(O402,1) = "S", "South",LEFT(O402,1) = "N", "North")</f>
        <v>North</v>
      </c>
      <c r="Q402" t="s">
        <v>54</v>
      </c>
      <c r="R402" t="s">
        <v>23</v>
      </c>
      <c r="S402" t="str">
        <f>TEXT(indian_retail_raw_1000[[#This Row],[Order_Date]],"MMM")</f>
        <v>Null</v>
      </c>
    </row>
    <row r="403" spans="1:19" x14ac:dyDescent="0.25">
      <c r="A403" t="s">
        <v>1240</v>
      </c>
      <c r="B403" s="1">
        <v>44983</v>
      </c>
      <c r="C403" t="s">
        <v>1336</v>
      </c>
      <c r="D403">
        <v>52</v>
      </c>
      <c r="E403" t="s">
        <v>146</v>
      </c>
      <c r="F403" t="s">
        <v>30</v>
      </c>
      <c r="G403" t="s">
        <v>294</v>
      </c>
      <c r="H403">
        <v>8</v>
      </c>
      <c r="I403">
        <v>628</v>
      </c>
      <c r="J403">
        <v>0</v>
      </c>
      <c r="K403" t="s">
        <v>25</v>
      </c>
      <c r="L403" t="s">
        <v>56</v>
      </c>
      <c r="M4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03">
        <v>5024</v>
      </c>
      <c r="O403" t="s">
        <v>21</v>
      </c>
      <c r="P403" t="str">
        <f>_xlfn.IFS(LEFT(indian_retail_raw_1000[[#This Row],[x]],1)="W", "West",LEFT(indian_retail_raw_1000[[#This Row],[x]],1)= "E","East",LEFT(O403,1) = "S", "South",LEFT(O403,1) = "N", "North")</f>
        <v>South</v>
      </c>
      <c r="Q403" t="s">
        <v>30</v>
      </c>
      <c r="R403" t="s">
        <v>16</v>
      </c>
      <c r="S403" t="str">
        <f>TEXT(indian_retail_raw_1000[[#This Row],[Order_Date]],"MMM")</f>
        <v>Feb</v>
      </c>
    </row>
    <row r="404" spans="1:19" x14ac:dyDescent="0.25">
      <c r="A404" t="s">
        <v>728</v>
      </c>
      <c r="B404" s="1">
        <v>45133</v>
      </c>
      <c r="C404" t="s">
        <v>1336</v>
      </c>
      <c r="D404">
        <v>63</v>
      </c>
      <c r="E404" t="s">
        <v>23</v>
      </c>
      <c r="F404" t="s">
        <v>30</v>
      </c>
      <c r="G404" t="s">
        <v>224</v>
      </c>
      <c r="H404">
        <v>4</v>
      </c>
      <c r="I404">
        <v>1257</v>
      </c>
      <c r="K404" t="s">
        <v>83</v>
      </c>
      <c r="L404" t="s">
        <v>20</v>
      </c>
      <c r="M4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04">
        <v>5028</v>
      </c>
      <c r="O404" t="s">
        <v>21</v>
      </c>
      <c r="P404" t="str">
        <f>_xlfn.IFS(LEFT(indian_retail_raw_1000[[#This Row],[x]],1)="W", "West",LEFT(indian_retail_raw_1000[[#This Row],[x]],1)= "E","East",LEFT(O404,1) = "S", "South",LEFT(O404,1) = "N", "North")</f>
        <v>South</v>
      </c>
      <c r="Q404" t="s">
        <v>30</v>
      </c>
      <c r="R404" t="s">
        <v>23</v>
      </c>
      <c r="S404" t="str">
        <f>TEXT(indian_retail_raw_1000[[#This Row],[Order_Date]],"MMM")</f>
        <v>Jul</v>
      </c>
    </row>
    <row r="405" spans="1:19" x14ac:dyDescent="0.25">
      <c r="A405" t="s">
        <v>770</v>
      </c>
      <c r="B405" s="1" t="s">
        <v>1336</v>
      </c>
      <c r="C405" t="s">
        <v>53</v>
      </c>
      <c r="E405" t="s">
        <v>16</v>
      </c>
      <c r="F405" t="s">
        <v>35</v>
      </c>
      <c r="G405" t="s">
        <v>99</v>
      </c>
      <c r="H405">
        <v>6</v>
      </c>
      <c r="I405">
        <v>1199</v>
      </c>
      <c r="J405">
        <v>30</v>
      </c>
      <c r="K405" t="s">
        <v>41</v>
      </c>
      <c r="L405" t="s">
        <v>20</v>
      </c>
      <c r="M4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05">
        <v>5035.8</v>
      </c>
      <c r="O405" t="s">
        <v>45</v>
      </c>
      <c r="P405" t="str">
        <f>_xlfn.IFS(LEFT(indian_retail_raw_1000[[#This Row],[x]],1)="W", "West",LEFT(indian_retail_raw_1000[[#This Row],[x]],1)= "E","East",LEFT(O405,1) = "S", "South",LEFT(O405,1) = "N", "North")</f>
        <v>East</v>
      </c>
      <c r="Q405" t="s">
        <v>35</v>
      </c>
      <c r="R405" t="s">
        <v>16</v>
      </c>
      <c r="S405" t="str">
        <f>TEXT(indian_retail_raw_1000[[#This Row],[Order_Date]],"MMM")</f>
        <v>Null</v>
      </c>
    </row>
    <row r="406" spans="1:19" x14ac:dyDescent="0.25">
      <c r="A406" t="s">
        <v>934</v>
      </c>
      <c r="B406" s="1">
        <v>45100</v>
      </c>
      <c r="C406" t="s">
        <v>393</v>
      </c>
      <c r="E406" t="s">
        <v>16</v>
      </c>
      <c r="F406" t="s">
        <v>17</v>
      </c>
      <c r="G406" t="s">
        <v>186</v>
      </c>
      <c r="H406">
        <v>2</v>
      </c>
      <c r="I406">
        <v>2800</v>
      </c>
      <c r="J406">
        <v>10</v>
      </c>
      <c r="K406" t="s">
        <v>41</v>
      </c>
      <c r="L406" t="s">
        <v>51</v>
      </c>
      <c r="M4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06">
        <v>5040</v>
      </c>
      <c r="O406" t="s">
        <v>38</v>
      </c>
      <c r="P406" t="str">
        <f>_xlfn.IFS(LEFT(indian_retail_raw_1000[[#This Row],[x]],1)="W", "West",LEFT(indian_retail_raw_1000[[#This Row],[x]],1)= "E","East",LEFT(O406,1) = "S", "South",LEFT(O406,1) = "N", "North")</f>
        <v>North</v>
      </c>
      <c r="Q406" t="s">
        <v>17</v>
      </c>
      <c r="R406" t="s">
        <v>16</v>
      </c>
      <c r="S406" t="str">
        <f>TEXT(indian_retail_raw_1000[[#This Row],[Order_Date]],"MMM")</f>
        <v>Jun</v>
      </c>
    </row>
    <row r="407" spans="1:19" x14ac:dyDescent="0.25">
      <c r="A407" t="s">
        <v>1273</v>
      </c>
      <c r="B407" s="1">
        <v>45003</v>
      </c>
      <c r="C407" t="s">
        <v>243</v>
      </c>
      <c r="D407">
        <v>52</v>
      </c>
      <c r="E407" t="s">
        <v>23</v>
      </c>
      <c r="F407" t="s">
        <v>384</v>
      </c>
      <c r="G407" t="s">
        <v>153</v>
      </c>
      <c r="H407">
        <v>3</v>
      </c>
      <c r="I407">
        <v>2412</v>
      </c>
      <c r="J407">
        <v>30</v>
      </c>
      <c r="K407" t="s">
        <v>25</v>
      </c>
      <c r="L407" t="s">
        <v>20</v>
      </c>
      <c r="M4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07">
        <v>5065.2</v>
      </c>
      <c r="O407" t="s">
        <v>21</v>
      </c>
      <c r="P407" t="str">
        <f>_xlfn.IFS(LEFT(indian_retail_raw_1000[[#This Row],[x]],1)="W", "West",LEFT(indian_retail_raw_1000[[#This Row],[x]],1)= "E","East",LEFT(O407,1) = "S", "South",LEFT(O407,1) = "N", "North")</f>
        <v>South</v>
      </c>
      <c r="Q407" t="s">
        <v>30</v>
      </c>
      <c r="R407" t="s">
        <v>23</v>
      </c>
      <c r="S407" t="str">
        <f>TEXT(indian_retail_raw_1000[[#This Row],[Order_Date]],"MMM")</f>
        <v>Mar</v>
      </c>
    </row>
    <row r="408" spans="1:19" x14ac:dyDescent="0.25">
      <c r="A408" t="s">
        <v>394</v>
      </c>
      <c r="B408" s="1" t="s">
        <v>1336</v>
      </c>
      <c r="C408" t="s">
        <v>48</v>
      </c>
      <c r="D408">
        <v>27</v>
      </c>
      <c r="E408" t="s">
        <v>16</v>
      </c>
      <c r="F408" t="s">
        <v>30</v>
      </c>
      <c r="G408" t="s">
        <v>294</v>
      </c>
      <c r="H408">
        <v>10</v>
      </c>
      <c r="I408">
        <v>677</v>
      </c>
      <c r="J408">
        <v>25</v>
      </c>
      <c r="K408" t="s">
        <v>25</v>
      </c>
      <c r="L408" t="s">
        <v>56</v>
      </c>
      <c r="M4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08">
        <v>5077.5</v>
      </c>
      <c r="O408" t="s">
        <v>45</v>
      </c>
      <c r="P408" t="str">
        <f>_xlfn.IFS(LEFT(indian_retail_raw_1000[[#This Row],[x]],1)="W", "West",LEFT(indian_retail_raw_1000[[#This Row],[x]],1)= "E","East",LEFT(O408,1) = "S", "South",LEFT(O408,1) = "N", "North")</f>
        <v>East</v>
      </c>
      <c r="Q408" t="s">
        <v>30</v>
      </c>
      <c r="R408" t="s">
        <v>16</v>
      </c>
      <c r="S408" t="str">
        <f>TEXT(indian_retail_raw_1000[[#This Row],[Order_Date]],"MMM")</f>
        <v>Null</v>
      </c>
    </row>
    <row r="409" spans="1:19" x14ac:dyDescent="0.25">
      <c r="A409" t="s">
        <v>965</v>
      </c>
      <c r="B409" s="1">
        <v>45209</v>
      </c>
      <c r="C409" t="s">
        <v>192</v>
      </c>
      <c r="D409">
        <v>46</v>
      </c>
      <c r="E409" t="s">
        <v>23</v>
      </c>
      <c r="F409" t="s">
        <v>30</v>
      </c>
      <c r="G409" t="s">
        <v>218</v>
      </c>
      <c r="H409">
        <v>2</v>
      </c>
      <c r="I409">
        <v>2682</v>
      </c>
      <c r="J409">
        <v>5</v>
      </c>
      <c r="K409" t="s">
        <v>41</v>
      </c>
      <c r="L409" t="s">
        <v>684</v>
      </c>
      <c r="M4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09">
        <v>5095.8</v>
      </c>
      <c r="O409" t="s">
        <v>38</v>
      </c>
      <c r="P409" t="str">
        <f>_xlfn.IFS(LEFT(indian_retail_raw_1000[[#This Row],[x]],1)="W", "West",LEFT(indian_retail_raw_1000[[#This Row],[x]],1)= "E","East",LEFT(O409,1) = "S", "South",LEFT(O409,1) = "N", "North")</f>
        <v>North</v>
      </c>
      <c r="Q409" t="s">
        <v>30</v>
      </c>
      <c r="R409" t="s">
        <v>23</v>
      </c>
      <c r="S409" t="str">
        <f>TEXT(indian_retail_raw_1000[[#This Row],[Order_Date]],"MMM")</f>
        <v>Oct</v>
      </c>
    </row>
    <row r="410" spans="1:19" x14ac:dyDescent="0.25">
      <c r="A410" t="s">
        <v>888</v>
      </c>
      <c r="B410" s="1">
        <v>45097</v>
      </c>
      <c r="C410" t="s">
        <v>211</v>
      </c>
      <c r="D410">
        <v>30</v>
      </c>
      <c r="E410" t="s">
        <v>143</v>
      </c>
      <c r="F410" t="s">
        <v>17</v>
      </c>
      <c r="G410" t="s">
        <v>80</v>
      </c>
      <c r="H410">
        <v>1</v>
      </c>
      <c r="I410">
        <v>5100</v>
      </c>
      <c r="J410">
        <v>0</v>
      </c>
      <c r="K410" t="s">
        <v>25</v>
      </c>
      <c r="L410" t="s">
        <v>417</v>
      </c>
      <c r="M4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10">
        <v>5100</v>
      </c>
      <c r="O410" t="s">
        <v>26</v>
      </c>
      <c r="P410" t="str">
        <f>_xlfn.IFS(LEFT(indian_retail_raw_1000[[#This Row],[x]],1)="W", "West",LEFT(indian_retail_raw_1000[[#This Row],[x]],1)= "E","East",LEFT(O410,1) = "S", "South",LEFT(O410,1) = "N", "North")</f>
        <v>West</v>
      </c>
      <c r="Q410" t="s">
        <v>17</v>
      </c>
      <c r="R410" t="s">
        <v>138</v>
      </c>
      <c r="S410" t="str">
        <f>TEXT(indian_retail_raw_1000[[#This Row],[Order_Date]],"MMM")</f>
        <v>Jun</v>
      </c>
    </row>
    <row r="411" spans="1:19" x14ac:dyDescent="0.25">
      <c r="A411" t="s">
        <v>977</v>
      </c>
      <c r="B411" s="1">
        <v>45117</v>
      </c>
      <c r="C411" t="s">
        <v>160</v>
      </c>
      <c r="D411">
        <v>53</v>
      </c>
      <c r="E411" t="s">
        <v>23</v>
      </c>
      <c r="F411" t="s">
        <v>17</v>
      </c>
      <c r="G411" t="s">
        <v>40</v>
      </c>
      <c r="H411">
        <v>3</v>
      </c>
      <c r="I411">
        <v>5100</v>
      </c>
      <c r="J411">
        <v>0</v>
      </c>
      <c r="K411" t="s">
        <v>25</v>
      </c>
      <c r="L411" t="s">
        <v>20</v>
      </c>
      <c r="M4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1">
        <v>5100</v>
      </c>
      <c r="O411" t="s">
        <v>26</v>
      </c>
      <c r="P411" t="str">
        <f>_xlfn.IFS(LEFT(indian_retail_raw_1000[[#This Row],[x]],1)="W", "West",LEFT(indian_retail_raw_1000[[#This Row],[x]],1)= "E","East",LEFT(O411,1) = "S", "South",LEFT(O411,1) = "N", "North")</f>
        <v>West</v>
      </c>
      <c r="Q411" t="s">
        <v>17</v>
      </c>
      <c r="R411" t="s">
        <v>23</v>
      </c>
      <c r="S411" t="str">
        <f>TEXT(indian_retail_raw_1000[[#This Row],[Order_Date]],"MMM")</f>
        <v>Jul</v>
      </c>
    </row>
    <row r="412" spans="1:19" x14ac:dyDescent="0.25">
      <c r="A412" t="s">
        <v>1246</v>
      </c>
      <c r="B412" s="1" t="s">
        <v>1336</v>
      </c>
      <c r="C412" t="s">
        <v>79</v>
      </c>
      <c r="D412">
        <v>23</v>
      </c>
      <c r="E412" t="s">
        <v>23</v>
      </c>
      <c r="F412" t="s">
        <v>17</v>
      </c>
      <c r="G412" t="s">
        <v>94</v>
      </c>
      <c r="H412">
        <v>3</v>
      </c>
      <c r="I412">
        <v>1700</v>
      </c>
      <c r="J412">
        <v>-5</v>
      </c>
      <c r="K412" t="s">
        <v>19</v>
      </c>
      <c r="L412" t="s">
        <v>20</v>
      </c>
      <c r="M4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2">
        <v>5100</v>
      </c>
      <c r="O412" t="s">
        <v>45</v>
      </c>
      <c r="P412" t="str">
        <f>_xlfn.IFS(LEFT(indian_retail_raw_1000[[#This Row],[x]],1)="W", "West",LEFT(indian_retail_raw_1000[[#This Row],[x]],1)= "E","East",LEFT(O412,1) = "S", "South",LEFT(O412,1) = "N", "North")</f>
        <v>East</v>
      </c>
      <c r="Q412" t="s">
        <v>17</v>
      </c>
      <c r="R412" t="s">
        <v>23</v>
      </c>
      <c r="S412" t="str">
        <f>TEXT(indian_retail_raw_1000[[#This Row],[Order_Date]],"MMM")</f>
        <v>Null</v>
      </c>
    </row>
    <row r="413" spans="1:19" x14ac:dyDescent="0.25">
      <c r="A413" t="s">
        <v>926</v>
      </c>
      <c r="B413" s="1" t="s">
        <v>1336</v>
      </c>
      <c r="C413" t="s">
        <v>192</v>
      </c>
      <c r="D413">
        <v>46</v>
      </c>
      <c r="E413" t="s">
        <v>23</v>
      </c>
      <c r="F413" t="s">
        <v>35</v>
      </c>
      <c r="G413" t="s">
        <v>139</v>
      </c>
      <c r="H413">
        <v>9</v>
      </c>
      <c r="I413">
        <v>630</v>
      </c>
      <c r="J413">
        <v>10</v>
      </c>
      <c r="K413" t="s">
        <v>25</v>
      </c>
      <c r="L413" t="s">
        <v>20</v>
      </c>
      <c r="M4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3">
        <v>5103</v>
      </c>
      <c r="O413" t="s">
        <v>26</v>
      </c>
      <c r="P413" t="str">
        <f>_xlfn.IFS(LEFT(indian_retail_raw_1000[[#This Row],[x]],1)="W", "West",LEFT(indian_retail_raw_1000[[#This Row],[x]],1)= "E","East",LEFT(O413,1) = "S", "South",LEFT(O413,1) = "N", "North")</f>
        <v>West</v>
      </c>
      <c r="Q413" t="s">
        <v>35</v>
      </c>
      <c r="R413" t="s">
        <v>23</v>
      </c>
      <c r="S413" t="str">
        <f>TEXT(indian_retail_raw_1000[[#This Row],[Order_Date]],"MMM")</f>
        <v>Null</v>
      </c>
    </row>
    <row r="414" spans="1:19" x14ac:dyDescent="0.25">
      <c r="A414" t="s">
        <v>580</v>
      </c>
      <c r="B414" s="1" t="s">
        <v>1336</v>
      </c>
      <c r="C414" t="s">
        <v>87</v>
      </c>
      <c r="D414">
        <v>20</v>
      </c>
      <c r="E414" t="s">
        <v>16</v>
      </c>
      <c r="F414" t="s">
        <v>17</v>
      </c>
      <c r="G414" t="s">
        <v>186</v>
      </c>
      <c r="H414">
        <v>2</v>
      </c>
      <c r="I414">
        <v>2700</v>
      </c>
      <c r="J414">
        <v>5</v>
      </c>
      <c r="K414" t="s">
        <v>41</v>
      </c>
      <c r="L414" t="s">
        <v>20</v>
      </c>
      <c r="M4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4">
        <v>5130</v>
      </c>
      <c r="O414" t="s">
        <v>38</v>
      </c>
      <c r="P414" t="str">
        <f>_xlfn.IFS(LEFT(indian_retail_raw_1000[[#This Row],[x]],1)="W", "West",LEFT(indian_retail_raw_1000[[#This Row],[x]],1)= "E","East",LEFT(O414,1) = "S", "South",LEFT(O414,1) = "N", "North")</f>
        <v>North</v>
      </c>
      <c r="Q414" t="s">
        <v>17</v>
      </c>
      <c r="R414" t="s">
        <v>16</v>
      </c>
      <c r="S414" t="str">
        <f>TEXT(indian_retail_raw_1000[[#This Row],[Order_Date]],"MMM")</f>
        <v>Null</v>
      </c>
    </row>
    <row r="415" spans="1:19" x14ac:dyDescent="0.25">
      <c r="A415" t="s">
        <v>339</v>
      </c>
      <c r="B415" s="1">
        <v>45183</v>
      </c>
      <c r="C415" t="s">
        <v>265</v>
      </c>
      <c r="D415">
        <v>42</v>
      </c>
      <c r="E415" t="s">
        <v>23</v>
      </c>
      <c r="F415" t="s">
        <v>35</v>
      </c>
      <c r="G415" t="s">
        <v>158</v>
      </c>
      <c r="H415">
        <v>8</v>
      </c>
      <c r="I415">
        <v>647</v>
      </c>
      <c r="J415">
        <v>0</v>
      </c>
      <c r="K415" t="s">
        <v>41</v>
      </c>
      <c r="L415" t="s">
        <v>107</v>
      </c>
      <c r="M4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5">
        <v>5176</v>
      </c>
      <c r="O415" t="s">
        <v>45</v>
      </c>
      <c r="P415" t="str">
        <f>_xlfn.IFS(LEFT(indian_retail_raw_1000[[#This Row],[x]],1)="W", "West",LEFT(indian_retail_raw_1000[[#This Row],[x]],1)= "E","East",LEFT(O415,1) = "S", "South",LEFT(O415,1) = "N", "North")</f>
        <v>East</v>
      </c>
      <c r="Q415" t="s">
        <v>35</v>
      </c>
      <c r="R415" t="s">
        <v>23</v>
      </c>
      <c r="S415" t="str">
        <f>TEXT(indian_retail_raw_1000[[#This Row],[Order_Date]],"MMM")</f>
        <v>Sep</v>
      </c>
    </row>
    <row r="416" spans="1:19" x14ac:dyDescent="0.25">
      <c r="A416" t="s">
        <v>360</v>
      </c>
      <c r="B416" s="1" t="s">
        <v>1336</v>
      </c>
      <c r="C416" t="s">
        <v>1336</v>
      </c>
      <c r="D416">
        <v>64</v>
      </c>
      <c r="E416" t="s">
        <v>16</v>
      </c>
      <c r="F416" t="s">
        <v>30</v>
      </c>
      <c r="G416" t="s">
        <v>121</v>
      </c>
      <c r="H416">
        <v>2</v>
      </c>
      <c r="I416">
        <v>3245</v>
      </c>
      <c r="J416">
        <v>20</v>
      </c>
      <c r="K416" t="s">
        <v>115</v>
      </c>
      <c r="L416" t="s">
        <v>20</v>
      </c>
      <c r="M4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6">
        <v>5192</v>
      </c>
      <c r="O416" t="s">
        <v>38</v>
      </c>
      <c r="P416" t="str">
        <f>_xlfn.IFS(LEFT(indian_retail_raw_1000[[#This Row],[x]],1)="W", "West",LEFT(indian_retail_raw_1000[[#This Row],[x]],1)= "E","East",LEFT(O416,1) = "S", "South",LEFT(O416,1) = "N", "North")</f>
        <v>North</v>
      </c>
      <c r="Q416" t="s">
        <v>30</v>
      </c>
      <c r="R416" t="s">
        <v>16</v>
      </c>
      <c r="S416" t="str">
        <f>TEXT(indian_retail_raw_1000[[#This Row],[Order_Date]],"MMM")</f>
        <v>Null</v>
      </c>
    </row>
    <row r="417" spans="1:19" x14ac:dyDescent="0.25">
      <c r="A417" t="s">
        <v>950</v>
      </c>
      <c r="B417" s="1">
        <v>45024</v>
      </c>
      <c r="C417" t="s">
        <v>504</v>
      </c>
      <c r="D417">
        <v>59</v>
      </c>
      <c r="E417" t="s">
        <v>16</v>
      </c>
      <c r="F417" t="s">
        <v>54</v>
      </c>
      <c r="G417" t="s">
        <v>311</v>
      </c>
      <c r="H417">
        <v>2</v>
      </c>
      <c r="I417">
        <v>3500</v>
      </c>
      <c r="J417">
        <v>25</v>
      </c>
      <c r="K417" t="s">
        <v>41</v>
      </c>
      <c r="L417" t="s">
        <v>20</v>
      </c>
      <c r="M4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7">
        <v>5250</v>
      </c>
      <c r="O417" t="s">
        <v>45</v>
      </c>
      <c r="P417" t="str">
        <f>_xlfn.IFS(LEFT(indian_retail_raw_1000[[#This Row],[x]],1)="W", "West",LEFT(indian_retail_raw_1000[[#This Row],[x]],1)= "E","East",LEFT(O417,1) = "S", "South",LEFT(O417,1) = "N", "North")</f>
        <v>East</v>
      </c>
      <c r="Q417" t="s">
        <v>54</v>
      </c>
      <c r="R417" t="s">
        <v>16</v>
      </c>
      <c r="S417" t="str">
        <f>TEXT(indian_retail_raw_1000[[#This Row],[Order_Date]],"MMM")</f>
        <v>Apr</v>
      </c>
    </row>
    <row r="418" spans="1:19" x14ac:dyDescent="0.25">
      <c r="A418" t="s">
        <v>1319</v>
      </c>
      <c r="B418" s="1">
        <v>45097</v>
      </c>
      <c r="C418" t="s">
        <v>87</v>
      </c>
      <c r="D418">
        <v>56</v>
      </c>
      <c r="E418" t="s">
        <v>16</v>
      </c>
      <c r="F418" t="s">
        <v>17</v>
      </c>
      <c r="G418" t="s">
        <v>492</v>
      </c>
      <c r="H418">
        <v>3</v>
      </c>
      <c r="I418">
        <v>1950</v>
      </c>
      <c r="J418">
        <v>10</v>
      </c>
      <c r="K418" t="s">
        <v>19</v>
      </c>
      <c r="L418" t="s">
        <v>51</v>
      </c>
      <c r="M4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18">
        <v>5265</v>
      </c>
      <c r="O418" t="s">
        <v>21</v>
      </c>
      <c r="P418" t="str">
        <f>_xlfn.IFS(LEFT(indian_retail_raw_1000[[#This Row],[x]],1)="W", "West",LEFT(indian_retail_raw_1000[[#This Row],[x]],1)= "E","East",LEFT(O418,1) = "S", "South",LEFT(O418,1) = "N", "North")</f>
        <v>South</v>
      </c>
      <c r="Q418" t="s">
        <v>17</v>
      </c>
      <c r="R418" t="s">
        <v>16</v>
      </c>
      <c r="S418" t="str">
        <f>TEXT(indian_retail_raw_1000[[#This Row],[Order_Date]],"MMM")</f>
        <v>Jun</v>
      </c>
    </row>
    <row r="419" spans="1:19" x14ac:dyDescent="0.25">
      <c r="A419" t="s">
        <v>637</v>
      </c>
      <c r="B419" s="1">
        <v>45256</v>
      </c>
      <c r="C419" t="s">
        <v>128</v>
      </c>
      <c r="D419">
        <v>52</v>
      </c>
      <c r="E419" t="s">
        <v>16</v>
      </c>
      <c r="F419" t="s">
        <v>17</v>
      </c>
      <c r="G419" t="s">
        <v>94</v>
      </c>
      <c r="H419">
        <v>2</v>
      </c>
      <c r="I419">
        <v>3100</v>
      </c>
      <c r="J419">
        <v>15</v>
      </c>
      <c r="K419" t="s">
        <v>50</v>
      </c>
      <c r="L419" t="s">
        <v>20</v>
      </c>
      <c r="M4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9">
        <v>5270</v>
      </c>
      <c r="O419" t="s">
        <v>375</v>
      </c>
      <c r="P419" t="str">
        <f>_xlfn.IFS(LEFT(indian_retail_raw_1000[[#This Row],[x]],1)="W", "West",LEFT(indian_retail_raw_1000[[#This Row],[x]],1)= "E","East",LEFT(O419,1) = "S", "South",LEFT(O419,1) = "N", "North")</f>
        <v>North</v>
      </c>
      <c r="Q419" t="s">
        <v>17</v>
      </c>
      <c r="R419" t="s">
        <v>16</v>
      </c>
      <c r="S419" t="str">
        <f>TEXT(indian_retail_raw_1000[[#This Row],[Order_Date]],"MMM")</f>
        <v>Nov</v>
      </c>
    </row>
    <row r="420" spans="1:19" x14ac:dyDescent="0.25">
      <c r="A420" t="s">
        <v>893</v>
      </c>
      <c r="B420" s="1">
        <v>45054</v>
      </c>
      <c r="C420" t="s">
        <v>192</v>
      </c>
      <c r="D420">
        <v>26</v>
      </c>
      <c r="E420" t="s">
        <v>146</v>
      </c>
      <c r="F420" t="s">
        <v>17</v>
      </c>
      <c r="G420" t="s">
        <v>24</v>
      </c>
      <c r="H420">
        <v>3</v>
      </c>
      <c r="I420">
        <v>2200</v>
      </c>
      <c r="J420">
        <v>20</v>
      </c>
      <c r="K420" t="s">
        <v>25</v>
      </c>
      <c r="L420" t="s">
        <v>20</v>
      </c>
      <c r="M4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0">
        <v>5280</v>
      </c>
      <c r="O420" t="s">
        <v>894</v>
      </c>
      <c r="P420" t="str">
        <f>_xlfn.IFS(LEFT(indian_retail_raw_1000[[#This Row],[x]],1)="W", "West",LEFT(indian_retail_raw_1000[[#This Row],[x]],1)= "E","East",LEFT(O420,1) = "S", "South",LEFT(O420,1) = "N", "North")</f>
        <v>North</v>
      </c>
      <c r="Q420" t="s">
        <v>17</v>
      </c>
      <c r="R420" t="s">
        <v>16</v>
      </c>
      <c r="S420" t="str">
        <f>TEXT(indian_retail_raw_1000[[#This Row],[Order_Date]],"MMM")</f>
        <v>May</v>
      </c>
    </row>
    <row r="421" spans="1:19" x14ac:dyDescent="0.25">
      <c r="A421" t="s">
        <v>747</v>
      </c>
      <c r="B421" s="1">
        <v>45182</v>
      </c>
      <c r="C421" t="s">
        <v>358</v>
      </c>
      <c r="D421">
        <v>53</v>
      </c>
      <c r="E421" t="s">
        <v>143</v>
      </c>
      <c r="F421" t="s">
        <v>30</v>
      </c>
      <c r="G421" t="s">
        <v>121</v>
      </c>
      <c r="H421">
        <v>1</v>
      </c>
      <c r="I421">
        <v>6609</v>
      </c>
      <c r="J421">
        <v>20</v>
      </c>
      <c r="K421" t="s">
        <v>50</v>
      </c>
      <c r="L421" t="s">
        <v>20</v>
      </c>
      <c r="M4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1">
        <v>5287.2</v>
      </c>
      <c r="O421" t="s">
        <v>26</v>
      </c>
      <c r="P421" t="str">
        <f>_xlfn.IFS(LEFT(indian_retail_raw_1000[[#This Row],[x]],1)="W", "West",LEFT(indian_retail_raw_1000[[#This Row],[x]],1)= "E","East",LEFT(O421,1) = "S", "South",LEFT(O421,1) = "N", "North")</f>
        <v>West</v>
      </c>
      <c r="Q421" t="s">
        <v>30</v>
      </c>
      <c r="R421" t="s">
        <v>138</v>
      </c>
      <c r="S421" t="str">
        <f>TEXT(indian_retail_raw_1000[[#This Row],[Order_Date]],"MMM")</f>
        <v>Sep</v>
      </c>
    </row>
    <row r="422" spans="1:19" x14ac:dyDescent="0.25">
      <c r="A422" t="s">
        <v>715</v>
      </c>
      <c r="B422" s="1">
        <v>45212</v>
      </c>
      <c r="C422" t="s">
        <v>43</v>
      </c>
      <c r="D422">
        <v>43</v>
      </c>
      <c r="E422" t="s">
        <v>16</v>
      </c>
      <c r="F422" t="s">
        <v>17</v>
      </c>
      <c r="G422" t="s">
        <v>186</v>
      </c>
      <c r="H422">
        <v>3</v>
      </c>
      <c r="I422">
        <v>2950</v>
      </c>
      <c r="J422">
        <v>40</v>
      </c>
      <c r="K422" t="s">
        <v>50</v>
      </c>
      <c r="L422" t="s">
        <v>20</v>
      </c>
      <c r="M4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2">
        <v>5310</v>
      </c>
      <c r="O422" t="s">
        <v>45</v>
      </c>
      <c r="P422" t="str">
        <f>_xlfn.IFS(LEFT(indian_retail_raw_1000[[#This Row],[x]],1)="W", "West",LEFT(indian_retail_raw_1000[[#This Row],[x]],1)= "E","East",LEFT(O422,1) = "S", "South",LEFT(O422,1) = "N", "North")</f>
        <v>East</v>
      </c>
      <c r="Q422" t="s">
        <v>17</v>
      </c>
      <c r="R422" t="s">
        <v>16</v>
      </c>
      <c r="S422" t="str">
        <f>TEXT(indian_retail_raw_1000[[#This Row],[Order_Date]],"MMM")</f>
        <v>Oct</v>
      </c>
    </row>
    <row r="423" spans="1:19" x14ac:dyDescent="0.25">
      <c r="A423" t="s">
        <v>206</v>
      </c>
      <c r="B423" s="1">
        <v>45020</v>
      </c>
      <c r="C423" t="s">
        <v>207</v>
      </c>
      <c r="D423">
        <v>37</v>
      </c>
      <c r="E423" t="s">
        <v>16</v>
      </c>
      <c r="F423" t="s">
        <v>17</v>
      </c>
      <c r="G423" t="s">
        <v>80</v>
      </c>
      <c r="H423">
        <v>1</v>
      </c>
      <c r="I423">
        <v>5650</v>
      </c>
      <c r="J423">
        <v>5</v>
      </c>
      <c r="K423" t="s">
        <v>25</v>
      </c>
      <c r="L423" t="s">
        <v>20</v>
      </c>
      <c r="M4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3">
        <v>5367.5</v>
      </c>
      <c r="O423" t="s">
        <v>26</v>
      </c>
      <c r="P423" t="str">
        <f>_xlfn.IFS(LEFT(indian_retail_raw_1000[[#This Row],[x]],1)="W", "West",LEFT(indian_retail_raw_1000[[#This Row],[x]],1)= "E","East",LEFT(O423,1) = "S", "South",LEFT(O423,1) = "N", "North")</f>
        <v>West</v>
      </c>
      <c r="Q423" t="s">
        <v>17</v>
      </c>
      <c r="R423" t="s">
        <v>16</v>
      </c>
      <c r="S423" t="str">
        <f>TEXT(indian_retail_raw_1000[[#This Row],[Order_Date]],"MMM")</f>
        <v>Apr</v>
      </c>
    </row>
    <row r="424" spans="1:19" x14ac:dyDescent="0.25">
      <c r="A424" t="s">
        <v>809</v>
      </c>
      <c r="B424" s="1">
        <v>45231</v>
      </c>
      <c r="C424" t="s">
        <v>192</v>
      </c>
      <c r="D424">
        <v>35</v>
      </c>
      <c r="E424" t="s">
        <v>23</v>
      </c>
      <c r="F424" t="s">
        <v>17</v>
      </c>
      <c r="G424" t="s">
        <v>24</v>
      </c>
      <c r="H424">
        <v>3</v>
      </c>
      <c r="I424">
        <v>1800</v>
      </c>
      <c r="J424">
        <v>0</v>
      </c>
      <c r="K424" t="s">
        <v>83</v>
      </c>
      <c r="L424" t="s">
        <v>20</v>
      </c>
      <c r="M4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4">
        <v>5400</v>
      </c>
      <c r="O424" t="s">
        <v>33</v>
      </c>
      <c r="P424" t="str">
        <f>_xlfn.IFS(LEFT(indian_retail_raw_1000[[#This Row],[x]],1)="W", "West",LEFT(indian_retail_raw_1000[[#This Row],[x]],1)= "E","East",LEFT(O424,1) = "S", "South",LEFT(O424,1) = "N", "North")</f>
        <v>West</v>
      </c>
      <c r="Q424" t="s">
        <v>17</v>
      </c>
      <c r="R424" t="s">
        <v>23</v>
      </c>
      <c r="S424" t="str">
        <f>TEXT(indian_retail_raw_1000[[#This Row],[Order_Date]],"MMM")</f>
        <v>Nov</v>
      </c>
    </row>
    <row r="425" spans="1:19" x14ac:dyDescent="0.25">
      <c r="A425" t="s">
        <v>1290</v>
      </c>
      <c r="B425" s="1" t="s">
        <v>1336</v>
      </c>
      <c r="C425" t="s">
        <v>48</v>
      </c>
      <c r="D425">
        <v>63</v>
      </c>
      <c r="E425" t="s">
        <v>23</v>
      </c>
      <c r="F425" t="s">
        <v>54</v>
      </c>
      <c r="G425" t="s">
        <v>348</v>
      </c>
      <c r="H425">
        <v>2</v>
      </c>
      <c r="I425">
        <v>3600</v>
      </c>
      <c r="J425">
        <v>25</v>
      </c>
      <c r="K425" t="s">
        <v>41</v>
      </c>
      <c r="L425" t="s">
        <v>20</v>
      </c>
      <c r="M4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5">
        <v>5400</v>
      </c>
      <c r="O425" t="s">
        <v>38</v>
      </c>
      <c r="P425" t="str">
        <f>_xlfn.IFS(LEFT(indian_retail_raw_1000[[#This Row],[x]],1)="W", "West",LEFT(indian_retail_raw_1000[[#This Row],[x]],1)= "E","East",LEFT(O425,1) = "S", "South",LEFT(O425,1) = "N", "North")</f>
        <v>North</v>
      </c>
      <c r="Q425" t="s">
        <v>54</v>
      </c>
      <c r="R425" t="s">
        <v>23</v>
      </c>
      <c r="S425" t="str">
        <f>TEXT(indian_retail_raw_1000[[#This Row],[Order_Date]],"MMM")</f>
        <v>Null</v>
      </c>
    </row>
    <row r="426" spans="1:19" x14ac:dyDescent="0.25">
      <c r="A426" t="s">
        <v>864</v>
      </c>
      <c r="B426" s="1">
        <v>45280</v>
      </c>
      <c r="C426" t="s">
        <v>672</v>
      </c>
      <c r="D426">
        <v>54</v>
      </c>
      <c r="E426" t="s">
        <v>23</v>
      </c>
      <c r="F426" t="s">
        <v>35</v>
      </c>
      <c r="G426" t="s">
        <v>139</v>
      </c>
      <c r="H426">
        <v>7</v>
      </c>
      <c r="I426">
        <v>778</v>
      </c>
      <c r="J426">
        <v>0</v>
      </c>
      <c r="K426" t="s">
        <v>50</v>
      </c>
      <c r="L426" t="s">
        <v>51</v>
      </c>
      <c r="M4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26">
        <v>5446</v>
      </c>
      <c r="O426" t="s">
        <v>45</v>
      </c>
      <c r="P426" t="str">
        <f>_xlfn.IFS(LEFT(indian_retail_raw_1000[[#This Row],[x]],1)="W", "West",LEFT(indian_retail_raw_1000[[#This Row],[x]],1)= "E","East",LEFT(O426,1) = "S", "South",LEFT(O426,1) = "N", "North")</f>
        <v>East</v>
      </c>
      <c r="Q426" t="s">
        <v>35</v>
      </c>
      <c r="R426" t="s">
        <v>23</v>
      </c>
      <c r="S426" t="str">
        <f>TEXT(indian_retail_raw_1000[[#This Row],[Order_Date]],"MMM")</f>
        <v>Dec</v>
      </c>
    </row>
    <row r="427" spans="1:19" x14ac:dyDescent="0.25">
      <c r="A427" t="s">
        <v>763</v>
      </c>
      <c r="B427" s="1">
        <v>45239</v>
      </c>
      <c r="C427" t="s">
        <v>1336</v>
      </c>
      <c r="D427">
        <v>56</v>
      </c>
      <c r="E427" t="s">
        <v>23</v>
      </c>
      <c r="F427" t="s">
        <v>30</v>
      </c>
      <c r="G427" t="s">
        <v>121</v>
      </c>
      <c r="H427">
        <v>1</v>
      </c>
      <c r="I427">
        <v>7312</v>
      </c>
      <c r="J427">
        <v>25</v>
      </c>
      <c r="K427" t="s">
        <v>41</v>
      </c>
      <c r="L427" t="s">
        <v>20</v>
      </c>
      <c r="M4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7">
        <v>5484</v>
      </c>
      <c r="O427" t="s">
        <v>45</v>
      </c>
      <c r="P427" t="str">
        <f>_xlfn.IFS(LEFT(indian_retail_raw_1000[[#This Row],[x]],1)="W", "West",LEFT(indian_retail_raw_1000[[#This Row],[x]],1)= "E","East",LEFT(O427,1) = "S", "South",LEFT(O427,1) = "N", "North")</f>
        <v>East</v>
      </c>
      <c r="Q427" t="s">
        <v>30</v>
      </c>
      <c r="R427" t="s">
        <v>23</v>
      </c>
      <c r="S427" t="str">
        <f>TEXT(indian_retail_raw_1000[[#This Row],[Order_Date]],"MMM")</f>
        <v>Nov</v>
      </c>
    </row>
    <row r="428" spans="1:19" x14ac:dyDescent="0.25">
      <c r="A428" t="s">
        <v>501</v>
      </c>
      <c r="B428" s="1">
        <v>45241</v>
      </c>
      <c r="C428" t="s">
        <v>87</v>
      </c>
      <c r="D428">
        <v>31</v>
      </c>
      <c r="E428" t="s">
        <v>23</v>
      </c>
      <c r="F428" t="s">
        <v>17</v>
      </c>
      <c r="G428" t="s">
        <v>186</v>
      </c>
      <c r="H428">
        <v>2</v>
      </c>
      <c r="I428">
        <v>2750</v>
      </c>
      <c r="K428" t="s">
        <v>19</v>
      </c>
      <c r="L428" t="s">
        <v>51</v>
      </c>
      <c r="M4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28">
        <v>5500</v>
      </c>
      <c r="O428" t="s">
        <v>38</v>
      </c>
      <c r="P428" t="str">
        <f>_xlfn.IFS(LEFT(indian_retail_raw_1000[[#This Row],[x]],1)="W", "West",LEFT(indian_retail_raw_1000[[#This Row],[x]],1)= "E","East",LEFT(O428,1) = "S", "South",LEFT(O428,1) = "N", "North")</f>
        <v>North</v>
      </c>
      <c r="Q428" t="s">
        <v>17</v>
      </c>
      <c r="R428" t="s">
        <v>23</v>
      </c>
      <c r="S428" t="str">
        <f>TEXT(indian_retail_raw_1000[[#This Row],[Order_Date]],"MMM")</f>
        <v>Nov</v>
      </c>
    </row>
    <row r="429" spans="1:19" x14ac:dyDescent="0.25">
      <c r="A429" t="s">
        <v>799</v>
      </c>
      <c r="B429" s="1">
        <v>45274</v>
      </c>
      <c r="C429" t="s">
        <v>1336</v>
      </c>
      <c r="D429">
        <v>25</v>
      </c>
      <c r="E429" t="s">
        <v>23</v>
      </c>
      <c r="F429" t="s">
        <v>250</v>
      </c>
      <c r="G429" t="s">
        <v>94</v>
      </c>
      <c r="H429">
        <v>3</v>
      </c>
      <c r="I429">
        <v>2050</v>
      </c>
      <c r="J429">
        <v>10</v>
      </c>
      <c r="K429" t="s">
        <v>25</v>
      </c>
      <c r="L429" t="s">
        <v>20</v>
      </c>
      <c r="M4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9">
        <v>5535</v>
      </c>
      <c r="O429" t="s">
        <v>26</v>
      </c>
      <c r="P429" t="str">
        <f>_xlfn.IFS(LEFT(indian_retail_raw_1000[[#This Row],[x]],1)="W", "West",LEFT(indian_retail_raw_1000[[#This Row],[x]],1)= "E","East",LEFT(O429,1) = "S", "South",LEFT(O429,1) = "N", "North")</f>
        <v>West</v>
      </c>
      <c r="Q429" t="s">
        <v>17</v>
      </c>
      <c r="R429" t="s">
        <v>23</v>
      </c>
      <c r="S429" t="str">
        <f>TEXT(indian_retail_raw_1000[[#This Row],[Order_Date]],"MMM")</f>
        <v>Dec</v>
      </c>
    </row>
    <row r="430" spans="1:19" x14ac:dyDescent="0.25">
      <c r="A430" t="s">
        <v>244</v>
      </c>
      <c r="B430" s="1" t="s">
        <v>1336</v>
      </c>
      <c r="C430" t="s">
        <v>28</v>
      </c>
      <c r="D430">
        <v>20</v>
      </c>
      <c r="E430" t="s">
        <v>16</v>
      </c>
      <c r="F430" t="s">
        <v>17</v>
      </c>
      <c r="G430" t="s">
        <v>80</v>
      </c>
      <c r="H430">
        <v>2</v>
      </c>
      <c r="I430">
        <v>5550</v>
      </c>
      <c r="J430">
        <v>50</v>
      </c>
      <c r="K430" t="s">
        <v>19</v>
      </c>
      <c r="L430" t="s">
        <v>37</v>
      </c>
      <c r="M4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0">
        <v>5550</v>
      </c>
      <c r="O430" t="s">
        <v>21</v>
      </c>
      <c r="P430" t="str">
        <f>_xlfn.IFS(LEFT(indian_retail_raw_1000[[#This Row],[x]],1)="W", "West",LEFT(indian_retail_raw_1000[[#This Row],[x]],1)= "E","East",LEFT(O430,1) = "S", "South",LEFT(O430,1) = "N", "North")</f>
        <v>South</v>
      </c>
      <c r="Q430" t="s">
        <v>17</v>
      </c>
      <c r="R430" t="s">
        <v>16</v>
      </c>
      <c r="S430" t="str">
        <f>TEXT(indian_retail_raw_1000[[#This Row],[Order_Date]],"MMM")</f>
        <v>Null</v>
      </c>
    </row>
    <row r="431" spans="1:19" x14ac:dyDescent="0.25">
      <c r="A431" t="s">
        <v>686</v>
      </c>
      <c r="B431" s="1">
        <v>45259</v>
      </c>
      <c r="C431" t="s">
        <v>672</v>
      </c>
      <c r="D431">
        <v>34</v>
      </c>
      <c r="E431" t="s">
        <v>23</v>
      </c>
      <c r="F431" t="s">
        <v>54</v>
      </c>
      <c r="G431" t="s">
        <v>348</v>
      </c>
      <c r="H431">
        <v>2</v>
      </c>
      <c r="I431">
        <v>3700</v>
      </c>
      <c r="J431">
        <v>25</v>
      </c>
      <c r="K431" t="s">
        <v>50</v>
      </c>
      <c r="L431" t="s">
        <v>20</v>
      </c>
      <c r="M4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1">
        <v>5550</v>
      </c>
      <c r="O431" t="s">
        <v>45</v>
      </c>
      <c r="P431" t="str">
        <f>_xlfn.IFS(LEFT(indian_retail_raw_1000[[#This Row],[x]],1)="W", "West",LEFT(indian_retail_raw_1000[[#This Row],[x]],1)= "E","East",LEFT(O431,1) = "S", "South",LEFT(O431,1) = "N", "North")</f>
        <v>East</v>
      </c>
      <c r="Q431" t="s">
        <v>54</v>
      </c>
      <c r="R431" t="s">
        <v>23</v>
      </c>
      <c r="S431" t="str">
        <f>TEXT(indian_retail_raw_1000[[#This Row],[Order_Date]],"MMM")</f>
        <v>Nov</v>
      </c>
    </row>
    <row r="432" spans="1:19" x14ac:dyDescent="0.25">
      <c r="A432" t="s">
        <v>1031</v>
      </c>
      <c r="B432" s="1">
        <v>45155</v>
      </c>
      <c r="C432" t="s">
        <v>393</v>
      </c>
      <c r="D432">
        <v>25</v>
      </c>
      <c r="E432" t="s">
        <v>16</v>
      </c>
      <c r="F432" t="s">
        <v>35</v>
      </c>
      <c r="G432" t="s">
        <v>63</v>
      </c>
      <c r="H432">
        <v>3</v>
      </c>
      <c r="I432">
        <v>1951</v>
      </c>
      <c r="J432">
        <v>5</v>
      </c>
      <c r="K432" t="s">
        <v>19</v>
      </c>
      <c r="L432" t="s">
        <v>56</v>
      </c>
      <c r="M4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32">
        <v>5560.35</v>
      </c>
      <c r="O432" t="s">
        <v>38</v>
      </c>
      <c r="P432" t="str">
        <f>_xlfn.IFS(LEFT(indian_retail_raw_1000[[#This Row],[x]],1)="W", "West",LEFT(indian_retail_raw_1000[[#This Row],[x]],1)= "E","East",LEFT(O432,1) = "S", "South",LEFT(O432,1) = "N", "North")</f>
        <v>North</v>
      </c>
      <c r="Q432" t="s">
        <v>35</v>
      </c>
      <c r="R432" t="s">
        <v>16</v>
      </c>
      <c r="S432" t="str">
        <f>TEXT(indian_retail_raw_1000[[#This Row],[Order_Date]],"MMM")</f>
        <v>Aug</v>
      </c>
    </row>
    <row r="433" spans="1:19" x14ac:dyDescent="0.25">
      <c r="A433" t="s">
        <v>695</v>
      </c>
      <c r="B433" s="1">
        <v>45145</v>
      </c>
      <c r="C433" t="s">
        <v>192</v>
      </c>
      <c r="D433">
        <v>53</v>
      </c>
      <c r="E433" t="s">
        <v>138</v>
      </c>
      <c r="F433" t="s">
        <v>17</v>
      </c>
      <c r="G433" t="s">
        <v>189</v>
      </c>
      <c r="H433">
        <v>3</v>
      </c>
      <c r="I433">
        <v>3100</v>
      </c>
      <c r="J433">
        <v>40</v>
      </c>
      <c r="K433" t="s">
        <v>261</v>
      </c>
      <c r="L433" t="s">
        <v>20</v>
      </c>
      <c r="M4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3">
        <v>5580</v>
      </c>
      <c r="O433" t="s">
        <v>45</v>
      </c>
      <c r="P433" t="str">
        <f>_xlfn.IFS(LEFT(indian_retail_raw_1000[[#This Row],[x]],1)="W", "West",LEFT(indian_retail_raw_1000[[#This Row],[x]],1)= "E","East",LEFT(O433,1) = "S", "South",LEFT(O433,1) = "N", "North")</f>
        <v>East</v>
      </c>
      <c r="Q433" t="s">
        <v>17</v>
      </c>
      <c r="R433" t="s">
        <v>138</v>
      </c>
      <c r="S433" t="str">
        <f>TEXT(indian_retail_raw_1000[[#This Row],[Order_Date]],"MMM")</f>
        <v>Aug</v>
      </c>
    </row>
    <row r="434" spans="1:19" x14ac:dyDescent="0.25">
      <c r="A434" t="s">
        <v>488</v>
      </c>
      <c r="B434" s="1" t="s">
        <v>1336</v>
      </c>
      <c r="C434" t="s">
        <v>43</v>
      </c>
      <c r="D434">
        <v>34</v>
      </c>
      <c r="E434" t="s">
        <v>16</v>
      </c>
      <c r="F434" t="s">
        <v>30</v>
      </c>
      <c r="G434" t="s">
        <v>294</v>
      </c>
      <c r="H434">
        <v>8</v>
      </c>
      <c r="I434">
        <v>777</v>
      </c>
      <c r="J434">
        <v>10</v>
      </c>
      <c r="K434" t="s">
        <v>41</v>
      </c>
      <c r="L434" t="s">
        <v>20</v>
      </c>
      <c r="M4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4">
        <v>5594.4</v>
      </c>
      <c r="O434" t="s">
        <v>38</v>
      </c>
      <c r="P434" t="str">
        <f>_xlfn.IFS(LEFT(indian_retail_raw_1000[[#This Row],[x]],1)="W", "West",LEFT(indian_retail_raw_1000[[#This Row],[x]],1)= "E","East",LEFT(O434,1) = "S", "South",LEFT(O434,1) = "N", "North")</f>
        <v>North</v>
      </c>
      <c r="Q434" t="s">
        <v>30</v>
      </c>
      <c r="R434" t="s">
        <v>16</v>
      </c>
      <c r="S434" t="str">
        <f>TEXT(indian_retail_raw_1000[[#This Row],[Order_Date]],"MMM")</f>
        <v>Null</v>
      </c>
    </row>
    <row r="435" spans="1:19" x14ac:dyDescent="0.25">
      <c r="A435" t="s">
        <v>398</v>
      </c>
      <c r="B435" s="1">
        <v>45236</v>
      </c>
      <c r="C435" t="s">
        <v>76</v>
      </c>
      <c r="D435">
        <v>999</v>
      </c>
      <c r="E435" t="s">
        <v>16</v>
      </c>
      <c r="F435" t="s">
        <v>17</v>
      </c>
      <c r="G435" t="s">
        <v>94</v>
      </c>
      <c r="H435">
        <v>2</v>
      </c>
      <c r="I435">
        <v>2800</v>
      </c>
      <c r="J435">
        <v>0</v>
      </c>
      <c r="K435" t="s">
        <v>50</v>
      </c>
      <c r="L435" t="s">
        <v>51</v>
      </c>
      <c r="M4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35">
        <v>5600</v>
      </c>
      <c r="O435" t="s">
        <v>45</v>
      </c>
      <c r="P435" t="str">
        <f>_xlfn.IFS(LEFT(indian_retail_raw_1000[[#This Row],[x]],1)="W", "West",LEFT(indian_retail_raw_1000[[#This Row],[x]],1)= "E","East",LEFT(O435,1) = "S", "South",LEFT(O435,1) = "N", "North")</f>
        <v>East</v>
      </c>
      <c r="Q435" t="s">
        <v>17</v>
      </c>
      <c r="R435" t="s">
        <v>16</v>
      </c>
      <c r="S435" t="str">
        <f>TEXT(indian_retail_raw_1000[[#This Row],[Order_Date]],"MMM")</f>
        <v>Nov</v>
      </c>
    </row>
    <row r="436" spans="1:19" x14ac:dyDescent="0.25">
      <c r="A436" t="s">
        <v>1302</v>
      </c>
      <c r="B436" s="1">
        <v>45072</v>
      </c>
      <c r="C436" t="s">
        <v>170</v>
      </c>
      <c r="D436">
        <v>45</v>
      </c>
      <c r="E436" t="s">
        <v>16</v>
      </c>
      <c r="F436" t="s">
        <v>17</v>
      </c>
      <c r="G436" t="s">
        <v>80</v>
      </c>
      <c r="H436">
        <v>1</v>
      </c>
      <c r="I436">
        <v>7000</v>
      </c>
      <c r="J436">
        <v>20</v>
      </c>
      <c r="K436" t="s">
        <v>41</v>
      </c>
      <c r="L436" t="s">
        <v>20</v>
      </c>
      <c r="M4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6">
        <v>5600</v>
      </c>
      <c r="O436" t="s">
        <v>26</v>
      </c>
      <c r="P436" t="str">
        <f>_xlfn.IFS(LEFT(indian_retail_raw_1000[[#This Row],[x]],1)="W", "West",LEFT(indian_retail_raw_1000[[#This Row],[x]],1)= "E","East",LEFT(O436,1) = "S", "South",LEFT(O436,1) = "N", "North")</f>
        <v>West</v>
      </c>
      <c r="Q436" t="s">
        <v>17</v>
      </c>
      <c r="R436" t="s">
        <v>16</v>
      </c>
      <c r="S436" t="str">
        <f>TEXT(indian_retail_raw_1000[[#This Row],[Order_Date]],"MMM")</f>
        <v>May</v>
      </c>
    </row>
    <row r="437" spans="1:19" x14ac:dyDescent="0.25">
      <c r="A437" t="s">
        <v>596</v>
      </c>
      <c r="B437" s="1" t="s">
        <v>1336</v>
      </c>
      <c r="C437" t="s">
        <v>355</v>
      </c>
      <c r="D437">
        <v>33</v>
      </c>
      <c r="E437" t="s">
        <v>23</v>
      </c>
      <c r="F437" t="s">
        <v>30</v>
      </c>
      <c r="G437" t="s">
        <v>31</v>
      </c>
      <c r="H437">
        <v>4</v>
      </c>
      <c r="I437">
        <v>2819</v>
      </c>
      <c r="J437">
        <v>50</v>
      </c>
      <c r="K437" t="s">
        <v>19</v>
      </c>
      <c r="L437" t="s">
        <v>51</v>
      </c>
      <c r="M4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37">
        <v>5638</v>
      </c>
      <c r="O437" t="s">
        <v>26</v>
      </c>
      <c r="P437" t="str">
        <f>_xlfn.IFS(LEFT(indian_retail_raw_1000[[#This Row],[x]],1)="W", "West",LEFT(indian_retail_raw_1000[[#This Row],[x]],1)= "E","East",LEFT(O437,1) = "S", "South",LEFT(O437,1) = "N", "North")</f>
        <v>West</v>
      </c>
      <c r="Q437" t="s">
        <v>30</v>
      </c>
      <c r="R437" t="s">
        <v>23</v>
      </c>
      <c r="S437" t="str">
        <f>TEXT(indian_retail_raw_1000[[#This Row],[Order_Date]],"MMM")</f>
        <v>Null</v>
      </c>
    </row>
    <row r="438" spans="1:19" x14ac:dyDescent="0.25">
      <c r="A438" t="s">
        <v>1270</v>
      </c>
      <c r="B438" s="1">
        <v>45257</v>
      </c>
      <c r="C438" t="s">
        <v>156</v>
      </c>
      <c r="D438">
        <v>32</v>
      </c>
      <c r="E438" t="s">
        <v>16</v>
      </c>
      <c r="F438" t="s">
        <v>35</v>
      </c>
      <c r="G438" t="s">
        <v>63</v>
      </c>
      <c r="H438">
        <v>4</v>
      </c>
      <c r="I438">
        <v>1881</v>
      </c>
      <c r="J438">
        <v>25</v>
      </c>
      <c r="K438" t="s">
        <v>41</v>
      </c>
      <c r="L438" t="s">
        <v>51</v>
      </c>
      <c r="M4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38">
        <v>5643</v>
      </c>
      <c r="O438" t="s">
        <v>33</v>
      </c>
      <c r="P438" t="str">
        <f>_xlfn.IFS(LEFT(indian_retail_raw_1000[[#This Row],[x]],1)="W", "West",LEFT(indian_retail_raw_1000[[#This Row],[x]],1)= "E","East",LEFT(O438,1) = "S", "South",LEFT(O438,1) = "N", "North")</f>
        <v>West</v>
      </c>
      <c r="Q438" t="s">
        <v>35</v>
      </c>
      <c r="R438" t="s">
        <v>16</v>
      </c>
      <c r="S438" t="str">
        <f>TEXT(indian_retail_raw_1000[[#This Row],[Order_Date]],"MMM")</f>
        <v>Nov</v>
      </c>
    </row>
    <row r="439" spans="1:19" x14ac:dyDescent="0.25">
      <c r="A439" t="s">
        <v>1250</v>
      </c>
      <c r="B439" s="1" t="s">
        <v>1336</v>
      </c>
      <c r="C439" t="s">
        <v>1336</v>
      </c>
      <c r="D439">
        <v>34</v>
      </c>
      <c r="E439" t="s">
        <v>16</v>
      </c>
      <c r="F439" t="s">
        <v>35</v>
      </c>
      <c r="G439" t="s">
        <v>213</v>
      </c>
      <c r="H439">
        <v>10</v>
      </c>
      <c r="I439">
        <v>664</v>
      </c>
      <c r="J439">
        <v>15</v>
      </c>
      <c r="K439" t="s">
        <v>19</v>
      </c>
      <c r="L439" t="s">
        <v>20</v>
      </c>
      <c r="M4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9">
        <v>5644</v>
      </c>
      <c r="O439" t="s">
        <v>26</v>
      </c>
      <c r="P439" t="str">
        <f>_xlfn.IFS(LEFT(indian_retail_raw_1000[[#This Row],[x]],1)="W", "West",LEFT(indian_retail_raw_1000[[#This Row],[x]],1)= "E","East",LEFT(O439,1) = "S", "South",LEFT(O439,1) = "N", "North")</f>
        <v>West</v>
      </c>
      <c r="Q439" t="s">
        <v>35</v>
      </c>
      <c r="R439" t="s">
        <v>16</v>
      </c>
      <c r="S439" t="str">
        <f>TEXT(indian_retail_raw_1000[[#This Row],[Order_Date]],"MMM")</f>
        <v>Null</v>
      </c>
    </row>
    <row r="440" spans="1:19" x14ac:dyDescent="0.25">
      <c r="A440" t="s">
        <v>1189</v>
      </c>
      <c r="B440" s="1" t="s">
        <v>1336</v>
      </c>
      <c r="C440" t="s">
        <v>1336</v>
      </c>
      <c r="D440">
        <v>18</v>
      </c>
      <c r="E440" t="s">
        <v>16</v>
      </c>
      <c r="F440" t="s">
        <v>35</v>
      </c>
      <c r="G440" t="s">
        <v>99</v>
      </c>
      <c r="H440">
        <v>6</v>
      </c>
      <c r="I440">
        <v>1347</v>
      </c>
      <c r="J440">
        <v>30</v>
      </c>
      <c r="K440" t="s">
        <v>25</v>
      </c>
      <c r="L440" t="s">
        <v>20</v>
      </c>
      <c r="M4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0">
        <v>5657.4</v>
      </c>
      <c r="O440" t="s">
        <v>26</v>
      </c>
      <c r="P440" t="str">
        <f>_xlfn.IFS(LEFT(indian_retail_raw_1000[[#This Row],[x]],1)="W", "West",LEFT(indian_retail_raw_1000[[#This Row],[x]],1)= "E","East",LEFT(O440,1) = "S", "South",LEFT(O440,1) = "N", "North")</f>
        <v>West</v>
      </c>
      <c r="Q440" t="s">
        <v>35</v>
      </c>
      <c r="R440" t="s">
        <v>16</v>
      </c>
      <c r="S440" t="str">
        <f>TEXT(indian_retail_raw_1000[[#This Row],[Order_Date]],"MMM")</f>
        <v>Null</v>
      </c>
    </row>
    <row r="441" spans="1:19" x14ac:dyDescent="0.25">
      <c r="A441" t="s">
        <v>760</v>
      </c>
      <c r="B441" s="1" t="s">
        <v>1336</v>
      </c>
      <c r="C441" t="s">
        <v>28</v>
      </c>
      <c r="D441">
        <v>45</v>
      </c>
      <c r="E441" t="s">
        <v>143</v>
      </c>
      <c r="F441" t="s">
        <v>35</v>
      </c>
      <c r="G441" t="s">
        <v>257</v>
      </c>
      <c r="H441">
        <v>7</v>
      </c>
      <c r="I441">
        <v>1162</v>
      </c>
      <c r="J441">
        <v>30</v>
      </c>
      <c r="K441" t="s">
        <v>83</v>
      </c>
      <c r="L441" t="s">
        <v>20</v>
      </c>
      <c r="M4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1">
        <v>5693.8</v>
      </c>
      <c r="O441" t="s">
        <v>45</v>
      </c>
      <c r="P441" t="str">
        <f>_xlfn.IFS(LEFT(indian_retail_raw_1000[[#This Row],[x]],1)="W", "West",LEFT(indian_retail_raw_1000[[#This Row],[x]],1)= "E","East",LEFT(O441,1) = "S", "South",LEFT(O441,1) = "N", "North")</f>
        <v>East</v>
      </c>
      <c r="Q441" t="s">
        <v>35</v>
      </c>
      <c r="R441" t="s">
        <v>138</v>
      </c>
      <c r="S441" t="str">
        <f>TEXT(indian_retail_raw_1000[[#This Row],[Order_Date]],"MMM")</f>
        <v>Null</v>
      </c>
    </row>
    <row r="442" spans="1:19" x14ac:dyDescent="0.25">
      <c r="A442" t="s">
        <v>712</v>
      </c>
      <c r="B442" s="1">
        <v>45125</v>
      </c>
      <c r="C442" t="s">
        <v>1336</v>
      </c>
      <c r="D442">
        <v>48</v>
      </c>
      <c r="E442" t="s">
        <v>16</v>
      </c>
      <c r="F442" t="s">
        <v>17</v>
      </c>
      <c r="G442" t="s">
        <v>94</v>
      </c>
      <c r="H442">
        <v>2</v>
      </c>
      <c r="I442">
        <v>2850</v>
      </c>
      <c r="J442">
        <v>0</v>
      </c>
      <c r="K442" t="s">
        <v>41</v>
      </c>
      <c r="L442" t="s">
        <v>37</v>
      </c>
      <c r="M4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2">
        <v>5700</v>
      </c>
      <c r="O442" t="s">
        <v>45</v>
      </c>
      <c r="P442" t="str">
        <f>_xlfn.IFS(LEFT(indian_retail_raw_1000[[#This Row],[x]],1)="W", "West",LEFT(indian_retail_raw_1000[[#This Row],[x]],1)= "E","East",LEFT(O442,1) = "S", "South",LEFT(O442,1) = "N", "North")</f>
        <v>East</v>
      </c>
      <c r="Q442" t="s">
        <v>17</v>
      </c>
      <c r="R442" t="s">
        <v>16</v>
      </c>
      <c r="S442" t="str">
        <f>TEXT(indian_retail_raw_1000[[#This Row],[Order_Date]],"MMM")</f>
        <v>Jul</v>
      </c>
    </row>
    <row r="443" spans="1:19" x14ac:dyDescent="0.25">
      <c r="A443" t="s">
        <v>1019</v>
      </c>
      <c r="B443" s="1" t="s">
        <v>1336</v>
      </c>
      <c r="C443" t="s">
        <v>1336</v>
      </c>
      <c r="D443">
        <v>31</v>
      </c>
      <c r="E443" t="s">
        <v>23</v>
      </c>
      <c r="F443" t="s">
        <v>54</v>
      </c>
      <c r="G443" t="s">
        <v>77</v>
      </c>
      <c r="H443">
        <v>1</v>
      </c>
      <c r="I443">
        <v>22800</v>
      </c>
      <c r="J443">
        <v>75</v>
      </c>
      <c r="K443" t="s">
        <v>19</v>
      </c>
      <c r="L443" t="s">
        <v>20</v>
      </c>
      <c r="M4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3">
        <v>5700</v>
      </c>
      <c r="O443" t="s">
        <v>149</v>
      </c>
      <c r="P443" t="str">
        <f>_xlfn.IFS(LEFT(indian_retail_raw_1000[[#This Row],[x]],1)="W", "West",LEFT(indian_retail_raw_1000[[#This Row],[x]],1)= "E","East",LEFT(O443,1) = "S", "South",LEFT(O443,1) = "N", "North")</f>
        <v>West</v>
      </c>
      <c r="Q443" t="s">
        <v>54</v>
      </c>
      <c r="R443" t="s">
        <v>23</v>
      </c>
      <c r="S443" t="str">
        <f>TEXT(indian_retail_raw_1000[[#This Row],[Order_Date]],"MMM")</f>
        <v>Null</v>
      </c>
    </row>
    <row r="444" spans="1:19" x14ac:dyDescent="0.25">
      <c r="A444" t="s">
        <v>1093</v>
      </c>
      <c r="B444" s="1" t="s">
        <v>1336</v>
      </c>
      <c r="C444" t="s">
        <v>66</v>
      </c>
      <c r="D444">
        <v>49</v>
      </c>
      <c r="E444" t="s">
        <v>475</v>
      </c>
      <c r="F444" t="s">
        <v>17</v>
      </c>
      <c r="G444" t="s">
        <v>94</v>
      </c>
      <c r="H444">
        <v>2</v>
      </c>
      <c r="I444">
        <v>3800</v>
      </c>
      <c r="J444">
        <v>25</v>
      </c>
      <c r="K444" t="s">
        <v>25</v>
      </c>
      <c r="L444" t="s">
        <v>20</v>
      </c>
      <c r="M4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4">
        <v>5700</v>
      </c>
      <c r="O444" t="s">
        <v>38</v>
      </c>
      <c r="P444" t="str">
        <f>_xlfn.IFS(LEFT(indian_retail_raw_1000[[#This Row],[x]],1)="W", "West",LEFT(indian_retail_raw_1000[[#This Row],[x]],1)= "E","East",LEFT(O444,1) = "S", "South",LEFT(O444,1) = "N", "North")</f>
        <v>North</v>
      </c>
      <c r="Q444" t="s">
        <v>17</v>
      </c>
      <c r="R444" t="s">
        <v>138</v>
      </c>
      <c r="S444" t="str">
        <f>TEXT(indian_retail_raw_1000[[#This Row],[Order_Date]],"MMM")</f>
        <v>Null</v>
      </c>
    </row>
    <row r="445" spans="1:19" x14ac:dyDescent="0.25">
      <c r="A445" t="s">
        <v>742</v>
      </c>
      <c r="B445" s="1">
        <v>45070</v>
      </c>
      <c r="C445" t="s">
        <v>72</v>
      </c>
      <c r="D445">
        <v>30</v>
      </c>
      <c r="E445" t="s">
        <v>23</v>
      </c>
      <c r="F445" t="s">
        <v>30</v>
      </c>
      <c r="G445" t="s">
        <v>294</v>
      </c>
      <c r="H445">
        <v>9</v>
      </c>
      <c r="I445">
        <v>643</v>
      </c>
      <c r="J445">
        <v>0</v>
      </c>
      <c r="K445" t="s">
        <v>32</v>
      </c>
      <c r="L445" t="s">
        <v>51</v>
      </c>
      <c r="M4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45">
        <v>5787</v>
      </c>
      <c r="O445" t="s">
        <v>26</v>
      </c>
      <c r="P445" t="str">
        <f>_xlfn.IFS(LEFT(indian_retail_raw_1000[[#This Row],[x]],1)="W", "West",LEFT(indian_retail_raw_1000[[#This Row],[x]],1)= "E","East",LEFT(O445,1) = "S", "South",LEFT(O445,1) = "N", "North")</f>
        <v>West</v>
      </c>
      <c r="Q445" t="s">
        <v>30</v>
      </c>
      <c r="R445" t="s">
        <v>23</v>
      </c>
      <c r="S445" t="str">
        <f>TEXT(indian_retail_raw_1000[[#This Row],[Order_Date]],"MMM")</f>
        <v>May</v>
      </c>
    </row>
    <row r="446" spans="1:19" x14ac:dyDescent="0.25">
      <c r="A446" t="s">
        <v>465</v>
      </c>
      <c r="B446" s="1" t="s">
        <v>1336</v>
      </c>
      <c r="C446" t="s">
        <v>72</v>
      </c>
      <c r="D446">
        <v>26</v>
      </c>
      <c r="E446" t="s">
        <v>23</v>
      </c>
      <c r="F446" t="s">
        <v>291</v>
      </c>
      <c r="G446" t="s">
        <v>259</v>
      </c>
      <c r="H446">
        <v>2</v>
      </c>
      <c r="I446">
        <v>4850</v>
      </c>
      <c r="J446">
        <v>40</v>
      </c>
      <c r="K446" t="s">
        <v>41</v>
      </c>
      <c r="L446" t="s">
        <v>20</v>
      </c>
      <c r="M4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6">
        <v>5820</v>
      </c>
      <c r="O446" t="s">
        <v>21</v>
      </c>
      <c r="P446" t="str">
        <f>_xlfn.IFS(LEFT(indian_retail_raw_1000[[#This Row],[x]],1)="W", "West",LEFT(indian_retail_raw_1000[[#This Row],[x]],1)= "E","East",LEFT(O446,1) = "S", "South",LEFT(O446,1) = "N", "North")</f>
        <v>South</v>
      </c>
      <c r="Q446" t="s">
        <v>17</v>
      </c>
      <c r="R446" t="s">
        <v>23</v>
      </c>
      <c r="S446" t="str">
        <f>TEXT(indian_retail_raw_1000[[#This Row],[Order_Date]],"MMM")</f>
        <v>Null</v>
      </c>
    </row>
    <row r="447" spans="1:19" x14ac:dyDescent="0.25">
      <c r="A447" t="s">
        <v>581</v>
      </c>
      <c r="B447" s="1">
        <v>45058</v>
      </c>
      <c r="C447" t="s">
        <v>192</v>
      </c>
      <c r="D447">
        <v>57</v>
      </c>
      <c r="E447" t="s">
        <v>16</v>
      </c>
      <c r="F447" t="s">
        <v>35</v>
      </c>
      <c r="G447" t="s">
        <v>257</v>
      </c>
      <c r="H447">
        <v>7</v>
      </c>
      <c r="I447">
        <v>1388</v>
      </c>
      <c r="J447">
        <v>40</v>
      </c>
      <c r="K447" t="s">
        <v>19</v>
      </c>
      <c r="L447" t="s">
        <v>56</v>
      </c>
      <c r="M4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47">
        <v>5829.6</v>
      </c>
      <c r="O447" t="s">
        <v>26</v>
      </c>
      <c r="P447" t="str">
        <f>_xlfn.IFS(LEFT(indian_retail_raw_1000[[#This Row],[x]],1)="W", "West",LEFT(indian_retail_raw_1000[[#This Row],[x]],1)= "E","East",LEFT(O447,1) = "S", "South",LEFT(O447,1) = "N", "North")</f>
        <v>West</v>
      </c>
      <c r="Q447" t="s">
        <v>35</v>
      </c>
      <c r="R447" t="s">
        <v>16</v>
      </c>
      <c r="S447" t="str">
        <f>TEXT(indian_retail_raw_1000[[#This Row],[Order_Date]],"MMM")</f>
        <v>May</v>
      </c>
    </row>
    <row r="448" spans="1:19" x14ac:dyDescent="0.25">
      <c r="A448" t="s">
        <v>1164</v>
      </c>
      <c r="B448" s="1">
        <v>45172</v>
      </c>
      <c r="C448" t="s">
        <v>1336</v>
      </c>
      <c r="D448">
        <v>46</v>
      </c>
      <c r="E448" t="s">
        <v>23</v>
      </c>
      <c r="F448" t="s">
        <v>17</v>
      </c>
      <c r="G448" t="s">
        <v>94</v>
      </c>
      <c r="H448">
        <v>3</v>
      </c>
      <c r="I448">
        <v>1950</v>
      </c>
      <c r="J448">
        <v>0</v>
      </c>
      <c r="K448" t="s">
        <v>19</v>
      </c>
      <c r="L448" t="s">
        <v>51</v>
      </c>
      <c r="M4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48">
        <v>5850</v>
      </c>
      <c r="O448" t="s">
        <v>38</v>
      </c>
      <c r="P448" t="str">
        <f>_xlfn.IFS(LEFT(indian_retail_raw_1000[[#This Row],[x]],1)="W", "West",LEFT(indian_retail_raw_1000[[#This Row],[x]],1)= "E","East",LEFT(O448,1) = "S", "South",LEFT(O448,1) = "N", "North")</f>
        <v>North</v>
      </c>
      <c r="Q448" t="s">
        <v>17</v>
      </c>
      <c r="R448" t="s">
        <v>23</v>
      </c>
      <c r="S448" t="str">
        <f>TEXT(indian_retail_raw_1000[[#This Row],[Order_Date]],"MMM")</f>
        <v>Sep</v>
      </c>
    </row>
    <row r="449" spans="1:19" x14ac:dyDescent="0.25">
      <c r="A449" t="s">
        <v>895</v>
      </c>
      <c r="B449" s="1">
        <v>45271</v>
      </c>
      <c r="C449" t="s">
        <v>43</v>
      </c>
      <c r="D449">
        <v>27</v>
      </c>
      <c r="E449" t="s">
        <v>23</v>
      </c>
      <c r="F449" t="s">
        <v>35</v>
      </c>
      <c r="G449" t="s">
        <v>36</v>
      </c>
      <c r="H449">
        <v>9</v>
      </c>
      <c r="I449">
        <v>723</v>
      </c>
      <c r="J449">
        <v>10</v>
      </c>
      <c r="K449" t="s">
        <v>83</v>
      </c>
      <c r="L449" t="s">
        <v>51</v>
      </c>
      <c r="M4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49">
        <v>5856.3</v>
      </c>
      <c r="O449" t="s">
        <v>38</v>
      </c>
      <c r="P449" t="str">
        <f>_xlfn.IFS(LEFT(indian_retail_raw_1000[[#This Row],[x]],1)="W", "West",LEFT(indian_retail_raw_1000[[#This Row],[x]],1)= "E","East",LEFT(O449,1) = "S", "South",LEFT(O449,1) = "N", "North")</f>
        <v>North</v>
      </c>
      <c r="Q449" t="s">
        <v>35</v>
      </c>
      <c r="R449" t="s">
        <v>23</v>
      </c>
      <c r="S449" t="str">
        <f>TEXT(indian_retail_raw_1000[[#This Row],[Order_Date]],"MMM")</f>
        <v>Dec</v>
      </c>
    </row>
    <row r="450" spans="1:19" x14ac:dyDescent="0.25">
      <c r="A450" t="s">
        <v>851</v>
      </c>
      <c r="B450" s="1">
        <v>45077</v>
      </c>
      <c r="C450" t="s">
        <v>66</v>
      </c>
      <c r="D450">
        <v>61</v>
      </c>
      <c r="E450" t="s">
        <v>16</v>
      </c>
      <c r="F450" t="s">
        <v>17</v>
      </c>
      <c r="G450" t="s">
        <v>24</v>
      </c>
      <c r="H450">
        <v>2</v>
      </c>
      <c r="I450">
        <v>2950</v>
      </c>
      <c r="J450">
        <v>0</v>
      </c>
      <c r="K450" t="s">
        <v>19</v>
      </c>
      <c r="L450" t="s">
        <v>20</v>
      </c>
      <c r="M4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0">
        <v>5900</v>
      </c>
      <c r="O450" t="s">
        <v>26</v>
      </c>
      <c r="P450" t="str">
        <f>_xlfn.IFS(LEFT(indian_retail_raw_1000[[#This Row],[x]],1)="W", "West",LEFT(indian_retail_raw_1000[[#This Row],[x]],1)= "E","East",LEFT(O450,1) = "S", "South",LEFT(O450,1) = "N", "North")</f>
        <v>West</v>
      </c>
      <c r="Q450" t="s">
        <v>17</v>
      </c>
      <c r="R450" t="s">
        <v>16</v>
      </c>
      <c r="S450" t="str">
        <f>TEXT(indian_retail_raw_1000[[#This Row],[Order_Date]],"MMM")</f>
        <v>May</v>
      </c>
    </row>
    <row r="451" spans="1:19" x14ac:dyDescent="0.25">
      <c r="A451" t="s">
        <v>676</v>
      </c>
      <c r="B451" s="1">
        <v>45085</v>
      </c>
      <c r="C451" t="s">
        <v>165</v>
      </c>
      <c r="D451">
        <v>21</v>
      </c>
      <c r="E451" t="s">
        <v>16</v>
      </c>
      <c r="F451" t="s">
        <v>35</v>
      </c>
      <c r="G451" t="s">
        <v>99</v>
      </c>
      <c r="H451">
        <v>8</v>
      </c>
      <c r="I451">
        <v>826</v>
      </c>
      <c r="J451">
        <v>10</v>
      </c>
      <c r="K451" t="s">
        <v>50</v>
      </c>
      <c r="L451" t="s">
        <v>56</v>
      </c>
      <c r="M4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51">
        <v>5947.2</v>
      </c>
      <c r="O451" t="s">
        <v>26</v>
      </c>
      <c r="P451" t="str">
        <f>_xlfn.IFS(LEFT(indian_retail_raw_1000[[#This Row],[x]],1)="W", "West",LEFT(indian_retail_raw_1000[[#This Row],[x]],1)= "E","East",LEFT(O451,1) = "S", "South",LEFT(O451,1) = "N", "North")</f>
        <v>West</v>
      </c>
      <c r="Q451" t="s">
        <v>35</v>
      </c>
      <c r="R451" t="s">
        <v>16</v>
      </c>
      <c r="S451" t="str">
        <f>TEXT(indian_retail_raw_1000[[#This Row],[Order_Date]],"MMM")</f>
        <v>Jun</v>
      </c>
    </row>
    <row r="452" spans="1:19" x14ac:dyDescent="0.25">
      <c r="A452" t="s">
        <v>790</v>
      </c>
      <c r="B452" s="1">
        <v>45134</v>
      </c>
      <c r="C452" t="s">
        <v>1336</v>
      </c>
      <c r="D452">
        <v>28</v>
      </c>
      <c r="E452" t="s">
        <v>23</v>
      </c>
      <c r="F452" t="s">
        <v>17</v>
      </c>
      <c r="G452" t="s">
        <v>274</v>
      </c>
      <c r="H452">
        <v>2</v>
      </c>
      <c r="I452">
        <v>3150</v>
      </c>
      <c r="J452">
        <v>5</v>
      </c>
      <c r="K452" t="s">
        <v>50</v>
      </c>
      <c r="L452" t="s">
        <v>107</v>
      </c>
      <c r="M4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2">
        <v>5985</v>
      </c>
      <c r="O452" t="s">
        <v>38</v>
      </c>
      <c r="P452" t="str">
        <f>_xlfn.IFS(LEFT(indian_retail_raw_1000[[#This Row],[x]],1)="W", "West",LEFT(indian_retail_raw_1000[[#This Row],[x]],1)= "E","East",LEFT(O452,1) = "S", "South",LEFT(O452,1) = "N", "North")</f>
        <v>North</v>
      </c>
      <c r="Q452" t="s">
        <v>17</v>
      </c>
      <c r="R452" t="s">
        <v>23</v>
      </c>
      <c r="S452" t="str">
        <f>TEXT(indian_retail_raw_1000[[#This Row],[Order_Date]],"MMM")</f>
        <v>Jul</v>
      </c>
    </row>
    <row r="453" spans="1:19" x14ac:dyDescent="0.25">
      <c r="A453" t="s">
        <v>1214</v>
      </c>
      <c r="B453" s="1" t="s">
        <v>1336</v>
      </c>
      <c r="C453" t="s">
        <v>211</v>
      </c>
      <c r="D453">
        <v>65</v>
      </c>
      <c r="E453" t="s">
        <v>171</v>
      </c>
      <c r="F453" t="s">
        <v>30</v>
      </c>
      <c r="G453" t="s">
        <v>224</v>
      </c>
      <c r="H453">
        <v>10</v>
      </c>
      <c r="I453">
        <v>749</v>
      </c>
      <c r="J453">
        <v>20</v>
      </c>
      <c r="K453" t="s">
        <v>25</v>
      </c>
      <c r="L453" t="s">
        <v>51</v>
      </c>
      <c r="M4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53">
        <v>5992</v>
      </c>
      <c r="O453" t="s">
        <v>45</v>
      </c>
      <c r="P453" t="str">
        <f>_xlfn.IFS(LEFT(indian_retail_raw_1000[[#This Row],[x]],1)="W", "West",LEFT(indian_retail_raw_1000[[#This Row],[x]],1)= "E","East",LEFT(O453,1) = "S", "South",LEFT(O453,1) = "N", "North")</f>
        <v>East</v>
      </c>
      <c r="Q453" t="s">
        <v>30</v>
      </c>
      <c r="R453" t="s">
        <v>138</v>
      </c>
      <c r="S453" t="str">
        <f>TEXT(indian_retail_raw_1000[[#This Row],[Order_Date]],"MMM")</f>
        <v>Null</v>
      </c>
    </row>
    <row r="454" spans="1:19" x14ac:dyDescent="0.25">
      <c r="A454" t="s">
        <v>116</v>
      </c>
      <c r="B454" s="1">
        <v>45146</v>
      </c>
      <c r="C454" t="s">
        <v>48</v>
      </c>
      <c r="D454">
        <v>28</v>
      </c>
      <c r="E454" t="s">
        <v>16</v>
      </c>
      <c r="F454" t="s">
        <v>17</v>
      </c>
      <c r="G454" t="s">
        <v>117</v>
      </c>
      <c r="H454">
        <v>1</v>
      </c>
      <c r="I454">
        <v>6000</v>
      </c>
      <c r="J454">
        <v>5</v>
      </c>
      <c r="K454" t="s">
        <v>41</v>
      </c>
      <c r="L454" t="s">
        <v>56</v>
      </c>
      <c r="M4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54">
        <v>6000</v>
      </c>
      <c r="O454" t="s">
        <v>26</v>
      </c>
      <c r="P454" t="str">
        <f>_xlfn.IFS(LEFT(indian_retail_raw_1000[[#This Row],[x]],1)="W", "West",LEFT(indian_retail_raw_1000[[#This Row],[x]],1)= "E","East",LEFT(O454,1) = "S", "South",LEFT(O454,1) = "N", "North")</f>
        <v>West</v>
      </c>
      <c r="Q454" t="s">
        <v>17</v>
      </c>
      <c r="R454" t="s">
        <v>16</v>
      </c>
      <c r="S454" t="str">
        <f>TEXT(indian_retail_raw_1000[[#This Row],[Order_Date]],"MMM")</f>
        <v>Aug</v>
      </c>
    </row>
    <row r="455" spans="1:19" x14ac:dyDescent="0.25">
      <c r="A455" t="s">
        <v>1007</v>
      </c>
      <c r="B455" s="1">
        <v>45014</v>
      </c>
      <c r="C455" t="s">
        <v>176</v>
      </c>
      <c r="D455">
        <v>23</v>
      </c>
      <c r="E455" t="s">
        <v>23</v>
      </c>
      <c r="F455" t="s">
        <v>347</v>
      </c>
      <c r="G455" t="s">
        <v>311</v>
      </c>
      <c r="H455">
        <v>2</v>
      </c>
      <c r="I455">
        <v>4000</v>
      </c>
      <c r="J455">
        <v>25</v>
      </c>
      <c r="K455" t="s">
        <v>50</v>
      </c>
      <c r="L455" t="s">
        <v>20</v>
      </c>
      <c r="M4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5">
        <v>6000</v>
      </c>
      <c r="O455" t="s">
        <v>26</v>
      </c>
      <c r="P455" t="str">
        <f>_xlfn.IFS(LEFT(indian_retail_raw_1000[[#This Row],[x]],1)="W", "West",LEFT(indian_retail_raw_1000[[#This Row],[x]],1)= "E","East",LEFT(O455,1) = "S", "South",LEFT(O455,1) = "N", "North")</f>
        <v>West</v>
      </c>
      <c r="Q455" t="s">
        <v>54</v>
      </c>
      <c r="R455" t="s">
        <v>23</v>
      </c>
      <c r="S455" t="str">
        <f>TEXT(indian_retail_raw_1000[[#This Row],[Order_Date]],"MMM")</f>
        <v>Mar</v>
      </c>
    </row>
    <row r="456" spans="1:19" x14ac:dyDescent="0.25">
      <c r="A456" t="s">
        <v>183</v>
      </c>
      <c r="B456" s="1">
        <v>45152</v>
      </c>
      <c r="C456" t="s">
        <v>102</v>
      </c>
      <c r="D456">
        <v>19</v>
      </c>
      <c r="E456" t="s">
        <v>16</v>
      </c>
      <c r="F456" t="s">
        <v>30</v>
      </c>
      <c r="G456" t="s">
        <v>130</v>
      </c>
      <c r="H456">
        <v>4</v>
      </c>
      <c r="I456">
        <v>2143</v>
      </c>
      <c r="J456">
        <v>30</v>
      </c>
      <c r="K456" t="s">
        <v>41</v>
      </c>
      <c r="L456" t="s">
        <v>20</v>
      </c>
      <c r="M4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6">
        <v>6000.4</v>
      </c>
      <c r="O456" t="s">
        <v>45</v>
      </c>
      <c r="P456" t="str">
        <f>_xlfn.IFS(LEFT(indian_retail_raw_1000[[#This Row],[x]],1)="W", "West",LEFT(indian_retail_raw_1000[[#This Row],[x]],1)= "E","East",LEFT(O456,1) = "S", "South",LEFT(O456,1) = "N", "North")</f>
        <v>East</v>
      </c>
      <c r="Q456" t="s">
        <v>30</v>
      </c>
      <c r="R456" t="s">
        <v>16</v>
      </c>
      <c r="S456" t="str">
        <f>TEXT(indian_retail_raw_1000[[#This Row],[Order_Date]],"MMM")</f>
        <v>Aug</v>
      </c>
    </row>
    <row r="457" spans="1:19" x14ac:dyDescent="0.25">
      <c r="A457" t="s">
        <v>455</v>
      </c>
      <c r="B457" s="1">
        <v>45100</v>
      </c>
      <c r="C457" t="s">
        <v>128</v>
      </c>
      <c r="D457">
        <v>35</v>
      </c>
      <c r="E457" t="s">
        <v>146</v>
      </c>
      <c r="F457" t="s">
        <v>30</v>
      </c>
      <c r="G457" t="s">
        <v>130</v>
      </c>
      <c r="H457">
        <v>2</v>
      </c>
      <c r="I457">
        <v>3596</v>
      </c>
      <c r="J457">
        <v>15</v>
      </c>
      <c r="K457" t="s">
        <v>41</v>
      </c>
      <c r="L457" t="s">
        <v>51</v>
      </c>
      <c r="M4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57">
        <v>6113.2</v>
      </c>
      <c r="O457" t="s">
        <v>26</v>
      </c>
      <c r="P457" t="str">
        <f>_xlfn.IFS(LEFT(indian_retail_raw_1000[[#This Row],[x]],1)="W", "West",LEFT(indian_retail_raw_1000[[#This Row],[x]],1)= "E","East",LEFT(O457,1) = "S", "South",LEFT(O457,1) = "N", "North")</f>
        <v>West</v>
      </c>
      <c r="Q457" t="s">
        <v>30</v>
      </c>
      <c r="R457" t="s">
        <v>16</v>
      </c>
      <c r="S457" t="str">
        <f>TEXT(indian_retail_raw_1000[[#This Row],[Order_Date]],"MMM")</f>
        <v>Jun</v>
      </c>
    </row>
    <row r="458" spans="1:19" x14ac:dyDescent="0.25">
      <c r="A458" t="s">
        <v>824</v>
      </c>
      <c r="B458" s="1" t="s">
        <v>1336</v>
      </c>
      <c r="C458" t="s">
        <v>1336</v>
      </c>
      <c r="D458">
        <v>21</v>
      </c>
      <c r="E458" t="s">
        <v>16</v>
      </c>
      <c r="F458" t="s">
        <v>759</v>
      </c>
      <c r="G458" t="s">
        <v>224</v>
      </c>
      <c r="H458">
        <v>8</v>
      </c>
      <c r="I458">
        <v>1024</v>
      </c>
      <c r="J458">
        <v>25</v>
      </c>
      <c r="K458" t="s">
        <v>41</v>
      </c>
      <c r="L458" t="s">
        <v>20</v>
      </c>
      <c r="M4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8">
        <v>6144</v>
      </c>
      <c r="O458" t="s">
        <v>38</v>
      </c>
      <c r="P458" t="str">
        <f>_xlfn.IFS(LEFT(indian_retail_raw_1000[[#This Row],[x]],1)="W", "West",LEFT(indian_retail_raw_1000[[#This Row],[x]],1)= "E","East",LEFT(O458,1) = "S", "South",LEFT(O458,1) = "N", "North")</f>
        <v>North</v>
      </c>
      <c r="Q458" t="s">
        <v>30</v>
      </c>
      <c r="R458" t="s">
        <v>16</v>
      </c>
      <c r="S458" t="str">
        <f>TEXT(indian_retail_raw_1000[[#This Row],[Order_Date]],"MMM")</f>
        <v>Null</v>
      </c>
    </row>
    <row r="459" spans="1:19" x14ac:dyDescent="0.25">
      <c r="A459" t="s">
        <v>404</v>
      </c>
      <c r="B459" s="1">
        <v>44941</v>
      </c>
      <c r="C459" t="s">
        <v>48</v>
      </c>
      <c r="D459">
        <v>20</v>
      </c>
      <c r="E459" t="s">
        <v>23</v>
      </c>
      <c r="F459" t="s">
        <v>17</v>
      </c>
      <c r="G459" t="s">
        <v>274</v>
      </c>
      <c r="H459">
        <v>3</v>
      </c>
      <c r="I459">
        <v>2050</v>
      </c>
      <c r="J459">
        <v>0</v>
      </c>
      <c r="K459" t="s">
        <v>50</v>
      </c>
      <c r="L459" t="s">
        <v>20</v>
      </c>
      <c r="M4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9">
        <v>6150</v>
      </c>
      <c r="O459" t="s">
        <v>26</v>
      </c>
      <c r="P459" t="str">
        <f>_xlfn.IFS(LEFT(indian_retail_raw_1000[[#This Row],[x]],1)="W", "West",LEFT(indian_retail_raw_1000[[#This Row],[x]],1)= "E","East",LEFT(O459,1) = "S", "South",LEFT(O459,1) = "N", "North")</f>
        <v>West</v>
      </c>
      <c r="Q459" t="s">
        <v>17</v>
      </c>
      <c r="R459" t="s">
        <v>23</v>
      </c>
      <c r="S459" t="str">
        <f>TEXT(indian_retail_raw_1000[[#This Row],[Order_Date]],"MMM")</f>
        <v>Jan</v>
      </c>
    </row>
    <row r="460" spans="1:19" x14ac:dyDescent="0.25">
      <c r="A460" t="s">
        <v>1185</v>
      </c>
      <c r="B460" s="1" t="s">
        <v>1336</v>
      </c>
      <c r="C460" t="s">
        <v>87</v>
      </c>
      <c r="E460" t="s">
        <v>16</v>
      </c>
      <c r="F460" t="s">
        <v>438</v>
      </c>
      <c r="G460" t="s">
        <v>94</v>
      </c>
      <c r="H460">
        <v>3</v>
      </c>
      <c r="I460">
        <v>2050</v>
      </c>
      <c r="K460" t="s">
        <v>19</v>
      </c>
      <c r="L460" t="s">
        <v>56</v>
      </c>
      <c r="M4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60">
        <v>6150</v>
      </c>
      <c r="O460" t="s">
        <v>26</v>
      </c>
      <c r="P460" t="str">
        <f>_xlfn.IFS(LEFT(indian_retail_raw_1000[[#This Row],[x]],1)="W", "West",LEFT(indian_retail_raw_1000[[#This Row],[x]],1)= "E","East",LEFT(O460,1) = "S", "South",LEFT(O460,1) = "N", "North")</f>
        <v>West</v>
      </c>
      <c r="Q460" t="s">
        <v>17</v>
      </c>
      <c r="R460" t="s">
        <v>16</v>
      </c>
      <c r="S460" t="str">
        <f>TEXT(indian_retail_raw_1000[[#This Row],[Order_Date]],"MMM")</f>
        <v>Null</v>
      </c>
    </row>
    <row r="461" spans="1:19" x14ac:dyDescent="0.25">
      <c r="A461" t="s">
        <v>967</v>
      </c>
      <c r="B461" s="1">
        <v>45000</v>
      </c>
      <c r="C461" t="s">
        <v>1336</v>
      </c>
      <c r="D461">
        <v>34</v>
      </c>
      <c r="E461" t="s">
        <v>23</v>
      </c>
      <c r="F461" t="s">
        <v>30</v>
      </c>
      <c r="G461" t="s">
        <v>67</v>
      </c>
      <c r="H461">
        <v>5</v>
      </c>
      <c r="I461">
        <v>2480</v>
      </c>
      <c r="J461">
        <v>50</v>
      </c>
      <c r="K461" t="s">
        <v>41</v>
      </c>
      <c r="L461" t="s">
        <v>20</v>
      </c>
      <c r="M4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1">
        <v>6200</v>
      </c>
      <c r="O461" t="s">
        <v>26</v>
      </c>
      <c r="P461" t="str">
        <f>_xlfn.IFS(LEFT(indian_retail_raw_1000[[#This Row],[x]],1)="W", "West",LEFT(indian_retail_raw_1000[[#This Row],[x]],1)= "E","East",LEFT(O461,1) = "S", "South",LEFT(O461,1) = "N", "North")</f>
        <v>West</v>
      </c>
      <c r="Q461" t="s">
        <v>30</v>
      </c>
      <c r="R461" t="s">
        <v>23</v>
      </c>
      <c r="S461" t="str">
        <f>TEXT(indian_retail_raw_1000[[#This Row],[Order_Date]],"MMM")</f>
        <v>Mar</v>
      </c>
    </row>
    <row r="462" spans="1:19" x14ac:dyDescent="0.25">
      <c r="A462" t="s">
        <v>798</v>
      </c>
      <c r="B462" s="1" t="s">
        <v>1336</v>
      </c>
      <c r="C462" t="s">
        <v>587</v>
      </c>
      <c r="D462">
        <v>44</v>
      </c>
      <c r="E462" t="s">
        <v>16</v>
      </c>
      <c r="F462" t="s">
        <v>54</v>
      </c>
      <c r="G462" t="s">
        <v>311</v>
      </c>
      <c r="H462">
        <v>2</v>
      </c>
      <c r="I462">
        <v>3900</v>
      </c>
      <c r="J462">
        <v>20</v>
      </c>
      <c r="K462" t="s">
        <v>50</v>
      </c>
      <c r="L462" t="s">
        <v>20</v>
      </c>
      <c r="M4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2">
        <v>6240</v>
      </c>
      <c r="O462" t="s">
        <v>21</v>
      </c>
      <c r="P462" t="str">
        <f>_xlfn.IFS(LEFT(indian_retail_raw_1000[[#This Row],[x]],1)="W", "West",LEFT(indian_retail_raw_1000[[#This Row],[x]],1)= "E","East",LEFT(O462,1) = "S", "South",LEFT(O462,1) = "N", "North")</f>
        <v>South</v>
      </c>
      <c r="Q462" t="s">
        <v>54</v>
      </c>
      <c r="R462" t="s">
        <v>16</v>
      </c>
      <c r="S462" t="str">
        <f>TEXT(indian_retail_raw_1000[[#This Row],[Order_Date]],"MMM")</f>
        <v>Null</v>
      </c>
    </row>
    <row r="463" spans="1:19" x14ac:dyDescent="0.25">
      <c r="A463" t="s">
        <v>406</v>
      </c>
      <c r="B463" s="1">
        <v>45271</v>
      </c>
      <c r="C463" t="s">
        <v>28</v>
      </c>
      <c r="D463">
        <v>21</v>
      </c>
      <c r="E463" t="s">
        <v>16</v>
      </c>
      <c r="F463" t="s">
        <v>17</v>
      </c>
      <c r="G463" t="s">
        <v>40</v>
      </c>
      <c r="H463">
        <v>2</v>
      </c>
      <c r="I463">
        <v>3150</v>
      </c>
      <c r="J463">
        <v>0</v>
      </c>
      <c r="K463" t="s">
        <v>326</v>
      </c>
      <c r="L463" t="s">
        <v>20</v>
      </c>
      <c r="M4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3">
        <v>6300</v>
      </c>
      <c r="O463" t="s">
        <v>38</v>
      </c>
      <c r="P463" t="str">
        <f>_xlfn.IFS(LEFT(indian_retail_raw_1000[[#This Row],[x]],1)="W", "West",LEFT(indian_retail_raw_1000[[#This Row],[x]],1)= "E","East",LEFT(O463,1) = "S", "South",LEFT(O463,1) = "N", "North")</f>
        <v>North</v>
      </c>
      <c r="Q463" t="s">
        <v>17</v>
      </c>
      <c r="R463" t="s">
        <v>16</v>
      </c>
      <c r="S463" t="str">
        <f>TEXT(indian_retail_raw_1000[[#This Row],[Order_Date]],"MMM")</f>
        <v>Dec</v>
      </c>
    </row>
    <row r="464" spans="1:19" x14ac:dyDescent="0.25">
      <c r="A464" t="s">
        <v>1125</v>
      </c>
      <c r="B464" s="1">
        <v>45211</v>
      </c>
      <c r="C464" t="s">
        <v>1336</v>
      </c>
      <c r="D464">
        <v>23</v>
      </c>
      <c r="E464" t="s">
        <v>16</v>
      </c>
      <c r="F464" t="s">
        <v>17</v>
      </c>
      <c r="G464" t="s">
        <v>124</v>
      </c>
      <c r="H464">
        <v>3</v>
      </c>
      <c r="I464">
        <v>6450</v>
      </c>
      <c r="J464">
        <v>20</v>
      </c>
      <c r="K464" t="s">
        <v>41</v>
      </c>
      <c r="L464" t="s">
        <v>51</v>
      </c>
      <c r="M4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64">
        <v>6450</v>
      </c>
      <c r="O464" t="s">
        <v>38</v>
      </c>
      <c r="P464" t="str">
        <f>_xlfn.IFS(LEFT(indian_retail_raw_1000[[#This Row],[x]],1)="W", "West",LEFT(indian_retail_raw_1000[[#This Row],[x]],1)= "E","East",LEFT(O464,1) = "S", "South",LEFT(O464,1) = "N", "North")</f>
        <v>North</v>
      </c>
      <c r="Q464" t="s">
        <v>17</v>
      </c>
      <c r="R464" t="s">
        <v>16</v>
      </c>
      <c r="S464" t="str">
        <f>TEXT(indian_retail_raw_1000[[#This Row],[Order_Date]],"MMM")</f>
        <v>Oct</v>
      </c>
    </row>
    <row r="465" spans="1:19" x14ac:dyDescent="0.25">
      <c r="A465" t="s">
        <v>615</v>
      </c>
      <c r="B465" s="1">
        <v>45050</v>
      </c>
      <c r="C465" t="s">
        <v>165</v>
      </c>
      <c r="D465">
        <v>22</v>
      </c>
      <c r="E465" t="s">
        <v>23</v>
      </c>
      <c r="F465" t="s">
        <v>569</v>
      </c>
      <c r="G465" t="s">
        <v>166</v>
      </c>
      <c r="H465">
        <v>9</v>
      </c>
      <c r="I465">
        <v>957</v>
      </c>
      <c r="J465">
        <v>25</v>
      </c>
      <c r="K465" t="s">
        <v>41</v>
      </c>
      <c r="L465" t="s">
        <v>20</v>
      </c>
      <c r="M4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5">
        <v>6459.75</v>
      </c>
      <c r="O465" t="s">
        <v>45</v>
      </c>
      <c r="P465" t="str">
        <f>_xlfn.IFS(LEFT(indian_retail_raw_1000[[#This Row],[x]],1)="W", "West",LEFT(indian_retail_raw_1000[[#This Row],[x]],1)= "E","East",LEFT(O465,1) = "S", "South",LEFT(O465,1) = "N", "North")</f>
        <v>East</v>
      </c>
      <c r="Q465" t="s">
        <v>35</v>
      </c>
      <c r="R465" t="s">
        <v>23</v>
      </c>
      <c r="S465" t="str">
        <f>TEXT(indian_retail_raw_1000[[#This Row],[Order_Date]],"MMM")</f>
        <v>May</v>
      </c>
    </row>
    <row r="466" spans="1:19" x14ac:dyDescent="0.25">
      <c r="A466" t="s">
        <v>494</v>
      </c>
      <c r="B466" s="1">
        <v>45197</v>
      </c>
      <c r="C466" t="s">
        <v>82</v>
      </c>
      <c r="D466">
        <v>28</v>
      </c>
      <c r="E466" t="s">
        <v>23</v>
      </c>
      <c r="F466" t="s">
        <v>17</v>
      </c>
      <c r="G466" t="s">
        <v>189</v>
      </c>
      <c r="H466">
        <v>3</v>
      </c>
      <c r="I466">
        <v>2400</v>
      </c>
      <c r="J466">
        <v>10</v>
      </c>
      <c r="K466" t="s">
        <v>41</v>
      </c>
      <c r="L466" t="s">
        <v>51</v>
      </c>
      <c r="M4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66">
        <v>6480</v>
      </c>
      <c r="O466" t="s">
        <v>21</v>
      </c>
      <c r="P466" t="str">
        <f>_xlfn.IFS(LEFT(indian_retail_raw_1000[[#This Row],[x]],1)="W", "West",LEFT(indian_retail_raw_1000[[#This Row],[x]],1)= "E","East",LEFT(O466,1) = "S", "South",LEFT(O466,1) = "N", "North")</f>
        <v>South</v>
      </c>
      <c r="Q466" t="s">
        <v>17</v>
      </c>
      <c r="R466" t="s">
        <v>23</v>
      </c>
      <c r="S466" t="str">
        <f>TEXT(indian_retail_raw_1000[[#This Row],[Order_Date]],"MMM")</f>
        <v>Sep</v>
      </c>
    </row>
    <row r="467" spans="1:19" x14ac:dyDescent="0.25">
      <c r="A467" t="s">
        <v>661</v>
      </c>
      <c r="B467" s="1">
        <v>45059</v>
      </c>
      <c r="C467" t="s">
        <v>128</v>
      </c>
      <c r="D467">
        <v>22</v>
      </c>
      <c r="E467" t="s">
        <v>16</v>
      </c>
      <c r="F467" t="s">
        <v>17</v>
      </c>
      <c r="G467" t="s">
        <v>274</v>
      </c>
      <c r="H467">
        <v>3</v>
      </c>
      <c r="I467">
        <v>2400</v>
      </c>
      <c r="J467">
        <v>10</v>
      </c>
      <c r="K467" t="s">
        <v>445</v>
      </c>
      <c r="L467" t="s">
        <v>56</v>
      </c>
      <c r="M4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67">
        <v>6480</v>
      </c>
      <c r="O467" t="s">
        <v>26</v>
      </c>
      <c r="P467" t="str">
        <f>_xlfn.IFS(LEFT(indian_retail_raw_1000[[#This Row],[x]],1)="W", "West",LEFT(indian_retail_raw_1000[[#This Row],[x]],1)= "E","East",LEFT(O467,1) = "S", "South",LEFT(O467,1) = "N", "North")</f>
        <v>West</v>
      </c>
      <c r="Q467" t="s">
        <v>17</v>
      </c>
      <c r="R467" t="s">
        <v>16</v>
      </c>
      <c r="S467" t="str">
        <f>TEXT(indian_retail_raw_1000[[#This Row],[Order_Date]],"MMM")</f>
        <v>May</v>
      </c>
    </row>
    <row r="468" spans="1:19" x14ac:dyDescent="0.25">
      <c r="A468" t="s">
        <v>833</v>
      </c>
      <c r="B468" s="1">
        <v>45246</v>
      </c>
      <c r="C468" t="s">
        <v>72</v>
      </c>
      <c r="D468">
        <v>29</v>
      </c>
      <c r="E468" t="s">
        <v>73</v>
      </c>
      <c r="F468" t="s">
        <v>17</v>
      </c>
      <c r="G468" t="s">
        <v>117</v>
      </c>
      <c r="H468">
        <v>1</v>
      </c>
      <c r="I468">
        <v>7200</v>
      </c>
      <c r="J468">
        <v>10</v>
      </c>
      <c r="K468" t="s">
        <v>50</v>
      </c>
      <c r="L468" t="s">
        <v>20</v>
      </c>
      <c r="M4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8">
        <v>6480</v>
      </c>
      <c r="O468" t="s">
        <v>45</v>
      </c>
      <c r="P468" t="str">
        <f>_xlfn.IFS(LEFT(indian_retail_raw_1000[[#This Row],[x]],1)="W", "West",LEFT(indian_retail_raw_1000[[#This Row],[x]],1)= "E","East",LEFT(O468,1) = "S", "South",LEFT(O468,1) = "N", "North")</f>
        <v>East</v>
      </c>
      <c r="Q468" t="s">
        <v>17</v>
      </c>
      <c r="R468" t="s">
        <v>23</v>
      </c>
      <c r="S468" t="str">
        <f>TEXT(indian_retail_raw_1000[[#This Row],[Order_Date]],"MMM")</f>
        <v>Nov</v>
      </c>
    </row>
    <row r="469" spans="1:19" x14ac:dyDescent="0.25">
      <c r="A469" t="s">
        <v>1096</v>
      </c>
      <c r="B469" s="1" t="s">
        <v>1336</v>
      </c>
      <c r="C469" t="s">
        <v>1336</v>
      </c>
      <c r="E469" t="s">
        <v>23</v>
      </c>
      <c r="F469" t="s">
        <v>438</v>
      </c>
      <c r="G469" t="s">
        <v>18</v>
      </c>
      <c r="H469">
        <v>2</v>
      </c>
      <c r="I469">
        <v>3450</v>
      </c>
      <c r="J469">
        <v>5</v>
      </c>
      <c r="K469" t="s">
        <v>50</v>
      </c>
      <c r="L469" t="s">
        <v>20</v>
      </c>
      <c r="M4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9">
        <v>6555</v>
      </c>
      <c r="O469" t="s">
        <v>45</v>
      </c>
      <c r="P469" t="str">
        <f>_xlfn.IFS(LEFT(indian_retail_raw_1000[[#This Row],[x]],1)="W", "West",LEFT(indian_retail_raw_1000[[#This Row],[x]],1)= "E","East",LEFT(O469,1) = "S", "South",LEFT(O469,1) = "N", "North")</f>
        <v>East</v>
      </c>
      <c r="Q469" t="s">
        <v>17</v>
      </c>
      <c r="R469" t="s">
        <v>23</v>
      </c>
      <c r="S469" t="str">
        <f>TEXT(indian_retail_raw_1000[[#This Row],[Order_Date]],"MMM")</f>
        <v>Null</v>
      </c>
    </row>
    <row r="470" spans="1:19" x14ac:dyDescent="0.25">
      <c r="A470" t="s">
        <v>907</v>
      </c>
      <c r="B470" s="1">
        <v>44963</v>
      </c>
      <c r="C470" t="s">
        <v>176</v>
      </c>
      <c r="D470">
        <v>31</v>
      </c>
      <c r="E470" t="s">
        <v>16</v>
      </c>
      <c r="F470" t="s">
        <v>177</v>
      </c>
      <c r="G470" t="s">
        <v>203</v>
      </c>
      <c r="H470">
        <v>4</v>
      </c>
      <c r="I470">
        <v>1730</v>
      </c>
      <c r="J470">
        <v>5</v>
      </c>
      <c r="K470" t="s">
        <v>32</v>
      </c>
      <c r="L470" t="s">
        <v>20</v>
      </c>
      <c r="M4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0">
        <v>6574</v>
      </c>
      <c r="O470" t="s">
        <v>167</v>
      </c>
      <c r="P470" t="str">
        <f>_xlfn.IFS(LEFT(indian_retail_raw_1000[[#This Row],[x]],1)="W", "West",LEFT(indian_retail_raw_1000[[#This Row],[x]],1)= "E","East",LEFT(O470,1) = "S", "South",LEFT(O470,1) = "N", "North")</f>
        <v>North</v>
      </c>
      <c r="Q470" t="s">
        <v>35</v>
      </c>
      <c r="R470" t="s">
        <v>16</v>
      </c>
      <c r="S470" t="str">
        <f>TEXT(indian_retail_raw_1000[[#This Row],[Order_Date]],"MMM")</f>
        <v>Feb</v>
      </c>
    </row>
    <row r="471" spans="1:19" x14ac:dyDescent="0.25">
      <c r="A471" t="s">
        <v>277</v>
      </c>
      <c r="B471" s="1" t="s">
        <v>1336</v>
      </c>
      <c r="C471" t="s">
        <v>170</v>
      </c>
      <c r="D471">
        <v>19</v>
      </c>
      <c r="E471" t="s">
        <v>23</v>
      </c>
      <c r="F471" t="s">
        <v>17</v>
      </c>
      <c r="G471" t="s">
        <v>49</v>
      </c>
      <c r="H471">
        <v>2</v>
      </c>
      <c r="I471">
        <v>1850</v>
      </c>
      <c r="J471">
        <v>10</v>
      </c>
      <c r="K471" t="s">
        <v>19</v>
      </c>
      <c r="L471" t="s">
        <v>56</v>
      </c>
      <c r="M4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71">
        <v>6660</v>
      </c>
      <c r="O471" t="s">
        <v>26</v>
      </c>
      <c r="P471" t="str">
        <f>_xlfn.IFS(LEFT(indian_retail_raw_1000[[#This Row],[x]],1)="W", "West",LEFT(indian_retail_raw_1000[[#This Row],[x]],1)= "E","East",LEFT(O471,1) = "S", "South",LEFT(O471,1) = "N", "North")</f>
        <v>West</v>
      </c>
      <c r="Q471" t="s">
        <v>17</v>
      </c>
      <c r="R471" t="s">
        <v>23</v>
      </c>
      <c r="S471" t="str">
        <f>TEXT(indian_retail_raw_1000[[#This Row],[Order_Date]],"MMM")</f>
        <v>Null</v>
      </c>
    </row>
    <row r="472" spans="1:19" x14ac:dyDescent="0.25">
      <c r="A472" t="s">
        <v>774</v>
      </c>
      <c r="B472" s="1" t="s">
        <v>1336</v>
      </c>
      <c r="C472" t="s">
        <v>165</v>
      </c>
      <c r="D472">
        <v>48</v>
      </c>
      <c r="E472" t="s">
        <v>23</v>
      </c>
      <c r="F472" t="s">
        <v>35</v>
      </c>
      <c r="G472" t="s">
        <v>257</v>
      </c>
      <c r="H472">
        <v>10</v>
      </c>
      <c r="I472">
        <v>784</v>
      </c>
      <c r="J472">
        <v>15</v>
      </c>
      <c r="K472" t="s">
        <v>369</v>
      </c>
      <c r="L472" t="s">
        <v>20</v>
      </c>
      <c r="M4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2">
        <v>6664</v>
      </c>
      <c r="O472" t="s">
        <v>21</v>
      </c>
      <c r="P472" t="str">
        <f>_xlfn.IFS(LEFT(indian_retail_raw_1000[[#This Row],[x]],1)="W", "West",LEFT(indian_retail_raw_1000[[#This Row],[x]],1)= "E","East",LEFT(O472,1) = "S", "South",LEFT(O472,1) = "N", "North")</f>
        <v>South</v>
      </c>
      <c r="Q472" t="s">
        <v>35</v>
      </c>
      <c r="R472" t="s">
        <v>23</v>
      </c>
      <c r="S472" t="str">
        <f>TEXT(indian_retail_raw_1000[[#This Row],[Order_Date]],"MMM")</f>
        <v>Null</v>
      </c>
    </row>
    <row r="473" spans="1:19" x14ac:dyDescent="0.25">
      <c r="A473" t="s">
        <v>1036</v>
      </c>
      <c r="B473" s="1" t="s">
        <v>1336</v>
      </c>
      <c r="C473" t="s">
        <v>156</v>
      </c>
      <c r="D473">
        <v>23</v>
      </c>
      <c r="E473" t="s">
        <v>73</v>
      </c>
      <c r="F473" t="s">
        <v>17</v>
      </c>
      <c r="G473" t="s">
        <v>18</v>
      </c>
      <c r="H473">
        <v>3</v>
      </c>
      <c r="I473">
        <v>2350</v>
      </c>
      <c r="J473">
        <v>5</v>
      </c>
      <c r="K473" t="s">
        <v>115</v>
      </c>
      <c r="L473" t="s">
        <v>20</v>
      </c>
      <c r="M4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3">
        <v>6697.5</v>
      </c>
      <c r="O473" t="s">
        <v>38</v>
      </c>
      <c r="P473" t="str">
        <f>_xlfn.IFS(LEFT(indian_retail_raw_1000[[#This Row],[x]],1)="W", "West",LEFT(indian_retail_raw_1000[[#This Row],[x]],1)= "E","East",LEFT(O473,1) = "S", "South",LEFT(O473,1) = "N", "North")</f>
        <v>North</v>
      </c>
      <c r="Q473" t="s">
        <v>17</v>
      </c>
      <c r="R473" t="s">
        <v>23</v>
      </c>
      <c r="S473" t="str">
        <f>TEXT(indian_retail_raw_1000[[#This Row],[Order_Date]],"MMM")</f>
        <v>Null</v>
      </c>
    </row>
    <row r="474" spans="1:19" x14ac:dyDescent="0.25">
      <c r="A474" t="s">
        <v>1054</v>
      </c>
      <c r="B474" s="1" t="s">
        <v>1336</v>
      </c>
      <c r="C474" t="s">
        <v>672</v>
      </c>
      <c r="D474">
        <v>23</v>
      </c>
      <c r="E474" t="s">
        <v>23</v>
      </c>
      <c r="F474" t="s">
        <v>30</v>
      </c>
      <c r="G474" t="s">
        <v>153</v>
      </c>
      <c r="H474">
        <v>5</v>
      </c>
      <c r="I474">
        <v>1348</v>
      </c>
      <c r="J474">
        <v>0</v>
      </c>
      <c r="K474" t="s">
        <v>25</v>
      </c>
      <c r="L474" t="s">
        <v>20</v>
      </c>
      <c r="M4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4">
        <v>6740</v>
      </c>
      <c r="O474" t="s">
        <v>21</v>
      </c>
      <c r="P474" t="str">
        <f>_xlfn.IFS(LEFT(indian_retail_raw_1000[[#This Row],[x]],1)="W", "West",LEFT(indian_retail_raw_1000[[#This Row],[x]],1)= "E","East",LEFT(O474,1) = "S", "South",LEFT(O474,1) = "N", "North")</f>
        <v>South</v>
      </c>
      <c r="Q474" t="s">
        <v>30</v>
      </c>
      <c r="R474" t="s">
        <v>23</v>
      </c>
      <c r="S474" t="str">
        <f>TEXT(indian_retail_raw_1000[[#This Row],[Order_Date]],"MMM")</f>
        <v>Null</v>
      </c>
    </row>
    <row r="475" spans="1:19" x14ac:dyDescent="0.25">
      <c r="A475" t="s">
        <v>1091</v>
      </c>
      <c r="B475" s="1">
        <v>45001</v>
      </c>
      <c r="C475" t="s">
        <v>170</v>
      </c>
      <c r="D475">
        <v>19</v>
      </c>
      <c r="E475" t="s">
        <v>16</v>
      </c>
      <c r="F475" t="s">
        <v>17</v>
      </c>
      <c r="G475" t="s">
        <v>18</v>
      </c>
      <c r="H475">
        <v>3</v>
      </c>
      <c r="I475">
        <v>2500</v>
      </c>
      <c r="J475">
        <v>10</v>
      </c>
      <c r="K475" t="s">
        <v>41</v>
      </c>
      <c r="L475" t="s">
        <v>56</v>
      </c>
      <c r="M4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75">
        <v>6750</v>
      </c>
      <c r="O475" t="s">
        <v>225</v>
      </c>
      <c r="P475" t="str">
        <f>_xlfn.IFS(LEFT(indian_retail_raw_1000[[#This Row],[x]],1)="W", "West",LEFT(indian_retail_raw_1000[[#This Row],[x]],1)= "E","East",LEFT(O475,1) = "S", "South",LEFT(O475,1) = "N", "North")</f>
        <v>South</v>
      </c>
      <c r="Q475" t="s">
        <v>17</v>
      </c>
      <c r="R475" t="s">
        <v>16</v>
      </c>
      <c r="S475" t="str">
        <f>TEXT(indian_retail_raw_1000[[#This Row],[Order_Date]],"MMM")</f>
        <v>Mar</v>
      </c>
    </row>
    <row r="476" spans="1:19" x14ac:dyDescent="0.25">
      <c r="A476" t="s">
        <v>820</v>
      </c>
      <c r="B476" s="1">
        <v>45075</v>
      </c>
      <c r="C476" t="s">
        <v>165</v>
      </c>
      <c r="D476">
        <v>53</v>
      </c>
      <c r="E476" t="s">
        <v>16</v>
      </c>
      <c r="F476" t="s">
        <v>30</v>
      </c>
      <c r="G476" t="s">
        <v>294</v>
      </c>
      <c r="H476">
        <v>10</v>
      </c>
      <c r="I476">
        <v>680</v>
      </c>
      <c r="J476">
        <v>0</v>
      </c>
      <c r="K476" t="s">
        <v>50</v>
      </c>
      <c r="L476" t="s">
        <v>20</v>
      </c>
      <c r="M4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6">
        <v>6800</v>
      </c>
      <c r="O476" t="s">
        <v>21</v>
      </c>
      <c r="P476" t="str">
        <f>_xlfn.IFS(LEFT(indian_retail_raw_1000[[#This Row],[x]],1)="W", "West",LEFT(indian_retail_raw_1000[[#This Row],[x]],1)= "E","East",LEFT(O476,1) = "S", "South",LEFT(O476,1) = "N", "North")</f>
        <v>South</v>
      </c>
      <c r="Q476" t="s">
        <v>30</v>
      </c>
      <c r="R476" t="s">
        <v>16</v>
      </c>
      <c r="S476" t="str">
        <f>TEXT(indian_retail_raw_1000[[#This Row],[Order_Date]],"MMM")</f>
        <v>May</v>
      </c>
    </row>
    <row r="477" spans="1:19" x14ac:dyDescent="0.25">
      <c r="A477" t="s">
        <v>1004</v>
      </c>
      <c r="B477" s="1" t="s">
        <v>1336</v>
      </c>
      <c r="C477" t="s">
        <v>1336</v>
      </c>
      <c r="D477">
        <v>36</v>
      </c>
      <c r="E477" t="s">
        <v>23</v>
      </c>
      <c r="F477" t="s">
        <v>91</v>
      </c>
      <c r="G477" t="s">
        <v>348</v>
      </c>
      <c r="H477">
        <v>2</v>
      </c>
      <c r="I477">
        <v>3400</v>
      </c>
      <c r="J477">
        <v>0</v>
      </c>
      <c r="K477" t="s">
        <v>19</v>
      </c>
      <c r="L477" t="s">
        <v>20</v>
      </c>
      <c r="M4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7">
        <v>6800</v>
      </c>
      <c r="O477" t="s">
        <v>21</v>
      </c>
      <c r="P477" t="str">
        <f>_xlfn.IFS(LEFT(indian_retail_raw_1000[[#This Row],[x]],1)="W", "West",LEFT(indian_retail_raw_1000[[#This Row],[x]],1)= "E","East",LEFT(O477,1) = "S", "South",LEFT(O477,1) = "N", "North")</f>
        <v>South</v>
      </c>
      <c r="Q477" t="s">
        <v>54</v>
      </c>
      <c r="R477" t="s">
        <v>23</v>
      </c>
      <c r="S477" t="str">
        <f>TEXT(indian_retail_raw_1000[[#This Row],[Order_Date]],"MMM")</f>
        <v>Null</v>
      </c>
    </row>
    <row r="478" spans="1:19" x14ac:dyDescent="0.25">
      <c r="A478" t="s">
        <v>623</v>
      </c>
      <c r="B478" s="1" t="s">
        <v>1336</v>
      </c>
      <c r="C478" t="s">
        <v>1336</v>
      </c>
      <c r="D478">
        <v>51</v>
      </c>
      <c r="E478" t="s">
        <v>16</v>
      </c>
      <c r="F478" t="s">
        <v>30</v>
      </c>
      <c r="G478" t="s">
        <v>218</v>
      </c>
      <c r="H478">
        <v>4</v>
      </c>
      <c r="I478">
        <v>2149</v>
      </c>
      <c r="J478">
        <v>20</v>
      </c>
      <c r="K478" t="s">
        <v>41</v>
      </c>
      <c r="L478" t="s">
        <v>51</v>
      </c>
      <c r="M4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78">
        <v>6876.8</v>
      </c>
      <c r="O478" t="s">
        <v>45</v>
      </c>
      <c r="P478" t="str">
        <f>_xlfn.IFS(LEFT(indian_retail_raw_1000[[#This Row],[x]],1)="W", "West",LEFT(indian_retail_raw_1000[[#This Row],[x]],1)= "E","East",LEFT(O478,1) = "S", "South",LEFT(O478,1) = "N", "North")</f>
        <v>East</v>
      </c>
      <c r="Q478" t="s">
        <v>30</v>
      </c>
      <c r="R478" t="s">
        <v>16</v>
      </c>
      <c r="S478" t="str">
        <f>TEXT(indian_retail_raw_1000[[#This Row],[Order_Date]],"MMM")</f>
        <v>Null</v>
      </c>
    </row>
    <row r="479" spans="1:19" x14ac:dyDescent="0.25">
      <c r="A479" t="s">
        <v>1235</v>
      </c>
      <c r="B479" s="1" t="s">
        <v>1336</v>
      </c>
      <c r="C479" t="s">
        <v>170</v>
      </c>
      <c r="D479">
        <v>31</v>
      </c>
      <c r="E479" t="s">
        <v>16</v>
      </c>
      <c r="F479" t="s">
        <v>54</v>
      </c>
      <c r="G479" t="s">
        <v>348</v>
      </c>
      <c r="H479">
        <v>2</v>
      </c>
      <c r="I479">
        <v>3300</v>
      </c>
      <c r="J479">
        <v>-5</v>
      </c>
      <c r="K479" t="s">
        <v>19</v>
      </c>
      <c r="L479" t="s">
        <v>100</v>
      </c>
      <c r="M4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79">
        <v>6930</v>
      </c>
      <c r="O479" t="s">
        <v>26</v>
      </c>
      <c r="P479" t="str">
        <f>_xlfn.IFS(LEFT(indian_retail_raw_1000[[#This Row],[x]],1)="W", "West",LEFT(indian_retail_raw_1000[[#This Row],[x]],1)= "E","East",LEFT(O479,1) = "S", "South",LEFT(O479,1) = "N", "North")</f>
        <v>West</v>
      </c>
      <c r="Q479" t="s">
        <v>54</v>
      </c>
      <c r="R479" t="s">
        <v>16</v>
      </c>
      <c r="S479" t="str">
        <f>TEXT(indian_retail_raw_1000[[#This Row],[Order_Date]],"MMM")</f>
        <v>Null</v>
      </c>
    </row>
    <row r="480" spans="1:19" x14ac:dyDescent="0.25">
      <c r="A480" t="s">
        <v>1155</v>
      </c>
      <c r="B480" s="1">
        <v>44936</v>
      </c>
      <c r="C480" t="s">
        <v>1336</v>
      </c>
      <c r="D480">
        <v>21</v>
      </c>
      <c r="E480" t="s">
        <v>29</v>
      </c>
      <c r="F480" t="s">
        <v>30</v>
      </c>
      <c r="G480" t="s">
        <v>130</v>
      </c>
      <c r="H480">
        <v>2</v>
      </c>
      <c r="I480">
        <v>3659</v>
      </c>
      <c r="J480">
        <v>5</v>
      </c>
      <c r="K480" t="s">
        <v>25</v>
      </c>
      <c r="L480" t="s">
        <v>20</v>
      </c>
      <c r="M4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0">
        <v>6952.1</v>
      </c>
      <c r="O480" t="s">
        <v>38</v>
      </c>
      <c r="P480" t="str">
        <f>_xlfn.IFS(LEFT(indian_retail_raw_1000[[#This Row],[x]],1)="W", "West",LEFT(indian_retail_raw_1000[[#This Row],[x]],1)= "E","East",LEFT(O480,1) = "S", "South",LEFT(O480,1) = "N", "North")</f>
        <v>North</v>
      </c>
      <c r="Q480" t="s">
        <v>30</v>
      </c>
      <c r="R480" t="s">
        <v>16</v>
      </c>
      <c r="S480" t="str">
        <f>TEXT(indian_retail_raw_1000[[#This Row],[Order_Date]],"MMM")</f>
        <v>Jan</v>
      </c>
    </row>
    <row r="481" spans="1:19" x14ac:dyDescent="0.25">
      <c r="A481" t="s">
        <v>1127</v>
      </c>
      <c r="B481" s="1">
        <v>45284</v>
      </c>
      <c r="C481" t="s">
        <v>128</v>
      </c>
      <c r="D481">
        <v>35</v>
      </c>
      <c r="E481" t="s">
        <v>16</v>
      </c>
      <c r="F481" t="s">
        <v>30</v>
      </c>
      <c r="G481" t="s">
        <v>224</v>
      </c>
      <c r="H481">
        <v>5</v>
      </c>
      <c r="I481">
        <v>1392</v>
      </c>
      <c r="J481">
        <v>0</v>
      </c>
      <c r="K481" t="s">
        <v>50</v>
      </c>
      <c r="L481" t="s">
        <v>20</v>
      </c>
      <c r="M4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1">
        <v>6960</v>
      </c>
      <c r="O481" t="s">
        <v>225</v>
      </c>
      <c r="P481" t="str">
        <f>_xlfn.IFS(LEFT(indian_retail_raw_1000[[#This Row],[x]],1)="W", "West",LEFT(indian_retail_raw_1000[[#This Row],[x]],1)= "E","East",LEFT(O481,1) = "S", "South",LEFT(O481,1) = "N", "North")</f>
        <v>South</v>
      </c>
      <c r="Q481" t="s">
        <v>30</v>
      </c>
      <c r="R481" t="s">
        <v>16</v>
      </c>
      <c r="S481" t="str">
        <f>TEXT(indian_retail_raw_1000[[#This Row],[Order_Date]],"MMM")</f>
        <v>Dec</v>
      </c>
    </row>
    <row r="482" spans="1:19" x14ac:dyDescent="0.25">
      <c r="A482" t="s">
        <v>772</v>
      </c>
      <c r="B482" s="1">
        <v>45238</v>
      </c>
      <c r="C482" t="s">
        <v>170</v>
      </c>
      <c r="D482">
        <v>27</v>
      </c>
      <c r="E482" t="s">
        <v>138</v>
      </c>
      <c r="F482" t="s">
        <v>30</v>
      </c>
      <c r="G482" t="s">
        <v>218</v>
      </c>
      <c r="H482">
        <v>2</v>
      </c>
      <c r="I482">
        <v>3879</v>
      </c>
      <c r="J482">
        <v>10</v>
      </c>
      <c r="K482" t="s">
        <v>25</v>
      </c>
      <c r="L482" t="s">
        <v>20</v>
      </c>
      <c r="M4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2">
        <v>6982.2</v>
      </c>
      <c r="O482" t="s">
        <v>45</v>
      </c>
      <c r="P482" t="str">
        <f>_xlfn.IFS(LEFT(indian_retail_raw_1000[[#This Row],[x]],1)="W", "West",LEFT(indian_retail_raw_1000[[#This Row],[x]],1)= "E","East",LEFT(O482,1) = "S", "South",LEFT(O482,1) = "N", "North")</f>
        <v>East</v>
      </c>
      <c r="Q482" t="s">
        <v>30</v>
      </c>
      <c r="R482" t="s">
        <v>138</v>
      </c>
      <c r="S482" t="str">
        <f>TEXT(indian_retail_raw_1000[[#This Row],[Order_Date]],"MMM")</f>
        <v>Nov</v>
      </c>
    </row>
    <row r="483" spans="1:19" x14ac:dyDescent="0.25">
      <c r="A483" t="s">
        <v>523</v>
      </c>
      <c r="B483" s="1">
        <v>45247</v>
      </c>
      <c r="C483" t="s">
        <v>165</v>
      </c>
      <c r="D483">
        <v>25</v>
      </c>
      <c r="E483" t="s">
        <v>475</v>
      </c>
      <c r="F483" t="s">
        <v>30</v>
      </c>
      <c r="G483" t="s">
        <v>121</v>
      </c>
      <c r="H483">
        <v>1</v>
      </c>
      <c r="I483">
        <v>7402</v>
      </c>
      <c r="J483">
        <v>5</v>
      </c>
      <c r="K483" t="s">
        <v>25</v>
      </c>
      <c r="L483" t="s">
        <v>20</v>
      </c>
      <c r="M4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3">
        <v>7031.9</v>
      </c>
      <c r="O483" t="s">
        <v>45</v>
      </c>
      <c r="P483" t="str">
        <f>_xlfn.IFS(LEFT(indian_retail_raw_1000[[#This Row],[x]],1)="W", "West",LEFT(indian_retail_raw_1000[[#This Row],[x]],1)= "E","East",LEFT(O483,1) = "S", "South",LEFT(O483,1) = "N", "North")</f>
        <v>East</v>
      </c>
      <c r="Q483" t="s">
        <v>30</v>
      </c>
      <c r="R483" t="s">
        <v>138</v>
      </c>
      <c r="S483" t="str">
        <f>TEXT(indian_retail_raw_1000[[#This Row],[Order_Date]],"MMM")</f>
        <v>Nov</v>
      </c>
    </row>
    <row r="484" spans="1:19" x14ac:dyDescent="0.25">
      <c r="A484" t="s">
        <v>706</v>
      </c>
      <c r="B484" s="1">
        <v>45255</v>
      </c>
      <c r="C484" t="s">
        <v>28</v>
      </c>
      <c r="D484">
        <v>46</v>
      </c>
      <c r="E484" t="s">
        <v>44</v>
      </c>
      <c r="F484" t="s">
        <v>30</v>
      </c>
      <c r="G484" t="s">
        <v>195</v>
      </c>
      <c r="H484">
        <v>3</v>
      </c>
      <c r="I484">
        <v>3908</v>
      </c>
      <c r="J484">
        <v>40</v>
      </c>
      <c r="K484" t="s">
        <v>41</v>
      </c>
      <c r="L484" t="s">
        <v>20</v>
      </c>
      <c r="M4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4">
        <v>7034.4</v>
      </c>
      <c r="O484" t="s">
        <v>38</v>
      </c>
      <c r="P484" t="str">
        <f>_xlfn.IFS(LEFT(indian_retail_raw_1000[[#This Row],[x]],1)="W", "West",LEFT(indian_retail_raw_1000[[#This Row],[x]],1)= "E","East",LEFT(O484,1) = "S", "South",LEFT(O484,1) = "N", "North")</f>
        <v>North</v>
      </c>
      <c r="Q484" t="s">
        <v>30</v>
      </c>
      <c r="R484" t="s">
        <v>23</v>
      </c>
      <c r="S484" t="str">
        <f>TEXT(indian_retail_raw_1000[[#This Row],[Order_Date]],"MMM")</f>
        <v>Nov</v>
      </c>
    </row>
    <row r="485" spans="1:19" x14ac:dyDescent="0.25">
      <c r="A485" t="s">
        <v>836</v>
      </c>
      <c r="B485" s="1">
        <v>45032</v>
      </c>
      <c r="C485" t="s">
        <v>43</v>
      </c>
      <c r="D485">
        <v>28</v>
      </c>
      <c r="E485" t="s">
        <v>23</v>
      </c>
      <c r="F485" t="s">
        <v>220</v>
      </c>
      <c r="G485" t="s">
        <v>268</v>
      </c>
      <c r="H485">
        <v>5</v>
      </c>
      <c r="I485">
        <v>1485</v>
      </c>
      <c r="J485">
        <v>5</v>
      </c>
      <c r="K485" t="s">
        <v>19</v>
      </c>
      <c r="L485" t="s">
        <v>20</v>
      </c>
      <c r="M4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5">
        <v>7053.75</v>
      </c>
      <c r="O485" t="s">
        <v>45</v>
      </c>
      <c r="P485" t="str">
        <f>_xlfn.IFS(LEFT(indian_retail_raw_1000[[#This Row],[x]],1)="W", "West",LEFT(indian_retail_raw_1000[[#This Row],[x]],1)= "E","East",LEFT(O485,1) = "S", "South",LEFT(O485,1) = "N", "North")</f>
        <v>East</v>
      </c>
      <c r="Q485" t="s">
        <v>30</v>
      </c>
      <c r="R485" t="s">
        <v>23</v>
      </c>
      <c r="S485" t="str">
        <f>TEXT(indian_retail_raw_1000[[#This Row],[Order_Date]],"MMM")</f>
        <v>Apr</v>
      </c>
    </row>
    <row r="486" spans="1:19" x14ac:dyDescent="0.25">
      <c r="A486" t="s">
        <v>148</v>
      </c>
      <c r="B486" s="1">
        <v>45289</v>
      </c>
      <c r="C486" t="s">
        <v>1336</v>
      </c>
      <c r="D486">
        <v>29</v>
      </c>
      <c r="E486" t="s">
        <v>73</v>
      </c>
      <c r="F486" t="s">
        <v>17</v>
      </c>
      <c r="G486" t="s">
        <v>80</v>
      </c>
      <c r="H486">
        <v>1</v>
      </c>
      <c r="I486">
        <v>7850</v>
      </c>
      <c r="J486">
        <v>10</v>
      </c>
      <c r="K486" t="s">
        <v>25</v>
      </c>
      <c r="L486" t="s">
        <v>20</v>
      </c>
      <c r="M4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6">
        <v>7065</v>
      </c>
      <c r="O486" t="s">
        <v>149</v>
      </c>
      <c r="P486" t="str">
        <f>_xlfn.IFS(LEFT(indian_retail_raw_1000[[#This Row],[x]],1)="W", "West",LEFT(indian_retail_raw_1000[[#This Row],[x]],1)= "E","East",LEFT(O486,1) = "S", "South",LEFT(O486,1) = "N", "North")</f>
        <v>West</v>
      </c>
      <c r="Q486" t="s">
        <v>17</v>
      </c>
      <c r="R486" t="s">
        <v>23</v>
      </c>
      <c r="S486" t="str">
        <f>TEXT(indian_retail_raw_1000[[#This Row],[Order_Date]],"MMM")</f>
        <v>Dec</v>
      </c>
    </row>
    <row r="487" spans="1:19" x14ac:dyDescent="0.25">
      <c r="A487" t="s">
        <v>921</v>
      </c>
      <c r="B487" s="1">
        <v>45272</v>
      </c>
      <c r="C487" t="s">
        <v>672</v>
      </c>
      <c r="D487">
        <v>21</v>
      </c>
      <c r="E487" t="s">
        <v>23</v>
      </c>
      <c r="F487" t="s">
        <v>35</v>
      </c>
      <c r="G487" t="s">
        <v>99</v>
      </c>
      <c r="H487">
        <v>5</v>
      </c>
      <c r="I487">
        <v>1415</v>
      </c>
      <c r="J487">
        <v>0</v>
      </c>
      <c r="K487" t="s">
        <v>19</v>
      </c>
      <c r="L487" t="s">
        <v>20</v>
      </c>
      <c r="M4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7">
        <v>7075</v>
      </c>
      <c r="O487" t="s">
        <v>21</v>
      </c>
      <c r="P487" t="str">
        <f>_xlfn.IFS(LEFT(indian_retail_raw_1000[[#This Row],[x]],1)="W", "West",LEFT(indian_retail_raw_1000[[#This Row],[x]],1)= "E","East",LEFT(O487,1) = "S", "South",LEFT(O487,1) = "N", "North")</f>
        <v>South</v>
      </c>
      <c r="Q487" t="s">
        <v>35</v>
      </c>
      <c r="R487" t="s">
        <v>23</v>
      </c>
      <c r="S487" t="str">
        <f>TEXT(indian_retail_raw_1000[[#This Row],[Order_Date]],"MMM")</f>
        <v>Dec</v>
      </c>
    </row>
    <row r="488" spans="1:19" x14ac:dyDescent="0.25">
      <c r="A488" t="s">
        <v>1100</v>
      </c>
      <c r="B488" s="1">
        <v>45235</v>
      </c>
      <c r="C488" t="s">
        <v>1336</v>
      </c>
      <c r="D488">
        <v>60</v>
      </c>
      <c r="E488" t="s">
        <v>23</v>
      </c>
      <c r="F488" t="s">
        <v>129</v>
      </c>
      <c r="G488" t="s">
        <v>130</v>
      </c>
      <c r="H488">
        <v>3</v>
      </c>
      <c r="I488">
        <v>2405</v>
      </c>
      <c r="J488">
        <v>0</v>
      </c>
      <c r="K488" t="s">
        <v>41</v>
      </c>
      <c r="L488" t="s">
        <v>20</v>
      </c>
      <c r="M4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8">
        <v>7215</v>
      </c>
      <c r="O488" t="s">
        <v>26</v>
      </c>
      <c r="P488" t="str">
        <f>_xlfn.IFS(LEFT(indian_retail_raw_1000[[#This Row],[x]],1)="W", "West",LEFT(indian_retail_raw_1000[[#This Row],[x]],1)= "E","East",LEFT(O488,1) = "S", "South",LEFT(O488,1) = "N", "North")</f>
        <v>West</v>
      </c>
      <c r="Q488" t="s">
        <v>30</v>
      </c>
      <c r="R488" t="s">
        <v>23</v>
      </c>
      <c r="S488" t="str">
        <f>TEXT(indian_retail_raw_1000[[#This Row],[Order_Date]],"MMM")</f>
        <v>Nov</v>
      </c>
    </row>
    <row r="489" spans="1:19" x14ac:dyDescent="0.25">
      <c r="A489" t="s">
        <v>1010</v>
      </c>
      <c r="B489" s="1">
        <v>45200</v>
      </c>
      <c r="C489" t="s">
        <v>1336</v>
      </c>
      <c r="D489">
        <v>19</v>
      </c>
      <c r="E489" t="s">
        <v>16</v>
      </c>
      <c r="F489" t="s">
        <v>54</v>
      </c>
      <c r="G489" t="s">
        <v>311</v>
      </c>
      <c r="H489">
        <v>2</v>
      </c>
      <c r="I489">
        <v>3800</v>
      </c>
      <c r="J489">
        <v>5</v>
      </c>
      <c r="K489" t="s">
        <v>41</v>
      </c>
      <c r="L489" t="s">
        <v>20</v>
      </c>
      <c r="M4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9">
        <v>7220</v>
      </c>
      <c r="O489" t="s">
        <v>38</v>
      </c>
      <c r="P489" t="str">
        <f>_xlfn.IFS(LEFT(indian_retail_raw_1000[[#This Row],[x]],1)="W", "West",LEFT(indian_retail_raw_1000[[#This Row],[x]],1)= "E","East",LEFT(O489,1) = "S", "South",LEFT(O489,1) = "N", "North")</f>
        <v>North</v>
      </c>
      <c r="Q489" t="s">
        <v>54</v>
      </c>
      <c r="R489" t="s">
        <v>16</v>
      </c>
      <c r="S489" t="str">
        <f>TEXT(indian_retail_raw_1000[[#This Row],[Order_Date]],"MMM")</f>
        <v>Oct</v>
      </c>
    </row>
    <row r="490" spans="1:19" x14ac:dyDescent="0.25">
      <c r="A490" t="s">
        <v>986</v>
      </c>
      <c r="B490" s="1">
        <v>45150</v>
      </c>
      <c r="C490" t="s">
        <v>43</v>
      </c>
      <c r="D490">
        <v>58</v>
      </c>
      <c r="E490" t="s">
        <v>16</v>
      </c>
      <c r="F490" t="s">
        <v>30</v>
      </c>
      <c r="G490" t="s">
        <v>235</v>
      </c>
      <c r="H490">
        <v>5</v>
      </c>
      <c r="I490">
        <v>1610</v>
      </c>
      <c r="J490">
        <v>10</v>
      </c>
      <c r="K490" t="s">
        <v>25</v>
      </c>
      <c r="L490" t="s">
        <v>20</v>
      </c>
      <c r="M4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90">
        <v>7245</v>
      </c>
      <c r="O490" t="s">
        <v>21</v>
      </c>
      <c r="P490" t="str">
        <f>_xlfn.IFS(LEFT(indian_retail_raw_1000[[#This Row],[x]],1)="W", "West",LEFT(indian_retail_raw_1000[[#This Row],[x]],1)= "E","East",LEFT(O490,1) = "S", "South",LEFT(O490,1) = "N", "North")</f>
        <v>South</v>
      </c>
      <c r="Q490" t="s">
        <v>30</v>
      </c>
      <c r="R490" t="s">
        <v>16</v>
      </c>
      <c r="S490" t="str">
        <f>TEXT(indian_retail_raw_1000[[#This Row],[Order_Date]],"MMM")</f>
        <v>Aug</v>
      </c>
    </row>
    <row r="491" spans="1:19" x14ac:dyDescent="0.25">
      <c r="A491" t="s">
        <v>123</v>
      </c>
      <c r="B491" s="1">
        <v>45089</v>
      </c>
      <c r="C491" t="s">
        <v>43</v>
      </c>
      <c r="D491">
        <v>27</v>
      </c>
      <c r="E491" t="s">
        <v>16</v>
      </c>
      <c r="F491" t="s">
        <v>17</v>
      </c>
      <c r="G491" t="s">
        <v>124</v>
      </c>
      <c r="H491">
        <v>1</v>
      </c>
      <c r="I491">
        <v>7300</v>
      </c>
      <c r="J491">
        <v>0</v>
      </c>
      <c r="K491" t="s">
        <v>41</v>
      </c>
      <c r="L491" t="s">
        <v>20</v>
      </c>
      <c r="M4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91">
        <v>7300</v>
      </c>
      <c r="O491" t="s">
        <v>21</v>
      </c>
      <c r="P491" t="str">
        <f>_xlfn.IFS(LEFT(indian_retail_raw_1000[[#This Row],[x]],1)="W", "West",LEFT(indian_retail_raw_1000[[#This Row],[x]],1)= "E","East",LEFT(O491,1) = "S", "South",LEFT(O491,1) = "N", "North")</f>
        <v>South</v>
      </c>
      <c r="Q491" t="s">
        <v>17</v>
      </c>
      <c r="R491" t="s">
        <v>16</v>
      </c>
      <c r="S491" t="str">
        <f>TEXT(indian_retail_raw_1000[[#This Row],[Order_Date]],"MMM")</f>
        <v>Jun</v>
      </c>
    </row>
    <row r="492" spans="1:19" x14ac:dyDescent="0.25">
      <c r="A492" t="s">
        <v>918</v>
      </c>
      <c r="B492" s="1">
        <v>45284</v>
      </c>
      <c r="C492" t="s">
        <v>160</v>
      </c>
      <c r="D492">
        <v>25</v>
      </c>
      <c r="E492" t="s">
        <v>16</v>
      </c>
      <c r="F492" t="s">
        <v>54</v>
      </c>
      <c r="G492" t="s">
        <v>311</v>
      </c>
      <c r="H492">
        <v>2</v>
      </c>
      <c r="I492">
        <v>4300</v>
      </c>
      <c r="J492">
        <v>15</v>
      </c>
      <c r="K492" t="s">
        <v>19</v>
      </c>
      <c r="L492" t="s">
        <v>20</v>
      </c>
      <c r="M4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92">
        <v>7310</v>
      </c>
      <c r="O492" t="s">
        <v>74</v>
      </c>
      <c r="P492" t="str">
        <f>_xlfn.IFS(LEFT(indian_retail_raw_1000[[#This Row],[x]],1)="W", "West",LEFT(indian_retail_raw_1000[[#This Row],[x]],1)= "E","East",LEFT(O492,1) = "S", "South",LEFT(O492,1) = "N", "North")</f>
        <v>West</v>
      </c>
      <c r="Q492" t="s">
        <v>54</v>
      </c>
      <c r="R492" t="s">
        <v>16</v>
      </c>
      <c r="S492" t="str">
        <f>TEXT(indian_retail_raw_1000[[#This Row],[Order_Date]],"MMM")</f>
        <v>Dec</v>
      </c>
    </row>
    <row r="493" spans="1:19" x14ac:dyDescent="0.25">
      <c r="A493" t="s">
        <v>995</v>
      </c>
      <c r="B493" s="1">
        <v>45006</v>
      </c>
      <c r="C493" t="s">
        <v>160</v>
      </c>
      <c r="D493">
        <v>58</v>
      </c>
      <c r="E493" t="s">
        <v>23</v>
      </c>
      <c r="F493" t="s">
        <v>35</v>
      </c>
      <c r="G493" t="s">
        <v>257</v>
      </c>
      <c r="H493">
        <v>6</v>
      </c>
      <c r="I493">
        <v>1233</v>
      </c>
      <c r="J493">
        <v>0</v>
      </c>
      <c r="K493" t="s">
        <v>25</v>
      </c>
      <c r="L493" t="s">
        <v>20</v>
      </c>
      <c r="M4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93">
        <v>7398</v>
      </c>
      <c r="O493" t="s">
        <v>38</v>
      </c>
      <c r="P493" t="str">
        <f>_xlfn.IFS(LEFT(indian_retail_raw_1000[[#This Row],[x]],1)="W", "West",LEFT(indian_retail_raw_1000[[#This Row],[x]],1)= "E","East",LEFT(O493,1) = "S", "South",LEFT(O493,1) = "N", "North")</f>
        <v>North</v>
      </c>
      <c r="Q493" t="s">
        <v>35</v>
      </c>
      <c r="R493" t="s">
        <v>23</v>
      </c>
      <c r="S493" t="str">
        <f>TEXT(indian_retail_raw_1000[[#This Row],[Order_Date]],"MMM")</f>
        <v>Mar</v>
      </c>
    </row>
    <row r="494" spans="1:19" x14ac:dyDescent="0.25">
      <c r="A494" t="s">
        <v>1006</v>
      </c>
      <c r="B494" s="1" t="s">
        <v>1336</v>
      </c>
      <c r="C494" t="s">
        <v>198</v>
      </c>
      <c r="D494">
        <v>37</v>
      </c>
      <c r="E494" t="s">
        <v>16</v>
      </c>
      <c r="F494" t="s">
        <v>54</v>
      </c>
      <c r="G494" t="s">
        <v>104</v>
      </c>
      <c r="H494">
        <v>1</v>
      </c>
      <c r="I494">
        <v>12400</v>
      </c>
      <c r="J494">
        <v>40</v>
      </c>
      <c r="K494" t="s">
        <v>19</v>
      </c>
      <c r="L494" t="s">
        <v>51</v>
      </c>
      <c r="M4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94">
        <v>7440</v>
      </c>
      <c r="O494" t="s">
        <v>45</v>
      </c>
      <c r="P494" t="str">
        <f>_xlfn.IFS(LEFT(indian_retail_raw_1000[[#This Row],[x]],1)="W", "West",LEFT(indian_retail_raw_1000[[#This Row],[x]],1)= "E","East",LEFT(O494,1) = "S", "South",LEFT(O494,1) = "N", "North")</f>
        <v>East</v>
      </c>
      <c r="Q494" t="s">
        <v>54</v>
      </c>
      <c r="R494" t="s">
        <v>16</v>
      </c>
      <c r="S494" t="str">
        <f>TEXT(indian_retail_raw_1000[[#This Row],[Order_Date]],"MMM")</f>
        <v>Null</v>
      </c>
    </row>
    <row r="495" spans="1:19" x14ac:dyDescent="0.25">
      <c r="A495" t="s">
        <v>1161</v>
      </c>
      <c r="B495" s="1" t="s">
        <v>1336</v>
      </c>
      <c r="C495" t="s">
        <v>211</v>
      </c>
      <c r="D495">
        <v>27</v>
      </c>
      <c r="E495" t="s">
        <v>16</v>
      </c>
      <c r="F495" t="s">
        <v>17</v>
      </c>
      <c r="G495" t="s">
        <v>297</v>
      </c>
      <c r="H495">
        <v>1</v>
      </c>
      <c r="I495">
        <v>7450</v>
      </c>
      <c r="J495">
        <v>0</v>
      </c>
      <c r="K495" t="s">
        <v>50</v>
      </c>
      <c r="L495" t="s">
        <v>51</v>
      </c>
      <c r="M4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95">
        <v>7450</v>
      </c>
      <c r="O495" t="s">
        <v>26</v>
      </c>
      <c r="P495" t="str">
        <f>_xlfn.IFS(LEFT(indian_retail_raw_1000[[#This Row],[x]],1)="W", "West",LEFT(indian_retail_raw_1000[[#This Row],[x]],1)= "E","East",LEFT(O495,1) = "S", "South",LEFT(O495,1) = "N", "North")</f>
        <v>West</v>
      </c>
      <c r="Q495" t="s">
        <v>17</v>
      </c>
      <c r="R495" t="s">
        <v>16</v>
      </c>
      <c r="S495" t="str">
        <f>TEXT(indian_retail_raw_1000[[#This Row],[Order_Date]],"MMM")</f>
        <v>Null</v>
      </c>
    </row>
    <row r="496" spans="1:19" x14ac:dyDescent="0.25">
      <c r="A496" t="s">
        <v>725</v>
      </c>
      <c r="B496" s="1">
        <v>45258</v>
      </c>
      <c r="C496" t="s">
        <v>170</v>
      </c>
      <c r="D496">
        <v>63</v>
      </c>
      <c r="E496" t="s">
        <v>16</v>
      </c>
      <c r="F496" t="s">
        <v>30</v>
      </c>
      <c r="G496" t="s">
        <v>67</v>
      </c>
      <c r="H496">
        <v>3</v>
      </c>
      <c r="I496">
        <v>3569</v>
      </c>
      <c r="J496">
        <v>30</v>
      </c>
      <c r="K496" t="s">
        <v>25</v>
      </c>
      <c r="L496" t="s">
        <v>51</v>
      </c>
      <c r="M4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96">
        <v>7494.9</v>
      </c>
      <c r="O496" t="s">
        <v>45</v>
      </c>
      <c r="P496" t="str">
        <f>_xlfn.IFS(LEFT(indian_retail_raw_1000[[#This Row],[x]],1)="W", "West",LEFT(indian_retail_raw_1000[[#This Row],[x]],1)= "E","East",LEFT(O496,1) = "S", "South",LEFT(O496,1) = "N", "North")</f>
        <v>East</v>
      </c>
      <c r="Q496" t="s">
        <v>30</v>
      </c>
      <c r="R496" t="s">
        <v>16</v>
      </c>
      <c r="S496" t="str">
        <f>TEXT(indian_retail_raw_1000[[#This Row],[Order_Date]],"MMM")</f>
        <v>Nov</v>
      </c>
    </row>
    <row r="497" spans="1:19" x14ac:dyDescent="0.25">
      <c r="A497" t="s">
        <v>432</v>
      </c>
      <c r="B497" s="1">
        <v>45194</v>
      </c>
      <c r="C497" t="s">
        <v>1336</v>
      </c>
      <c r="D497">
        <v>28</v>
      </c>
      <c r="E497" t="s">
        <v>44</v>
      </c>
      <c r="F497" t="s">
        <v>433</v>
      </c>
      <c r="G497" t="s">
        <v>189</v>
      </c>
      <c r="H497">
        <v>3</v>
      </c>
      <c r="I497">
        <v>2500</v>
      </c>
      <c r="J497">
        <v>0</v>
      </c>
      <c r="K497" t="s">
        <v>25</v>
      </c>
      <c r="L497" t="s">
        <v>56</v>
      </c>
      <c r="M4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97">
        <v>7500</v>
      </c>
      <c r="O497" t="s">
        <v>45</v>
      </c>
      <c r="P497" t="str">
        <f>_xlfn.IFS(LEFT(indian_retail_raw_1000[[#This Row],[x]],1)="W", "West",LEFT(indian_retail_raw_1000[[#This Row],[x]],1)= "E","East",LEFT(O497,1) = "S", "South",LEFT(O497,1) = "N", "North")</f>
        <v>East</v>
      </c>
      <c r="Q497" t="s">
        <v>17</v>
      </c>
      <c r="R497" t="s">
        <v>23</v>
      </c>
      <c r="S497" t="str">
        <f>TEXT(indian_retail_raw_1000[[#This Row],[Order_Date]],"MMM")</f>
        <v>Sep</v>
      </c>
    </row>
    <row r="498" spans="1:19" x14ac:dyDescent="0.25">
      <c r="A498" t="s">
        <v>711</v>
      </c>
      <c r="B498" s="1">
        <v>45241</v>
      </c>
      <c r="C498" t="s">
        <v>43</v>
      </c>
      <c r="D498">
        <v>57</v>
      </c>
      <c r="E498" t="s">
        <v>23</v>
      </c>
      <c r="F498" t="s">
        <v>17</v>
      </c>
      <c r="G498" t="s">
        <v>40</v>
      </c>
      <c r="H498">
        <v>2</v>
      </c>
      <c r="I498">
        <v>3750</v>
      </c>
      <c r="J498">
        <v>0</v>
      </c>
      <c r="K498" t="s">
        <v>50</v>
      </c>
      <c r="L498" t="s">
        <v>20</v>
      </c>
      <c r="M4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98">
        <v>7500</v>
      </c>
      <c r="O498" t="s">
        <v>26</v>
      </c>
      <c r="P498" t="str">
        <f>_xlfn.IFS(LEFT(indian_retail_raw_1000[[#This Row],[x]],1)="W", "West",LEFT(indian_retail_raw_1000[[#This Row],[x]],1)= "E","East",LEFT(O498,1) = "S", "South",LEFT(O498,1) = "N", "North")</f>
        <v>West</v>
      </c>
      <c r="Q498" t="s">
        <v>17</v>
      </c>
      <c r="R498" t="s">
        <v>23</v>
      </c>
      <c r="S498" t="str">
        <f>TEXT(indian_retail_raw_1000[[#This Row],[Order_Date]],"MMM")</f>
        <v>Nov</v>
      </c>
    </row>
    <row r="499" spans="1:19" x14ac:dyDescent="0.25">
      <c r="A499" t="s">
        <v>1261</v>
      </c>
      <c r="B499" s="1">
        <v>45245</v>
      </c>
      <c r="C499" t="s">
        <v>152</v>
      </c>
      <c r="D499">
        <v>39</v>
      </c>
      <c r="E499" t="s">
        <v>146</v>
      </c>
      <c r="F499" t="s">
        <v>17</v>
      </c>
      <c r="G499" t="s">
        <v>18</v>
      </c>
      <c r="H499">
        <v>2</v>
      </c>
      <c r="I499">
        <v>3750</v>
      </c>
      <c r="K499" t="s">
        <v>19</v>
      </c>
      <c r="L499" t="s">
        <v>56</v>
      </c>
      <c r="M4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99">
        <v>7500</v>
      </c>
      <c r="O499" t="s">
        <v>295</v>
      </c>
      <c r="P499" t="str">
        <f>_xlfn.IFS(LEFT(indian_retail_raw_1000[[#This Row],[x]],1)="W", "West",LEFT(indian_retail_raw_1000[[#This Row],[x]],1)= "E","East",LEFT(O499,1) = "S", "South",LEFT(O499,1) = "N", "North")</f>
        <v>East</v>
      </c>
      <c r="Q499" t="s">
        <v>17</v>
      </c>
      <c r="R499" t="s">
        <v>16</v>
      </c>
      <c r="S499" t="str">
        <f>TEXT(indian_retail_raw_1000[[#This Row],[Order_Date]],"MMM")</f>
        <v>Nov</v>
      </c>
    </row>
    <row r="500" spans="1:19" x14ac:dyDescent="0.25">
      <c r="A500" t="s">
        <v>1184</v>
      </c>
      <c r="B500" s="1">
        <v>44954</v>
      </c>
      <c r="C500" t="s">
        <v>452</v>
      </c>
      <c r="D500">
        <v>22</v>
      </c>
      <c r="E500" t="s">
        <v>23</v>
      </c>
      <c r="F500" t="s">
        <v>35</v>
      </c>
      <c r="G500" t="s">
        <v>99</v>
      </c>
      <c r="H500">
        <v>10</v>
      </c>
      <c r="I500">
        <v>1001</v>
      </c>
      <c r="J500">
        <v>25</v>
      </c>
      <c r="K500" t="s">
        <v>19</v>
      </c>
      <c r="L500" t="s">
        <v>20</v>
      </c>
      <c r="M5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0">
        <v>7507.5</v>
      </c>
      <c r="O500" t="s">
        <v>38</v>
      </c>
      <c r="P500" t="str">
        <f>_xlfn.IFS(LEFT(indian_retail_raw_1000[[#This Row],[x]],1)="W", "West",LEFT(indian_retail_raw_1000[[#This Row],[x]],1)= "E","East",LEFT(O500,1) = "S", "South",LEFT(O500,1) = "N", "North")</f>
        <v>North</v>
      </c>
      <c r="Q500" t="s">
        <v>35</v>
      </c>
      <c r="R500" t="s">
        <v>23</v>
      </c>
      <c r="S500" t="str">
        <f>TEXT(indian_retail_raw_1000[[#This Row],[Order_Date]],"MMM")</f>
        <v>Jan</v>
      </c>
    </row>
    <row r="501" spans="1:19" x14ac:dyDescent="0.25">
      <c r="A501" t="s">
        <v>1208</v>
      </c>
      <c r="B501" s="1">
        <v>44984</v>
      </c>
      <c r="C501" t="s">
        <v>241</v>
      </c>
      <c r="D501">
        <v>58</v>
      </c>
      <c r="E501" t="s">
        <v>23</v>
      </c>
      <c r="F501" t="s">
        <v>97</v>
      </c>
      <c r="G501" t="s">
        <v>224</v>
      </c>
      <c r="H501">
        <v>9</v>
      </c>
      <c r="I501">
        <v>1043</v>
      </c>
      <c r="J501">
        <v>20</v>
      </c>
      <c r="K501" t="s">
        <v>19</v>
      </c>
      <c r="L501" t="s">
        <v>20</v>
      </c>
      <c r="M5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1">
        <v>7509.6</v>
      </c>
      <c r="O501" t="s">
        <v>45</v>
      </c>
      <c r="P501" t="str">
        <f>_xlfn.IFS(LEFT(indian_retail_raw_1000[[#This Row],[x]],1)="W", "West",LEFT(indian_retail_raw_1000[[#This Row],[x]],1)= "E","East",LEFT(O501,1) = "S", "South",LEFT(O501,1) = "N", "North")</f>
        <v>East</v>
      </c>
      <c r="Q501" t="s">
        <v>30</v>
      </c>
      <c r="R501" t="s">
        <v>23</v>
      </c>
      <c r="S501" t="str">
        <f>TEXT(indian_retail_raw_1000[[#This Row],[Order_Date]],"MMM")</f>
        <v>Feb</v>
      </c>
    </row>
    <row r="502" spans="1:19" x14ac:dyDescent="0.25">
      <c r="A502" t="s">
        <v>533</v>
      </c>
      <c r="B502" s="1">
        <v>45104</v>
      </c>
      <c r="C502" t="s">
        <v>156</v>
      </c>
      <c r="D502">
        <v>24</v>
      </c>
      <c r="E502" t="s">
        <v>16</v>
      </c>
      <c r="F502" t="s">
        <v>30</v>
      </c>
      <c r="G502" t="s">
        <v>218</v>
      </c>
      <c r="H502">
        <v>4</v>
      </c>
      <c r="I502">
        <v>2213</v>
      </c>
      <c r="J502">
        <v>15</v>
      </c>
      <c r="K502" t="s">
        <v>41</v>
      </c>
      <c r="L502" t="s">
        <v>20</v>
      </c>
      <c r="M5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2">
        <v>7524.2</v>
      </c>
      <c r="O502" t="s">
        <v>21</v>
      </c>
      <c r="P502" t="str">
        <f>_xlfn.IFS(LEFT(indian_retail_raw_1000[[#This Row],[x]],1)="W", "West",LEFT(indian_retail_raw_1000[[#This Row],[x]],1)= "E","East",LEFT(O502,1) = "S", "South",LEFT(O502,1) = "N", "North")</f>
        <v>South</v>
      </c>
      <c r="Q502" t="s">
        <v>30</v>
      </c>
      <c r="R502" t="s">
        <v>16</v>
      </c>
      <c r="S502" t="str">
        <f>TEXT(indian_retail_raw_1000[[#This Row],[Order_Date]],"MMM")</f>
        <v>Jun</v>
      </c>
    </row>
    <row r="503" spans="1:19" x14ac:dyDescent="0.25">
      <c r="A503" t="s">
        <v>272</v>
      </c>
      <c r="B503" s="1" t="s">
        <v>1336</v>
      </c>
      <c r="C503" t="s">
        <v>207</v>
      </c>
      <c r="D503">
        <v>52</v>
      </c>
      <c r="E503" t="s">
        <v>16</v>
      </c>
      <c r="F503" t="s">
        <v>17</v>
      </c>
      <c r="G503" t="s">
        <v>274</v>
      </c>
      <c r="H503">
        <v>3</v>
      </c>
      <c r="I503">
        <v>2650</v>
      </c>
      <c r="J503">
        <v>5</v>
      </c>
      <c r="K503" t="s">
        <v>41</v>
      </c>
      <c r="L503" t="s">
        <v>20</v>
      </c>
      <c r="M5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3">
        <v>7552.5</v>
      </c>
      <c r="O503" t="s">
        <v>33</v>
      </c>
      <c r="P503" t="str">
        <f>_xlfn.IFS(LEFT(indian_retail_raw_1000[[#This Row],[x]],1)="W", "West",LEFT(indian_retail_raw_1000[[#This Row],[x]],1)= "E","East",LEFT(O503,1) = "S", "South",LEFT(O503,1) = "N", "North")</f>
        <v>West</v>
      </c>
      <c r="Q503" t="s">
        <v>17</v>
      </c>
      <c r="R503" t="s">
        <v>16</v>
      </c>
      <c r="S503" t="str">
        <f>TEXT(indian_retail_raw_1000[[#This Row],[Order_Date]],"MMM")</f>
        <v>Null</v>
      </c>
    </row>
    <row r="504" spans="1:19" x14ac:dyDescent="0.25">
      <c r="A504" t="s">
        <v>829</v>
      </c>
      <c r="B504" s="1" t="s">
        <v>1336</v>
      </c>
      <c r="C504" t="s">
        <v>28</v>
      </c>
      <c r="D504">
        <v>34</v>
      </c>
      <c r="E504" t="s">
        <v>16</v>
      </c>
      <c r="F504" t="s">
        <v>17</v>
      </c>
      <c r="G504" t="s">
        <v>24</v>
      </c>
      <c r="H504">
        <v>3</v>
      </c>
      <c r="I504">
        <v>3150</v>
      </c>
      <c r="J504">
        <v>20</v>
      </c>
      <c r="K504" t="s">
        <v>89</v>
      </c>
      <c r="L504" t="s">
        <v>20</v>
      </c>
      <c r="M5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4">
        <v>7560</v>
      </c>
      <c r="O504" t="s">
        <v>38</v>
      </c>
      <c r="P504" t="str">
        <f>_xlfn.IFS(LEFT(indian_retail_raw_1000[[#This Row],[x]],1)="W", "West",LEFT(indian_retail_raw_1000[[#This Row],[x]],1)= "E","East",LEFT(O504,1) = "S", "South",LEFT(O504,1) = "N", "North")</f>
        <v>North</v>
      </c>
      <c r="Q504" t="s">
        <v>17</v>
      </c>
      <c r="R504" t="s">
        <v>16</v>
      </c>
      <c r="S504" t="str">
        <f>TEXT(indian_retail_raw_1000[[#This Row],[Order_Date]],"MMM")</f>
        <v>Null</v>
      </c>
    </row>
    <row r="505" spans="1:19" x14ac:dyDescent="0.25">
      <c r="A505" t="s">
        <v>1226</v>
      </c>
      <c r="B505" s="1">
        <v>45236</v>
      </c>
      <c r="C505" t="s">
        <v>102</v>
      </c>
      <c r="D505">
        <v>34</v>
      </c>
      <c r="E505" t="s">
        <v>23</v>
      </c>
      <c r="F505" t="s">
        <v>54</v>
      </c>
      <c r="G505" t="s">
        <v>311</v>
      </c>
      <c r="H505">
        <v>2</v>
      </c>
      <c r="I505">
        <v>4000</v>
      </c>
      <c r="J505">
        <v>5</v>
      </c>
      <c r="K505" t="s">
        <v>41</v>
      </c>
      <c r="L505" t="s">
        <v>51</v>
      </c>
      <c r="M5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05">
        <v>7600</v>
      </c>
      <c r="O505" t="s">
        <v>894</v>
      </c>
      <c r="P505" t="str">
        <f>_xlfn.IFS(LEFT(indian_retail_raw_1000[[#This Row],[x]],1)="W", "West",LEFT(indian_retail_raw_1000[[#This Row],[x]],1)= "E","East",LEFT(O505,1) = "S", "South",LEFT(O505,1) = "N", "North")</f>
        <v>North</v>
      </c>
      <c r="Q505" t="s">
        <v>54</v>
      </c>
      <c r="R505" t="s">
        <v>23</v>
      </c>
      <c r="S505" t="str">
        <f>TEXT(indian_retail_raw_1000[[#This Row],[Order_Date]],"MMM")</f>
        <v>Nov</v>
      </c>
    </row>
    <row r="506" spans="1:19" x14ac:dyDescent="0.25">
      <c r="A506" t="s">
        <v>733</v>
      </c>
      <c r="B506" s="1">
        <v>45166</v>
      </c>
      <c r="C506" t="s">
        <v>66</v>
      </c>
      <c r="D506">
        <v>24</v>
      </c>
      <c r="E506" t="s">
        <v>23</v>
      </c>
      <c r="F506" t="s">
        <v>30</v>
      </c>
      <c r="G506" t="s">
        <v>268</v>
      </c>
      <c r="H506">
        <v>5</v>
      </c>
      <c r="I506">
        <v>1910</v>
      </c>
      <c r="J506">
        <v>20</v>
      </c>
      <c r="K506" t="s">
        <v>32</v>
      </c>
      <c r="L506" t="s">
        <v>20</v>
      </c>
      <c r="M5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6">
        <v>7640</v>
      </c>
      <c r="O506" t="s">
        <v>38</v>
      </c>
      <c r="P506" t="str">
        <f>_xlfn.IFS(LEFT(indian_retail_raw_1000[[#This Row],[x]],1)="W", "West",LEFT(indian_retail_raw_1000[[#This Row],[x]],1)= "E","East",LEFT(O506,1) = "S", "South",LEFT(O506,1) = "N", "North")</f>
        <v>North</v>
      </c>
      <c r="Q506" t="s">
        <v>30</v>
      </c>
      <c r="R506" t="s">
        <v>23</v>
      </c>
      <c r="S506" t="str">
        <f>TEXT(indian_retail_raw_1000[[#This Row],[Order_Date]],"MMM")</f>
        <v>Aug</v>
      </c>
    </row>
    <row r="507" spans="1:19" x14ac:dyDescent="0.25">
      <c r="A507" t="s">
        <v>1227</v>
      </c>
      <c r="B507" s="1">
        <v>45181</v>
      </c>
      <c r="C507" t="s">
        <v>587</v>
      </c>
      <c r="D507">
        <v>55</v>
      </c>
      <c r="E507" t="s">
        <v>443</v>
      </c>
      <c r="F507" t="s">
        <v>17</v>
      </c>
      <c r="G507" t="s">
        <v>259</v>
      </c>
      <c r="H507">
        <v>2</v>
      </c>
      <c r="I507">
        <v>4800</v>
      </c>
      <c r="J507">
        <v>20</v>
      </c>
      <c r="K507" t="s">
        <v>19</v>
      </c>
      <c r="L507" t="s">
        <v>20</v>
      </c>
      <c r="M5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7">
        <v>7680</v>
      </c>
      <c r="O507" t="s">
        <v>26</v>
      </c>
      <c r="P507" t="str">
        <f>_xlfn.IFS(LEFT(indian_retail_raw_1000[[#This Row],[x]],1)="W", "West",LEFT(indian_retail_raw_1000[[#This Row],[x]],1)= "E","East",LEFT(O507,1) = "S", "South",LEFT(O507,1) = "N", "North")</f>
        <v>West</v>
      </c>
      <c r="Q507" t="s">
        <v>17</v>
      </c>
      <c r="R507" t="s">
        <v>23</v>
      </c>
      <c r="S507" t="str">
        <f>TEXT(indian_retail_raw_1000[[#This Row],[Order_Date]],"MMM")</f>
        <v>Sep</v>
      </c>
    </row>
    <row r="508" spans="1:19" x14ac:dyDescent="0.25">
      <c r="A508" t="s">
        <v>593</v>
      </c>
      <c r="B508" s="1" t="s">
        <v>1336</v>
      </c>
      <c r="C508" t="s">
        <v>82</v>
      </c>
      <c r="D508">
        <v>21</v>
      </c>
      <c r="E508" t="s">
        <v>16</v>
      </c>
      <c r="F508" t="s">
        <v>129</v>
      </c>
      <c r="G508" t="s">
        <v>268</v>
      </c>
      <c r="H508">
        <v>8</v>
      </c>
      <c r="I508">
        <v>1011</v>
      </c>
      <c r="J508">
        <v>5</v>
      </c>
      <c r="K508" t="s">
        <v>83</v>
      </c>
      <c r="L508" t="s">
        <v>20</v>
      </c>
      <c r="M5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8">
        <v>7683.6</v>
      </c>
      <c r="O508" t="s">
        <v>45</v>
      </c>
      <c r="P508" t="str">
        <f>_xlfn.IFS(LEFT(indian_retail_raw_1000[[#This Row],[x]],1)="W", "West",LEFT(indian_retail_raw_1000[[#This Row],[x]],1)= "E","East",LEFT(O508,1) = "S", "South",LEFT(O508,1) = "N", "North")</f>
        <v>East</v>
      </c>
      <c r="Q508" t="s">
        <v>30</v>
      </c>
      <c r="R508" t="s">
        <v>16</v>
      </c>
      <c r="S508" t="str">
        <f>TEXT(indian_retail_raw_1000[[#This Row],[Order_Date]],"MMM")</f>
        <v>Null</v>
      </c>
    </row>
    <row r="509" spans="1:19" x14ac:dyDescent="0.25">
      <c r="A509" t="s">
        <v>313</v>
      </c>
      <c r="B509" s="1" t="s">
        <v>1336</v>
      </c>
      <c r="C509" t="s">
        <v>66</v>
      </c>
      <c r="D509">
        <v>39</v>
      </c>
      <c r="E509" t="s">
        <v>16</v>
      </c>
      <c r="F509" t="s">
        <v>17</v>
      </c>
      <c r="G509" t="s">
        <v>297</v>
      </c>
      <c r="H509">
        <v>1</v>
      </c>
      <c r="I509">
        <v>7700</v>
      </c>
      <c r="J509">
        <v>0</v>
      </c>
      <c r="K509" t="s">
        <v>41</v>
      </c>
      <c r="L509" t="s">
        <v>51</v>
      </c>
      <c r="M5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09">
        <v>7700</v>
      </c>
      <c r="O509" t="s">
        <v>38</v>
      </c>
      <c r="P509" t="str">
        <f>_xlfn.IFS(LEFT(indian_retail_raw_1000[[#This Row],[x]],1)="W", "West",LEFT(indian_retail_raw_1000[[#This Row],[x]],1)= "E","East",LEFT(O509,1) = "S", "South",LEFT(O509,1) = "N", "North")</f>
        <v>North</v>
      </c>
      <c r="Q509" t="s">
        <v>17</v>
      </c>
      <c r="R509" t="s">
        <v>16</v>
      </c>
      <c r="S509" t="str">
        <f>TEXT(indian_retail_raw_1000[[#This Row],[Order_Date]],"MMM")</f>
        <v>Null</v>
      </c>
    </row>
    <row r="510" spans="1:19" x14ac:dyDescent="0.25">
      <c r="A510" t="s">
        <v>1254</v>
      </c>
      <c r="B510" s="1">
        <v>45291</v>
      </c>
      <c r="C510" t="s">
        <v>188</v>
      </c>
      <c r="D510">
        <v>19</v>
      </c>
      <c r="E510" t="s">
        <v>16</v>
      </c>
      <c r="F510" t="s">
        <v>54</v>
      </c>
      <c r="G510" t="s">
        <v>237</v>
      </c>
      <c r="H510">
        <v>2</v>
      </c>
      <c r="I510">
        <v>38600</v>
      </c>
      <c r="J510">
        <v>0</v>
      </c>
      <c r="K510" t="s">
        <v>50</v>
      </c>
      <c r="L510" t="s">
        <v>20</v>
      </c>
      <c r="M5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0">
        <v>7720</v>
      </c>
      <c r="O510" t="s">
        <v>26</v>
      </c>
      <c r="P510" t="str">
        <f>_xlfn.IFS(LEFT(indian_retail_raw_1000[[#This Row],[x]],1)="W", "West",LEFT(indian_retail_raw_1000[[#This Row],[x]],1)= "E","East",LEFT(O510,1) = "S", "South",LEFT(O510,1) = "N", "North")</f>
        <v>West</v>
      </c>
      <c r="Q510" t="s">
        <v>54</v>
      </c>
      <c r="R510" t="s">
        <v>16</v>
      </c>
      <c r="S510" t="str">
        <f>TEXT(indian_retail_raw_1000[[#This Row],[Order_Date]],"MMM")</f>
        <v>Dec</v>
      </c>
    </row>
    <row r="511" spans="1:19" x14ac:dyDescent="0.25">
      <c r="A511" t="s">
        <v>654</v>
      </c>
      <c r="B511" s="1">
        <v>45250</v>
      </c>
      <c r="C511" t="s">
        <v>152</v>
      </c>
      <c r="D511">
        <v>60</v>
      </c>
      <c r="E511" t="s">
        <v>16</v>
      </c>
      <c r="F511" t="s">
        <v>324</v>
      </c>
      <c r="G511" t="s">
        <v>36</v>
      </c>
      <c r="H511">
        <v>9</v>
      </c>
      <c r="I511">
        <v>903</v>
      </c>
      <c r="J511">
        <v>5</v>
      </c>
      <c r="K511" t="s">
        <v>25</v>
      </c>
      <c r="L511" t="s">
        <v>20</v>
      </c>
      <c r="M5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1">
        <v>7720.65</v>
      </c>
      <c r="O511" t="s">
        <v>45</v>
      </c>
      <c r="P511" t="str">
        <f>_xlfn.IFS(LEFT(indian_retail_raw_1000[[#This Row],[x]],1)="W", "West",LEFT(indian_retail_raw_1000[[#This Row],[x]],1)= "E","East",LEFT(O511,1) = "S", "South",LEFT(O511,1) = "N", "North")</f>
        <v>East</v>
      </c>
      <c r="Q511" t="s">
        <v>35</v>
      </c>
      <c r="R511" t="s">
        <v>16</v>
      </c>
      <c r="S511" t="str">
        <f>TEXT(indian_retail_raw_1000[[#This Row],[Order_Date]],"MMM")</f>
        <v>Nov</v>
      </c>
    </row>
    <row r="512" spans="1:19" x14ac:dyDescent="0.25">
      <c r="A512" t="s">
        <v>609</v>
      </c>
      <c r="B512" s="1">
        <v>45098</v>
      </c>
      <c r="C512" t="s">
        <v>452</v>
      </c>
      <c r="D512">
        <v>59</v>
      </c>
      <c r="E512" t="s">
        <v>16</v>
      </c>
      <c r="F512" t="s">
        <v>54</v>
      </c>
      <c r="G512" t="s">
        <v>114</v>
      </c>
      <c r="H512">
        <v>1</v>
      </c>
      <c r="I512">
        <v>87300</v>
      </c>
      <c r="K512" t="s">
        <v>41</v>
      </c>
      <c r="L512" t="s">
        <v>20</v>
      </c>
      <c r="M5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2">
        <v>7730</v>
      </c>
      <c r="O512" t="s">
        <v>21</v>
      </c>
      <c r="P512" t="str">
        <f>_xlfn.IFS(LEFT(indian_retail_raw_1000[[#This Row],[x]],1)="W", "West",LEFT(indian_retail_raw_1000[[#This Row],[x]],1)= "E","East",LEFT(O512,1) = "S", "South",LEFT(O512,1) = "N", "North")</f>
        <v>South</v>
      </c>
      <c r="Q512" t="s">
        <v>54</v>
      </c>
      <c r="R512" t="s">
        <v>16</v>
      </c>
      <c r="S512" t="str">
        <f>TEXT(indian_retail_raw_1000[[#This Row],[Order_Date]],"MMM")</f>
        <v>Jun</v>
      </c>
    </row>
    <row r="513" spans="1:19" x14ac:dyDescent="0.25">
      <c r="A513" t="s">
        <v>1114</v>
      </c>
      <c r="B513" s="1">
        <v>45066</v>
      </c>
      <c r="C513" t="s">
        <v>152</v>
      </c>
      <c r="D513">
        <v>33</v>
      </c>
      <c r="E513" t="s">
        <v>23</v>
      </c>
      <c r="F513" t="s">
        <v>17</v>
      </c>
      <c r="G513" t="s">
        <v>492</v>
      </c>
      <c r="H513">
        <v>3</v>
      </c>
      <c r="I513">
        <v>3050</v>
      </c>
      <c r="J513">
        <v>15</v>
      </c>
      <c r="K513" t="s">
        <v>50</v>
      </c>
      <c r="L513" t="s">
        <v>20</v>
      </c>
      <c r="M5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3">
        <v>7777.5</v>
      </c>
      <c r="O513" t="s">
        <v>26</v>
      </c>
      <c r="P513" t="str">
        <f>_xlfn.IFS(LEFT(indian_retail_raw_1000[[#This Row],[x]],1)="W", "West",LEFT(indian_retail_raw_1000[[#This Row],[x]],1)= "E","East",LEFT(O513,1) = "S", "South",LEFT(O513,1) = "N", "North")</f>
        <v>West</v>
      </c>
      <c r="Q513" t="s">
        <v>17</v>
      </c>
      <c r="R513" t="s">
        <v>23</v>
      </c>
      <c r="S513" t="str">
        <f>TEXT(indian_retail_raw_1000[[#This Row],[Order_Date]],"MMM")</f>
        <v>May</v>
      </c>
    </row>
    <row r="514" spans="1:19" x14ac:dyDescent="0.25">
      <c r="A514" t="s">
        <v>709</v>
      </c>
      <c r="B514" s="1">
        <v>45180</v>
      </c>
      <c r="C514" t="s">
        <v>1336</v>
      </c>
      <c r="D514">
        <v>30</v>
      </c>
      <c r="E514" t="s">
        <v>710</v>
      </c>
      <c r="F514" t="s">
        <v>17</v>
      </c>
      <c r="G514" t="s">
        <v>18</v>
      </c>
      <c r="H514">
        <v>3</v>
      </c>
      <c r="I514">
        <v>2600</v>
      </c>
      <c r="J514">
        <v>0</v>
      </c>
      <c r="K514" t="s">
        <v>25</v>
      </c>
      <c r="L514" t="s">
        <v>20</v>
      </c>
      <c r="M5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4">
        <v>7800</v>
      </c>
      <c r="O514" t="s">
        <v>26</v>
      </c>
      <c r="P514" t="str">
        <f>_xlfn.IFS(LEFT(indian_retail_raw_1000[[#This Row],[x]],1)="W", "West",LEFT(indian_retail_raw_1000[[#This Row],[x]],1)= "E","East",LEFT(O514,1) = "S", "South",LEFT(O514,1) = "N", "North")</f>
        <v>West</v>
      </c>
      <c r="Q514" t="s">
        <v>17</v>
      </c>
      <c r="R514" t="s">
        <v>138</v>
      </c>
      <c r="S514" t="str">
        <f>TEXT(indian_retail_raw_1000[[#This Row],[Order_Date]],"MMM")</f>
        <v>Sep</v>
      </c>
    </row>
    <row r="515" spans="1:19" x14ac:dyDescent="0.25">
      <c r="A515" t="s">
        <v>620</v>
      </c>
      <c r="B515" s="1">
        <v>45252</v>
      </c>
      <c r="C515" t="s">
        <v>48</v>
      </c>
      <c r="D515">
        <v>50</v>
      </c>
      <c r="E515" t="s">
        <v>23</v>
      </c>
      <c r="F515" t="s">
        <v>30</v>
      </c>
      <c r="G515" t="s">
        <v>67</v>
      </c>
      <c r="H515">
        <v>2</v>
      </c>
      <c r="I515">
        <v>3915</v>
      </c>
      <c r="J515">
        <v>0</v>
      </c>
      <c r="K515" t="s">
        <v>41</v>
      </c>
      <c r="L515" t="s">
        <v>20</v>
      </c>
      <c r="M5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5">
        <v>7830</v>
      </c>
      <c r="O515" t="s">
        <v>621</v>
      </c>
      <c r="P515" t="str">
        <f>_xlfn.IFS(LEFT(indian_retail_raw_1000[[#This Row],[x]],1)="W", "West",LEFT(indian_retail_raw_1000[[#This Row],[x]],1)= "E","East",LEFT(O515,1) = "S", "South",LEFT(O515,1) = "N", "North")</f>
        <v>West</v>
      </c>
      <c r="Q515" t="s">
        <v>30</v>
      </c>
      <c r="R515" t="s">
        <v>23</v>
      </c>
      <c r="S515" t="str">
        <f>TEXT(indian_retail_raw_1000[[#This Row],[Order_Date]],"MMM")</f>
        <v>Nov</v>
      </c>
    </row>
    <row r="516" spans="1:19" x14ac:dyDescent="0.25">
      <c r="A516" t="s">
        <v>788</v>
      </c>
      <c r="B516" s="1">
        <v>45176</v>
      </c>
      <c r="C516" t="s">
        <v>243</v>
      </c>
      <c r="D516">
        <v>51</v>
      </c>
      <c r="E516" t="s">
        <v>475</v>
      </c>
      <c r="F516" t="s">
        <v>30</v>
      </c>
      <c r="G516" t="s">
        <v>235</v>
      </c>
      <c r="H516">
        <v>4</v>
      </c>
      <c r="I516">
        <v>2063</v>
      </c>
      <c r="J516">
        <v>5</v>
      </c>
      <c r="K516" t="s">
        <v>19</v>
      </c>
      <c r="L516" t="s">
        <v>20</v>
      </c>
      <c r="M5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6">
        <v>7839.4</v>
      </c>
      <c r="O516" t="s">
        <v>26</v>
      </c>
      <c r="P516" t="str">
        <f>_xlfn.IFS(LEFT(indian_retail_raw_1000[[#This Row],[x]],1)="W", "West",LEFT(indian_retail_raw_1000[[#This Row],[x]],1)= "E","East",LEFT(O516,1) = "S", "South",LEFT(O516,1) = "N", "North")</f>
        <v>West</v>
      </c>
      <c r="Q516" t="s">
        <v>30</v>
      </c>
      <c r="R516" t="s">
        <v>138</v>
      </c>
      <c r="S516" t="str">
        <f>TEXT(indian_retail_raw_1000[[#This Row],[Order_Date]],"MMM")</f>
        <v>Sep</v>
      </c>
    </row>
    <row r="517" spans="1:19" x14ac:dyDescent="0.25">
      <c r="A517" t="s">
        <v>534</v>
      </c>
      <c r="B517" s="1" t="s">
        <v>1336</v>
      </c>
      <c r="C517" t="s">
        <v>1336</v>
      </c>
      <c r="D517">
        <v>18</v>
      </c>
      <c r="E517" t="s">
        <v>16</v>
      </c>
      <c r="F517" t="s">
        <v>17</v>
      </c>
      <c r="G517" t="s">
        <v>492</v>
      </c>
      <c r="H517">
        <v>2</v>
      </c>
      <c r="I517">
        <v>4150</v>
      </c>
      <c r="J517">
        <v>5</v>
      </c>
      <c r="K517" t="s">
        <v>41</v>
      </c>
      <c r="L517" t="s">
        <v>20</v>
      </c>
      <c r="M5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7">
        <v>7885</v>
      </c>
      <c r="O517" t="s">
        <v>352</v>
      </c>
      <c r="P517" t="str">
        <f>_xlfn.IFS(LEFT(indian_retail_raw_1000[[#This Row],[x]],1)="W", "West",LEFT(indian_retail_raw_1000[[#This Row],[x]],1)= "E","East",LEFT(O517,1) = "S", "South",LEFT(O517,1) = "N", "North")</f>
        <v>East</v>
      </c>
      <c r="Q517" t="s">
        <v>17</v>
      </c>
      <c r="R517" t="s">
        <v>16</v>
      </c>
      <c r="S517" t="str">
        <f>TEXT(indian_retail_raw_1000[[#This Row],[Order_Date]],"MMM")</f>
        <v>Null</v>
      </c>
    </row>
    <row r="518" spans="1:19" x14ac:dyDescent="0.25">
      <c r="A518" t="s">
        <v>534</v>
      </c>
      <c r="B518" s="1" t="s">
        <v>1336</v>
      </c>
      <c r="C518" t="s">
        <v>1336</v>
      </c>
      <c r="D518">
        <v>18</v>
      </c>
      <c r="E518" t="s">
        <v>16</v>
      </c>
      <c r="F518" t="s">
        <v>17</v>
      </c>
      <c r="G518" t="s">
        <v>492</v>
      </c>
      <c r="H518">
        <v>2</v>
      </c>
      <c r="I518">
        <v>4150</v>
      </c>
      <c r="J518">
        <v>5</v>
      </c>
      <c r="K518" t="s">
        <v>41</v>
      </c>
      <c r="L518" t="s">
        <v>20</v>
      </c>
      <c r="M5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8">
        <v>7885</v>
      </c>
      <c r="O518" t="s">
        <v>352</v>
      </c>
      <c r="P518" t="str">
        <f>_xlfn.IFS(LEFT(indian_retail_raw_1000[[#This Row],[x]],1)="W", "West",LEFT(indian_retail_raw_1000[[#This Row],[x]],1)= "E","East",LEFT(O518,1) = "S", "South",LEFT(O518,1) = "N", "North")</f>
        <v>East</v>
      </c>
      <c r="Q518" t="s">
        <v>17</v>
      </c>
      <c r="R518" t="s">
        <v>16</v>
      </c>
      <c r="S518" t="str">
        <f>TEXT(indian_retail_raw_1000[[#This Row],[Order_Date]],"MMM")</f>
        <v>Null</v>
      </c>
    </row>
    <row r="519" spans="1:19" x14ac:dyDescent="0.25">
      <c r="A519" t="s">
        <v>899</v>
      </c>
      <c r="B519" s="1">
        <v>45068</v>
      </c>
      <c r="C519" t="s">
        <v>192</v>
      </c>
      <c r="D519">
        <v>45</v>
      </c>
      <c r="E519" t="s">
        <v>16</v>
      </c>
      <c r="F519" t="s">
        <v>291</v>
      </c>
      <c r="G519" t="s">
        <v>40</v>
      </c>
      <c r="H519">
        <v>2</v>
      </c>
      <c r="I519">
        <v>4400</v>
      </c>
      <c r="J519">
        <v>10</v>
      </c>
      <c r="K519" t="s">
        <v>326</v>
      </c>
      <c r="L519" t="s">
        <v>51</v>
      </c>
      <c r="M5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19">
        <v>7920</v>
      </c>
      <c r="O519" t="s">
        <v>45</v>
      </c>
      <c r="P519" t="str">
        <f>_xlfn.IFS(LEFT(indian_retail_raw_1000[[#This Row],[x]],1)="W", "West",LEFT(indian_retail_raw_1000[[#This Row],[x]],1)= "E","East",LEFT(O519,1) = "S", "South",LEFT(O519,1) = "N", "North")</f>
        <v>East</v>
      </c>
      <c r="Q519" t="s">
        <v>17</v>
      </c>
      <c r="R519" t="s">
        <v>16</v>
      </c>
      <c r="S519" t="str">
        <f>TEXT(indian_retail_raw_1000[[#This Row],[Order_Date]],"MMM")</f>
        <v>May</v>
      </c>
    </row>
    <row r="520" spans="1:19" x14ac:dyDescent="0.25">
      <c r="A520" t="s">
        <v>768</v>
      </c>
      <c r="B520" s="1" t="s">
        <v>1336</v>
      </c>
      <c r="C520" t="s">
        <v>28</v>
      </c>
      <c r="D520">
        <v>46</v>
      </c>
      <c r="E520" t="s">
        <v>443</v>
      </c>
      <c r="F520" t="s">
        <v>30</v>
      </c>
      <c r="G520" t="s">
        <v>130</v>
      </c>
      <c r="H520">
        <v>5</v>
      </c>
      <c r="I520">
        <v>2645</v>
      </c>
      <c r="J520">
        <v>40</v>
      </c>
      <c r="K520" t="s">
        <v>41</v>
      </c>
      <c r="L520" t="s">
        <v>20</v>
      </c>
      <c r="M5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0">
        <v>7935</v>
      </c>
      <c r="O520" t="s">
        <v>45</v>
      </c>
      <c r="P520" t="str">
        <f>_xlfn.IFS(LEFT(indian_retail_raw_1000[[#This Row],[x]],1)="W", "West",LEFT(indian_retail_raw_1000[[#This Row],[x]],1)= "E","East",LEFT(O520,1) = "S", "South",LEFT(O520,1) = "N", "North")</f>
        <v>East</v>
      </c>
      <c r="Q520" t="s">
        <v>30</v>
      </c>
      <c r="R520" t="s">
        <v>23</v>
      </c>
      <c r="S520" t="str">
        <f>TEXT(indian_retail_raw_1000[[#This Row],[Order_Date]],"MMM")</f>
        <v>Null</v>
      </c>
    </row>
    <row r="521" spans="1:19" x14ac:dyDescent="0.25">
      <c r="A521" t="s">
        <v>136</v>
      </c>
      <c r="B521" s="1" t="s">
        <v>1336</v>
      </c>
      <c r="C521" t="s">
        <v>48</v>
      </c>
      <c r="D521">
        <v>52</v>
      </c>
      <c r="E521" t="s">
        <v>16</v>
      </c>
      <c r="F521" t="s">
        <v>17</v>
      </c>
      <c r="G521" t="s">
        <v>94</v>
      </c>
      <c r="H521">
        <v>3</v>
      </c>
      <c r="I521">
        <v>2650</v>
      </c>
      <c r="J521">
        <v>0</v>
      </c>
      <c r="K521" t="s">
        <v>50</v>
      </c>
      <c r="L521" t="s">
        <v>51</v>
      </c>
      <c r="M5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21">
        <v>7950</v>
      </c>
      <c r="O521" t="s">
        <v>45</v>
      </c>
      <c r="P521" t="str">
        <f>_xlfn.IFS(LEFT(indian_retail_raw_1000[[#This Row],[x]],1)="W", "West",LEFT(indian_retail_raw_1000[[#This Row],[x]],1)= "E","East",LEFT(O521,1) = "S", "South",LEFT(O521,1) = "N", "North")</f>
        <v>East</v>
      </c>
      <c r="Q521" t="s">
        <v>17</v>
      </c>
      <c r="R521" t="s">
        <v>16</v>
      </c>
      <c r="S521" t="str">
        <f>TEXT(indian_retail_raw_1000[[#This Row],[Order_Date]],"MMM")</f>
        <v>Null</v>
      </c>
    </row>
    <row r="522" spans="1:19" x14ac:dyDescent="0.25">
      <c r="A522" t="s">
        <v>322</v>
      </c>
      <c r="B522" s="1">
        <v>45224</v>
      </c>
      <c r="C522" t="s">
        <v>53</v>
      </c>
      <c r="D522">
        <v>20</v>
      </c>
      <c r="E522" t="s">
        <v>16</v>
      </c>
      <c r="F522" t="s">
        <v>17</v>
      </c>
      <c r="G522" t="s">
        <v>117</v>
      </c>
      <c r="H522">
        <v>1</v>
      </c>
      <c r="I522">
        <v>7950</v>
      </c>
      <c r="J522">
        <v>5</v>
      </c>
      <c r="K522" t="s">
        <v>41</v>
      </c>
      <c r="L522" t="s">
        <v>20</v>
      </c>
      <c r="M5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2">
        <v>7950</v>
      </c>
      <c r="O522" t="s">
        <v>45</v>
      </c>
      <c r="P522" t="str">
        <f>_xlfn.IFS(LEFT(indian_retail_raw_1000[[#This Row],[x]],1)="W", "West",LEFT(indian_retail_raw_1000[[#This Row],[x]],1)= "E","East",LEFT(O522,1) = "S", "South",LEFT(O522,1) = "N", "North")</f>
        <v>East</v>
      </c>
      <c r="Q522" t="s">
        <v>17</v>
      </c>
      <c r="R522" t="s">
        <v>16</v>
      </c>
      <c r="S522" t="str">
        <f>TEXT(indian_retail_raw_1000[[#This Row],[Order_Date]],"MMM")</f>
        <v>Oct</v>
      </c>
    </row>
    <row r="523" spans="1:19" x14ac:dyDescent="0.25">
      <c r="A523" t="s">
        <v>1202</v>
      </c>
      <c r="B523" s="1">
        <v>45195</v>
      </c>
      <c r="C523" t="s">
        <v>87</v>
      </c>
      <c r="D523">
        <v>54</v>
      </c>
      <c r="E523" t="s">
        <v>16</v>
      </c>
      <c r="F523" t="s">
        <v>17</v>
      </c>
      <c r="G523" t="s">
        <v>259</v>
      </c>
      <c r="H523">
        <v>3</v>
      </c>
      <c r="I523">
        <v>2800</v>
      </c>
      <c r="J523">
        <v>5</v>
      </c>
      <c r="K523" t="s">
        <v>25</v>
      </c>
      <c r="L523" t="s">
        <v>20</v>
      </c>
      <c r="M5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3">
        <v>7980</v>
      </c>
      <c r="O523" t="s">
        <v>38</v>
      </c>
      <c r="P523" t="str">
        <f>_xlfn.IFS(LEFT(indian_retail_raw_1000[[#This Row],[x]],1)="W", "West",LEFT(indian_retail_raw_1000[[#This Row],[x]],1)= "E","East",LEFT(O523,1) = "S", "South",LEFT(O523,1) = "N", "North")</f>
        <v>North</v>
      </c>
      <c r="Q523" t="s">
        <v>17</v>
      </c>
      <c r="R523" t="s">
        <v>16</v>
      </c>
      <c r="S523" t="str">
        <f>TEXT(indian_retail_raw_1000[[#This Row],[Order_Date]],"MMM")</f>
        <v>Sep</v>
      </c>
    </row>
    <row r="524" spans="1:19" x14ac:dyDescent="0.25">
      <c r="A524" t="s">
        <v>1222</v>
      </c>
      <c r="B524" s="1" t="s">
        <v>1336</v>
      </c>
      <c r="C524" t="s">
        <v>152</v>
      </c>
      <c r="D524">
        <v>47</v>
      </c>
      <c r="E524" t="s">
        <v>23</v>
      </c>
      <c r="F524" t="s">
        <v>30</v>
      </c>
      <c r="G524" t="s">
        <v>540</v>
      </c>
      <c r="H524">
        <v>3</v>
      </c>
      <c r="I524">
        <v>3132</v>
      </c>
      <c r="J524">
        <v>15</v>
      </c>
      <c r="K524" t="s">
        <v>19</v>
      </c>
      <c r="L524" t="s">
        <v>20</v>
      </c>
      <c r="M5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4">
        <v>7986.6</v>
      </c>
      <c r="O524" t="s">
        <v>45</v>
      </c>
      <c r="P524" t="str">
        <f>_xlfn.IFS(LEFT(indian_retail_raw_1000[[#This Row],[x]],1)="W", "West",LEFT(indian_retail_raw_1000[[#This Row],[x]],1)= "E","East",LEFT(O524,1) = "S", "South",LEFT(O524,1) = "N", "North")</f>
        <v>East</v>
      </c>
      <c r="Q524" t="s">
        <v>30</v>
      </c>
      <c r="R524" t="s">
        <v>23</v>
      </c>
      <c r="S524" t="str">
        <f>TEXT(indian_retail_raw_1000[[#This Row],[Order_Date]],"MMM")</f>
        <v>Null</v>
      </c>
    </row>
    <row r="525" spans="1:19" x14ac:dyDescent="0.25">
      <c r="A525" t="s">
        <v>1008</v>
      </c>
      <c r="B525" s="1" t="s">
        <v>1336</v>
      </c>
      <c r="C525" t="s">
        <v>87</v>
      </c>
      <c r="D525">
        <v>59</v>
      </c>
      <c r="E525" t="s">
        <v>16</v>
      </c>
      <c r="F525" t="s">
        <v>17</v>
      </c>
      <c r="G525" t="s">
        <v>18</v>
      </c>
      <c r="H525">
        <v>3</v>
      </c>
      <c r="I525">
        <v>3550</v>
      </c>
      <c r="J525">
        <v>25</v>
      </c>
      <c r="K525" t="s">
        <v>25</v>
      </c>
      <c r="L525" t="s">
        <v>20</v>
      </c>
      <c r="M5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5">
        <v>7987.5</v>
      </c>
      <c r="O525" t="s">
        <v>21</v>
      </c>
      <c r="P525" t="str">
        <f>_xlfn.IFS(LEFT(indian_retail_raw_1000[[#This Row],[x]],1)="W", "West",LEFT(indian_retail_raw_1000[[#This Row],[x]],1)= "E","East",LEFT(O525,1) = "S", "South",LEFT(O525,1) = "N", "North")</f>
        <v>South</v>
      </c>
      <c r="Q525" t="s">
        <v>17</v>
      </c>
      <c r="R525" t="s">
        <v>16</v>
      </c>
      <c r="S525" t="str">
        <f>TEXT(indian_retail_raw_1000[[#This Row],[Order_Date]],"MMM")</f>
        <v>Null</v>
      </c>
    </row>
    <row r="526" spans="1:19" x14ac:dyDescent="0.25">
      <c r="A526" t="s">
        <v>680</v>
      </c>
      <c r="B526" s="1">
        <v>44954</v>
      </c>
      <c r="C526" t="s">
        <v>76</v>
      </c>
      <c r="D526">
        <v>32</v>
      </c>
      <c r="E526" t="s">
        <v>23</v>
      </c>
      <c r="F526" t="s">
        <v>54</v>
      </c>
      <c r="G526" t="s">
        <v>104</v>
      </c>
      <c r="H526">
        <v>1</v>
      </c>
      <c r="I526">
        <v>8000</v>
      </c>
      <c r="J526">
        <v>0</v>
      </c>
      <c r="K526" t="s">
        <v>64</v>
      </c>
      <c r="L526" t="s">
        <v>204</v>
      </c>
      <c r="M5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6">
        <v>8000</v>
      </c>
      <c r="O526" t="s">
        <v>621</v>
      </c>
      <c r="P526" t="str">
        <f>_xlfn.IFS(LEFT(indian_retail_raw_1000[[#This Row],[x]],1)="W", "West",LEFT(indian_retail_raw_1000[[#This Row],[x]],1)= "E","East",LEFT(O526,1) = "S", "South",LEFT(O526,1) = "N", "North")</f>
        <v>West</v>
      </c>
      <c r="Q526" t="s">
        <v>54</v>
      </c>
      <c r="R526" t="s">
        <v>23</v>
      </c>
      <c r="S526" t="str">
        <f>TEXT(indian_retail_raw_1000[[#This Row],[Order_Date]],"MMM")</f>
        <v>Jan</v>
      </c>
    </row>
    <row r="527" spans="1:19" x14ac:dyDescent="0.25">
      <c r="A527" t="s">
        <v>947</v>
      </c>
      <c r="B527" s="1">
        <v>44945</v>
      </c>
      <c r="C527" t="s">
        <v>170</v>
      </c>
      <c r="D527">
        <v>38</v>
      </c>
      <c r="E527" t="s">
        <v>23</v>
      </c>
      <c r="F527" t="s">
        <v>35</v>
      </c>
      <c r="G527" t="s">
        <v>63</v>
      </c>
      <c r="H527">
        <v>2</v>
      </c>
      <c r="I527">
        <v>4017</v>
      </c>
      <c r="J527">
        <v>0</v>
      </c>
      <c r="K527" t="s">
        <v>487</v>
      </c>
      <c r="L527" t="s">
        <v>20</v>
      </c>
      <c r="M5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7">
        <v>8034</v>
      </c>
      <c r="O527" t="s">
        <v>26</v>
      </c>
      <c r="P527" t="str">
        <f>_xlfn.IFS(LEFT(indian_retail_raw_1000[[#This Row],[x]],1)="W", "West",LEFT(indian_retail_raw_1000[[#This Row],[x]],1)= "E","East",LEFT(O527,1) = "S", "South",LEFT(O527,1) = "N", "North")</f>
        <v>West</v>
      </c>
      <c r="Q527" t="s">
        <v>35</v>
      </c>
      <c r="R527" t="s">
        <v>23</v>
      </c>
      <c r="S527" t="str">
        <f>TEXT(indian_retail_raw_1000[[#This Row],[Order_Date]],"MMM")</f>
        <v>Jan</v>
      </c>
    </row>
    <row r="528" spans="1:19" x14ac:dyDescent="0.25">
      <c r="A528" t="s">
        <v>1221</v>
      </c>
      <c r="B528" s="1">
        <v>44953</v>
      </c>
      <c r="C528" t="s">
        <v>170</v>
      </c>
      <c r="D528">
        <v>26</v>
      </c>
      <c r="E528" t="s">
        <v>23</v>
      </c>
      <c r="F528" t="s">
        <v>17</v>
      </c>
      <c r="G528" t="s">
        <v>94</v>
      </c>
      <c r="H528">
        <v>3</v>
      </c>
      <c r="I528">
        <v>3350</v>
      </c>
      <c r="J528">
        <v>20</v>
      </c>
      <c r="K528" t="s">
        <v>19</v>
      </c>
      <c r="L528" t="s">
        <v>20</v>
      </c>
      <c r="M5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8">
        <v>8040</v>
      </c>
      <c r="O528" t="s">
        <v>38</v>
      </c>
      <c r="P528" t="str">
        <f>_xlfn.IFS(LEFT(indian_retail_raw_1000[[#This Row],[x]],1)="W", "West",LEFT(indian_retail_raw_1000[[#This Row],[x]],1)= "E","East",LEFT(O528,1) = "S", "South",LEFT(O528,1) = "N", "North")</f>
        <v>North</v>
      </c>
      <c r="Q528" t="s">
        <v>17</v>
      </c>
      <c r="R528" t="s">
        <v>23</v>
      </c>
      <c r="S528" t="str">
        <f>TEXT(indian_retail_raw_1000[[#This Row],[Order_Date]],"MMM")</f>
        <v>Jan</v>
      </c>
    </row>
    <row r="529" spans="1:19" x14ac:dyDescent="0.25">
      <c r="A529" t="s">
        <v>1056</v>
      </c>
      <c r="B529" s="1">
        <v>44990</v>
      </c>
      <c r="C529" t="s">
        <v>53</v>
      </c>
      <c r="D529">
        <v>41</v>
      </c>
      <c r="E529" t="s">
        <v>73</v>
      </c>
      <c r="F529" t="s">
        <v>35</v>
      </c>
      <c r="G529" t="s">
        <v>203</v>
      </c>
      <c r="H529">
        <v>6</v>
      </c>
      <c r="I529">
        <v>1791</v>
      </c>
      <c r="J529">
        <v>25</v>
      </c>
      <c r="K529" t="s">
        <v>50</v>
      </c>
      <c r="L529" t="s">
        <v>20</v>
      </c>
      <c r="M5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9">
        <v>8059.5</v>
      </c>
      <c r="O529" t="s">
        <v>45</v>
      </c>
      <c r="P529" t="str">
        <f>_xlfn.IFS(LEFT(indian_retail_raw_1000[[#This Row],[x]],1)="W", "West",LEFT(indian_retail_raw_1000[[#This Row],[x]],1)= "E","East",LEFT(O529,1) = "S", "South",LEFT(O529,1) = "N", "North")</f>
        <v>East</v>
      </c>
      <c r="Q529" t="s">
        <v>35</v>
      </c>
      <c r="R529" t="s">
        <v>23</v>
      </c>
      <c r="S529" t="str">
        <f>TEXT(indian_retail_raw_1000[[#This Row],[Order_Date]],"MMM")</f>
        <v>Mar</v>
      </c>
    </row>
    <row r="530" spans="1:19" x14ac:dyDescent="0.25">
      <c r="A530" t="s">
        <v>586</v>
      </c>
      <c r="B530" s="1">
        <v>45160</v>
      </c>
      <c r="C530" t="s">
        <v>587</v>
      </c>
      <c r="D530">
        <v>56</v>
      </c>
      <c r="E530" t="s">
        <v>16</v>
      </c>
      <c r="F530" t="s">
        <v>17</v>
      </c>
      <c r="G530" t="s">
        <v>492</v>
      </c>
      <c r="H530">
        <v>2</v>
      </c>
      <c r="I530">
        <v>4750</v>
      </c>
      <c r="J530">
        <v>15</v>
      </c>
      <c r="K530" t="s">
        <v>41</v>
      </c>
      <c r="L530" t="s">
        <v>20</v>
      </c>
      <c r="M5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0">
        <v>8075</v>
      </c>
      <c r="O530" t="s">
        <v>26</v>
      </c>
      <c r="P530" t="str">
        <f>_xlfn.IFS(LEFT(indian_retail_raw_1000[[#This Row],[x]],1)="W", "West",LEFT(indian_retail_raw_1000[[#This Row],[x]],1)= "E","East",LEFT(O530,1) = "S", "South",LEFT(O530,1) = "N", "North")</f>
        <v>West</v>
      </c>
      <c r="Q530" t="s">
        <v>17</v>
      </c>
      <c r="R530" t="s">
        <v>16</v>
      </c>
      <c r="S530" t="str">
        <f>TEXT(indian_retail_raw_1000[[#This Row],[Order_Date]],"MMM")</f>
        <v>Aug</v>
      </c>
    </row>
    <row r="531" spans="1:19" x14ac:dyDescent="0.25">
      <c r="A531" t="s">
        <v>837</v>
      </c>
      <c r="B531" s="1">
        <v>45088</v>
      </c>
      <c r="C531" t="s">
        <v>87</v>
      </c>
      <c r="D531">
        <v>27</v>
      </c>
      <c r="E531" t="s">
        <v>16</v>
      </c>
      <c r="F531" t="s">
        <v>30</v>
      </c>
      <c r="G531" t="s">
        <v>121</v>
      </c>
      <c r="H531">
        <v>3</v>
      </c>
      <c r="I531">
        <v>3395</v>
      </c>
      <c r="J531">
        <v>20</v>
      </c>
      <c r="K531" t="s">
        <v>487</v>
      </c>
      <c r="L531" t="s">
        <v>37</v>
      </c>
      <c r="M5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1">
        <v>8148</v>
      </c>
      <c r="O531" t="s">
        <v>26</v>
      </c>
      <c r="P531" t="str">
        <f>_xlfn.IFS(LEFT(indian_retail_raw_1000[[#This Row],[x]],1)="W", "West",LEFT(indian_retail_raw_1000[[#This Row],[x]],1)= "E","East",LEFT(O531,1) = "S", "South",LEFT(O531,1) = "N", "North")</f>
        <v>West</v>
      </c>
      <c r="Q531" t="s">
        <v>30</v>
      </c>
      <c r="R531" t="s">
        <v>16</v>
      </c>
      <c r="S531" t="str">
        <f>TEXT(indian_retail_raw_1000[[#This Row],[Order_Date]],"MMM")</f>
        <v>Jun</v>
      </c>
    </row>
    <row r="532" spans="1:19" x14ac:dyDescent="0.25">
      <c r="A532" t="s">
        <v>1188</v>
      </c>
      <c r="B532" s="1">
        <v>45106</v>
      </c>
      <c r="C532" t="s">
        <v>1336</v>
      </c>
      <c r="E532" t="s">
        <v>23</v>
      </c>
      <c r="F532" t="s">
        <v>30</v>
      </c>
      <c r="G532" t="s">
        <v>153</v>
      </c>
      <c r="H532">
        <v>7</v>
      </c>
      <c r="I532">
        <v>1165</v>
      </c>
      <c r="J532">
        <v>0</v>
      </c>
      <c r="K532" t="s">
        <v>25</v>
      </c>
      <c r="L532" t="s">
        <v>20</v>
      </c>
      <c r="M5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2">
        <v>8155</v>
      </c>
      <c r="O532" t="s">
        <v>685</v>
      </c>
      <c r="P532" t="str">
        <f>_xlfn.IFS(LEFT(indian_retail_raw_1000[[#This Row],[x]],1)="W", "West",LEFT(indian_retail_raw_1000[[#This Row],[x]],1)= "E","East",LEFT(O532,1) = "S", "South",LEFT(O532,1) = "N", "North")</f>
        <v>South</v>
      </c>
      <c r="Q532" t="s">
        <v>30</v>
      </c>
      <c r="R532" t="s">
        <v>23</v>
      </c>
      <c r="S532" t="str">
        <f>TEXT(indian_retail_raw_1000[[#This Row],[Order_Date]],"MMM")</f>
        <v>Jun</v>
      </c>
    </row>
    <row r="533" spans="1:19" x14ac:dyDescent="0.25">
      <c r="A533" t="s">
        <v>946</v>
      </c>
      <c r="B533" s="1">
        <v>45049</v>
      </c>
      <c r="C533" t="s">
        <v>368</v>
      </c>
      <c r="D533">
        <v>55</v>
      </c>
      <c r="E533" t="s">
        <v>23</v>
      </c>
      <c r="F533" t="s">
        <v>438</v>
      </c>
      <c r="G533" t="s">
        <v>49</v>
      </c>
      <c r="H533">
        <v>3</v>
      </c>
      <c r="I533">
        <v>850</v>
      </c>
      <c r="J533">
        <v>20</v>
      </c>
      <c r="K533" t="s">
        <v>25</v>
      </c>
      <c r="L533" t="s">
        <v>20</v>
      </c>
      <c r="M5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3">
        <v>8160</v>
      </c>
      <c r="O533" t="s">
        <v>45</v>
      </c>
      <c r="P533" t="str">
        <f>_xlfn.IFS(LEFT(indian_retail_raw_1000[[#This Row],[x]],1)="W", "West",LEFT(indian_retail_raw_1000[[#This Row],[x]],1)= "E","East",LEFT(O533,1) = "S", "South",LEFT(O533,1) = "N", "North")</f>
        <v>East</v>
      </c>
      <c r="Q533" t="s">
        <v>17</v>
      </c>
      <c r="R533" t="s">
        <v>23</v>
      </c>
      <c r="S533" t="str">
        <f>TEXT(indian_retail_raw_1000[[#This Row],[Order_Date]],"MMM")</f>
        <v>May</v>
      </c>
    </row>
    <row r="534" spans="1:19" x14ac:dyDescent="0.25">
      <c r="A534" t="s">
        <v>1089</v>
      </c>
      <c r="B534" s="1">
        <v>45280</v>
      </c>
      <c r="C534" t="s">
        <v>43</v>
      </c>
      <c r="D534">
        <v>24</v>
      </c>
      <c r="E534" t="s">
        <v>16</v>
      </c>
      <c r="F534" t="s">
        <v>17</v>
      </c>
      <c r="G534" t="s">
        <v>49</v>
      </c>
      <c r="H534">
        <v>3</v>
      </c>
      <c r="I534">
        <v>800</v>
      </c>
      <c r="J534">
        <v>15</v>
      </c>
      <c r="K534" t="s">
        <v>41</v>
      </c>
      <c r="L534" t="s">
        <v>20</v>
      </c>
      <c r="M5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4">
        <v>8160</v>
      </c>
      <c r="O534" t="s">
        <v>38</v>
      </c>
      <c r="P534" t="str">
        <f>_xlfn.IFS(LEFT(indian_retail_raw_1000[[#This Row],[x]],1)="W", "West",LEFT(indian_retail_raw_1000[[#This Row],[x]],1)= "E","East",LEFT(O534,1) = "S", "South",LEFT(O534,1) = "N", "North")</f>
        <v>North</v>
      </c>
      <c r="Q534" t="s">
        <v>17</v>
      </c>
      <c r="R534" t="s">
        <v>16</v>
      </c>
      <c r="S534" t="str">
        <f>TEXT(indian_retail_raw_1000[[#This Row],[Order_Date]],"MMM")</f>
        <v>Dec</v>
      </c>
    </row>
    <row r="535" spans="1:19" x14ac:dyDescent="0.25">
      <c r="A535" t="s">
        <v>1130</v>
      </c>
      <c r="B535" s="1">
        <v>45264</v>
      </c>
      <c r="C535" t="s">
        <v>128</v>
      </c>
      <c r="D535">
        <v>45</v>
      </c>
      <c r="E535" t="s">
        <v>16</v>
      </c>
      <c r="F535" t="s">
        <v>17</v>
      </c>
      <c r="G535" t="s">
        <v>24</v>
      </c>
      <c r="H535">
        <v>3</v>
      </c>
      <c r="I535">
        <v>3400</v>
      </c>
      <c r="J535">
        <v>20</v>
      </c>
      <c r="K535" t="s">
        <v>19</v>
      </c>
      <c r="L535" t="s">
        <v>20</v>
      </c>
      <c r="M5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5">
        <v>8160</v>
      </c>
      <c r="O535" t="s">
        <v>38</v>
      </c>
      <c r="P535" t="str">
        <f>_xlfn.IFS(LEFT(indian_retail_raw_1000[[#This Row],[x]],1)="W", "West",LEFT(indian_retail_raw_1000[[#This Row],[x]],1)= "E","East",LEFT(O535,1) = "S", "South",LEFT(O535,1) = "N", "North")</f>
        <v>North</v>
      </c>
      <c r="Q535" t="s">
        <v>17</v>
      </c>
      <c r="R535" t="s">
        <v>16</v>
      </c>
      <c r="S535" t="str">
        <f>TEXT(indian_retail_raw_1000[[#This Row],[Order_Date]],"MMM")</f>
        <v>Dec</v>
      </c>
    </row>
    <row r="536" spans="1:19" x14ac:dyDescent="0.25">
      <c r="A536" t="s">
        <v>543</v>
      </c>
      <c r="B536" s="1">
        <v>45143</v>
      </c>
      <c r="C536" t="s">
        <v>128</v>
      </c>
      <c r="D536">
        <v>32</v>
      </c>
      <c r="E536" t="s">
        <v>23</v>
      </c>
      <c r="F536" t="s">
        <v>17</v>
      </c>
      <c r="G536" t="s">
        <v>40</v>
      </c>
      <c r="H536">
        <v>2</v>
      </c>
      <c r="I536">
        <v>4550</v>
      </c>
      <c r="J536">
        <v>10</v>
      </c>
      <c r="K536" t="s">
        <v>50</v>
      </c>
      <c r="L536" t="s">
        <v>56</v>
      </c>
      <c r="M5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36">
        <v>8190</v>
      </c>
      <c r="O536" t="s">
        <v>21</v>
      </c>
      <c r="P536" t="str">
        <f>_xlfn.IFS(LEFT(indian_retail_raw_1000[[#This Row],[x]],1)="W", "West",LEFT(indian_retail_raw_1000[[#This Row],[x]],1)= "E","East",LEFT(O536,1) = "S", "South",LEFT(O536,1) = "N", "North")</f>
        <v>South</v>
      </c>
      <c r="Q536" t="s">
        <v>17</v>
      </c>
      <c r="R536" t="s">
        <v>23</v>
      </c>
      <c r="S536" t="str">
        <f>TEXT(indian_retail_raw_1000[[#This Row],[Order_Date]],"MMM")</f>
        <v>Aug</v>
      </c>
    </row>
    <row r="537" spans="1:19" x14ac:dyDescent="0.25">
      <c r="A537" t="s">
        <v>643</v>
      </c>
      <c r="B537" s="1">
        <v>45270</v>
      </c>
      <c r="C537" t="s">
        <v>102</v>
      </c>
      <c r="D537">
        <v>48</v>
      </c>
      <c r="E537" t="s">
        <v>23</v>
      </c>
      <c r="F537" t="s">
        <v>17</v>
      </c>
      <c r="G537" t="s">
        <v>94</v>
      </c>
      <c r="H537">
        <v>3</v>
      </c>
      <c r="I537">
        <v>3650</v>
      </c>
      <c r="J537">
        <v>25</v>
      </c>
      <c r="K537" t="s">
        <v>41</v>
      </c>
      <c r="L537" t="s">
        <v>20</v>
      </c>
      <c r="M5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7">
        <v>8212.5</v>
      </c>
      <c r="O537" t="s">
        <v>45</v>
      </c>
      <c r="P537" t="str">
        <f>_xlfn.IFS(LEFT(indian_retail_raw_1000[[#This Row],[x]],1)="W", "West",LEFT(indian_retail_raw_1000[[#This Row],[x]],1)= "E","East",LEFT(O537,1) = "S", "South",LEFT(O537,1) = "N", "North")</f>
        <v>East</v>
      </c>
      <c r="Q537" t="s">
        <v>17</v>
      </c>
      <c r="R537" t="s">
        <v>23</v>
      </c>
      <c r="S537" t="str">
        <f>TEXT(indian_retail_raw_1000[[#This Row],[Order_Date]],"MMM")</f>
        <v>Dec</v>
      </c>
    </row>
    <row r="538" spans="1:19" x14ac:dyDescent="0.25">
      <c r="A538" t="s">
        <v>1313</v>
      </c>
      <c r="B538" s="1">
        <v>44934</v>
      </c>
      <c r="C538" t="s">
        <v>1336</v>
      </c>
      <c r="D538">
        <v>47</v>
      </c>
      <c r="E538" t="s">
        <v>23</v>
      </c>
      <c r="F538" t="s">
        <v>17</v>
      </c>
      <c r="G538" t="s">
        <v>259</v>
      </c>
      <c r="H538">
        <v>3</v>
      </c>
      <c r="I538">
        <v>3050</v>
      </c>
      <c r="J538">
        <v>10</v>
      </c>
      <c r="K538" t="s">
        <v>25</v>
      </c>
      <c r="L538" t="s">
        <v>37</v>
      </c>
      <c r="M5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8">
        <v>8235</v>
      </c>
      <c r="O538" t="s">
        <v>26</v>
      </c>
      <c r="P538" t="str">
        <f>_xlfn.IFS(LEFT(indian_retail_raw_1000[[#This Row],[x]],1)="W", "West",LEFT(indian_retail_raw_1000[[#This Row],[x]],1)= "E","East",LEFT(O538,1) = "S", "South",LEFT(O538,1) = "N", "North")</f>
        <v>West</v>
      </c>
      <c r="Q538" t="s">
        <v>17</v>
      </c>
      <c r="R538" t="s">
        <v>23</v>
      </c>
      <c r="S538" t="str">
        <f>TEXT(indian_retail_raw_1000[[#This Row],[Order_Date]],"MMM")</f>
        <v>Jan</v>
      </c>
    </row>
    <row r="539" spans="1:19" x14ac:dyDescent="0.25">
      <c r="A539" t="s">
        <v>969</v>
      </c>
      <c r="B539" s="1">
        <v>45110</v>
      </c>
      <c r="C539" t="s">
        <v>87</v>
      </c>
      <c r="D539">
        <v>24</v>
      </c>
      <c r="E539" t="s">
        <v>16</v>
      </c>
      <c r="F539" t="s">
        <v>30</v>
      </c>
      <c r="G539" t="s">
        <v>31</v>
      </c>
      <c r="H539">
        <v>4</v>
      </c>
      <c r="I539">
        <v>2942</v>
      </c>
      <c r="J539">
        <v>30</v>
      </c>
      <c r="K539" t="s">
        <v>25</v>
      </c>
      <c r="L539" t="s">
        <v>20</v>
      </c>
      <c r="M5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9">
        <v>8237.6</v>
      </c>
      <c r="O539" t="s">
        <v>45</v>
      </c>
      <c r="P539" t="str">
        <f>_xlfn.IFS(LEFT(indian_retail_raw_1000[[#This Row],[x]],1)="W", "West",LEFT(indian_retail_raw_1000[[#This Row],[x]],1)= "E","East",LEFT(O539,1) = "S", "South",LEFT(O539,1) = "N", "North")</f>
        <v>East</v>
      </c>
      <c r="Q539" t="s">
        <v>30</v>
      </c>
      <c r="R539" t="s">
        <v>16</v>
      </c>
      <c r="S539" t="str">
        <f>TEXT(indian_retail_raw_1000[[#This Row],[Order_Date]],"MMM")</f>
        <v>Jul</v>
      </c>
    </row>
    <row r="540" spans="1:19" x14ac:dyDescent="0.25">
      <c r="A540" t="s">
        <v>205</v>
      </c>
      <c r="B540" s="1">
        <v>45175</v>
      </c>
      <c r="C540" t="s">
        <v>165</v>
      </c>
      <c r="D540">
        <v>52</v>
      </c>
      <c r="E540" t="s">
        <v>16</v>
      </c>
      <c r="F540" t="s">
        <v>30</v>
      </c>
      <c r="G540" t="s">
        <v>121</v>
      </c>
      <c r="H540">
        <v>4</v>
      </c>
      <c r="I540">
        <v>4130</v>
      </c>
      <c r="J540">
        <v>50</v>
      </c>
      <c r="K540" t="s">
        <v>19</v>
      </c>
      <c r="L540" t="s">
        <v>20</v>
      </c>
      <c r="M5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0">
        <v>8260</v>
      </c>
      <c r="O540" t="s">
        <v>26</v>
      </c>
      <c r="P540" t="str">
        <f>_xlfn.IFS(LEFT(indian_retail_raw_1000[[#This Row],[x]],1)="W", "West",LEFT(indian_retail_raw_1000[[#This Row],[x]],1)= "E","East",LEFT(O540,1) = "S", "South",LEFT(O540,1) = "N", "North")</f>
        <v>West</v>
      </c>
      <c r="Q540" t="s">
        <v>30</v>
      </c>
      <c r="R540" t="s">
        <v>16</v>
      </c>
      <c r="S540" t="str">
        <f>TEXT(indian_retail_raw_1000[[#This Row],[Order_Date]],"MMM")</f>
        <v>Sep</v>
      </c>
    </row>
    <row r="541" spans="1:19" x14ac:dyDescent="0.25">
      <c r="A541" t="s">
        <v>584</v>
      </c>
      <c r="B541" s="1">
        <v>45034</v>
      </c>
      <c r="C541" t="s">
        <v>211</v>
      </c>
      <c r="D541">
        <v>29</v>
      </c>
      <c r="E541" t="s">
        <v>23</v>
      </c>
      <c r="F541" t="s">
        <v>17</v>
      </c>
      <c r="G541" t="s">
        <v>80</v>
      </c>
      <c r="H541">
        <v>2</v>
      </c>
      <c r="I541">
        <v>4350</v>
      </c>
      <c r="J541">
        <v>5</v>
      </c>
      <c r="K541" t="s">
        <v>50</v>
      </c>
      <c r="L541" t="s">
        <v>449</v>
      </c>
      <c r="M5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1">
        <v>8265</v>
      </c>
      <c r="O541" t="s">
        <v>38</v>
      </c>
      <c r="P541" t="str">
        <f>_xlfn.IFS(LEFT(indian_retail_raw_1000[[#This Row],[x]],1)="W", "West",LEFT(indian_retail_raw_1000[[#This Row],[x]],1)= "E","East",LEFT(O541,1) = "S", "South",LEFT(O541,1) = "N", "North")</f>
        <v>North</v>
      </c>
      <c r="Q541" t="s">
        <v>17</v>
      </c>
      <c r="R541" t="s">
        <v>23</v>
      </c>
      <c r="S541" t="str">
        <f>TEXT(indian_retail_raw_1000[[#This Row],[Order_Date]],"MMM")</f>
        <v>Apr</v>
      </c>
    </row>
    <row r="542" spans="1:19" x14ac:dyDescent="0.25">
      <c r="A542" t="s">
        <v>553</v>
      </c>
      <c r="B542" s="1">
        <v>45253</v>
      </c>
      <c r="C542" t="s">
        <v>165</v>
      </c>
      <c r="D542">
        <v>52</v>
      </c>
      <c r="E542" t="s">
        <v>16</v>
      </c>
      <c r="F542" t="s">
        <v>17</v>
      </c>
      <c r="G542" t="s">
        <v>297</v>
      </c>
      <c r="H542">
        <v>2</v>
      </c>
      <c r="I542">
        <v>4600</v>
      </c>
      <c r="J542">
        <v>10</v>
      </c>
      <c r="K542" t="s">
        <v>41</v>
      </c>
      <c r="L542" t="s">
        <v>56</v>
      </c>
      <c r="M5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42">
        <v>8280</v>
      </c>
      <c r="O542" t="s">
        <v>45</v>
      </c>
      <c r="P542" t="str">
        <f>_xlfn.IFS(LEFT(indian_retail_raw_1000[[#This Row],[x]],1)="W", "West",LEFT(indian_retail_raw_1000[[#This Row],[x]],1)= "E","East",LEFT(O542,1) = "S", "South",LEFT(O542,1) = "N", "North")</f>
        <v>East</v>
      </c>
      <c r="Q542" t="s">
        <v>17</v>
      </c>
      <c r="R542" t="s">
        <v>16</v>
      </c>
      <c r="S542" t="str">
        <f>TEXT(indian_retail_raw_1000[[#This Row],[Order_Date]],"MMM")</f>
        <v>Nov</v>
      </c>
    </row>
    <row r="543" spans="1:19" x14ac:dyDescent="0.25">
      <c r="A543" t="s">
        <v>527</v>
      </c>
      <c r="B543" s="1" t="s">
        <v>1336</v>
      </c>
      <c r="C543" t="s">
        <v>1336</v>
      </c>
      <c r="D543">
        <v>42</v>
      </c>
      <c r="E543" t="s">
        <v>23</v>
      </c>
      <c r="F543" t="s">
        <v>30</v>
      </c>
      <c r="G543" t="s">
        <v>195</v>
      </c>
      <c r="H543">
        <v>4</v>
      </c>
      <c r="I543">
        <v>3452</v>
      </c>
      <c r="J543">
        <v>40</v>
      </c>
      <c r="K543" t="s">
        <v>41</v>
      </c>
      <c r="L543" t="s">
        <v>20</v>
      </c>
      <c r="M5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3">
        <v>8284.7999999999993</v>
      </c>
      <c r="O543" t="s">
        <v>21</v>
      </c>
      <c r="P543" t="str">
        <f>_xlfn.IFS(LEFT(indian_retail_raw_1000[[#This Row],[x]],1)="W", "West",LEFT(indian_retail_raw_1000[[#This Row],[x]],1)= "E","East",LEFT(O543,1) = "S", "South",LEFT(O543,1) = "N", "North")</f>
        <v>South</v>
      </c>
      <c r="Q543" t="s">
        <v>30</v>
      </c>
      <c r="R543" t="s">
        <v>23</v>
      </c>
      <c r="S543" t="str">
        <f>TEXT(indian_retail_raw_1000[[#This Row],[Order_Date]],"MMM")</f>
        <v>Null</v>
      </c>
    </row>
    <row r="544" spans="1:19" x14ac:dyDescent="0.25">
      <c r="A544" t="s">
        <v>821</v>
      </c>
      <c r="B544" s="1" t="s">
        <v>1336</v>
      </c>
      <c r="C544" t="s">
        <v>192</v>
      </c>
      <c r="E544" t="s">
        <v>23</v>
      </c>
      <c r="F544" t="s">
        <v>35</v>
      </c>
      <c r="G544" t="s">
        <v>99</v>
      </c>
      <c r="H544">
        <v>7</v>
      </c>
      <c r="I544">
        <v>1250</v>
      </c>
      <c r="J544">
        <v>5</v>
      </c>
      <c r="K544" t="s">
        <v>89</v>
      </c>
      <c r="L544" t="s">
        <v>51</v>
      </c>
      <c r="M5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44">
        <v>8312.5</v>
      </c>
      <c r="O544" t="s">
        <v>26</v>
      </c>
      <c r="P544" t="str">
        <f>_xlfn.IFS(LEFT(indian_retail_raw_1000[[#This Row],[x]],1)="W", "West",LEFT(indian_retail_raw_1000[[#This Row],[x]],1)= "E","East",LEFT(O544,1) = "S", "South",LEFT(O544,1) = "N", "North")</f>
        <v>West</v>
      </c>
      <c r="Q544" t="s">
        <v>35</v>
      </c>
      <c r="R544" t="s">
        <v>23</v>
      </c>
      <c r="S544" t="str">
        <f>TEXT(indian_retail_raw_1000[[#This Row],[Order_Date]],"MMM")</f>
        <v>Null</v>
      </c>
    </row>
    <row r="545" spans="1:19" x14ac:dyDescent="0.25">
      <c r="A545" t="s">
        <v>415</v>
      </c>
      <c r="B545" s="1">
        <v>45035</v>
      </c>
      <c r="C545" t="s">
        <v>173</v>
      </c>
      <c r="D545">
        <v>21</v>
      </c>
      <c r="E545" t="s">
        <v>23</v>
      </c>
      <c r="F545" t="s">
        <v>30</v>
      </c>
      <c r="G545" t="s">
        <v>130</v>
      </c>
      <c r="H545">
        <v>5</v>
      </c>
      <c r="I545">
        <v>2776</v>
      </c>
      <c r="J545">
        <v>40</v>
      </c>
      <c r="K545" t="s">
        <v>25</v>
      </c>
      <c r="L545" t="s">
        <v>20</v>
      </c>
      <c r="M5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5">
        <v>8328</v>
      </c>
      <c r="O545" t="s">
        <v>21</v>
      </c>
      <c r="P545" t="str">
        <f>_xlfn.IFS(LEFT(indian_retail_raw_1000[[#This Row],[x]],1)="W", "West",LEFT(indian_retail_raw_1000[[#This Row],[x]],1)= "E","East",LEFT(O545,1) = "S", "South",LEFT(O545,1) = "N", "North")</f>
        <v>South</v>
      </c>
      <c r="Q545" t="s">
        <v>30</v>
      </c>
      <c r="R545" t="s">
        <v>23</v>
      </c>
      <c r="S545" t="str">
        <f>TEXT(indian_retail_raw_1000[[#This Row],[Order_Date]],"MMM")</f>
        <v>Apr</v>
      </c>
    </row>
    <row r="546" spans="1:19" x14ac:dyDescent="0.25">
      <c r="A546" t="s">
        <v>1175</v>
      </c>
      <c r="B546" s="1">
        <v>45249</v>
      </c>
      <c r="C546" t="s">
        <v>66</v>
      </c>
      <c r="D546">
        <v>59</v>
      </c>
      <c r="E546" t="s">
        <v>23</v>
      </c>
      <c r="F546" t="s">
        <v>17</v>
      </c>
      <c r="G546" t="s">
        <v>492</v>
      </c>
      <c r="H546">
        <v>2</v>
      </c>
      <c r="I546">
        <v>4900</v>
      </c>
      <c r="J546">
        <v>15</v>
      </c>
      <c r="K546" t="s">
        <v>19</v>
      </c>
      <c r="L546" t="s">
        <v>20</v>
      </c>
      <c r="M5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6">
        <v>8330</v>
      </c>
      <c r="O546" t="s">
        <v>45</v>
      </c>
      <c r="P546" t="str">
        <f>_xlfn.IFS(LEFT(indian_retail_raw_1000[[#This Row],[x]],1)="W", "West",LEFT(indian_retail_raw_1000[[#This Row],[x]],1)= "E","East",LEFT(O546,1) = "S", "South",LEFT(O546,1) = "N", "North")</f>
        <v>East</v>
      </c>
      <c r="Q546" t="s">
        <v>17</v>
      </c>
      <c r="R546" t="s">
        <v>23</v>
      </c>
      <c r="S546" t="str">
        <f>TEXT(indian_retail_raw_1000[[#This Row],[Order_Date]],"MMM")</f>
        <v>Nov</v>
      </c>
    </row>
    <row r="547" spans="1:19" x14ac:dyDescent="0.25">
      <c r="A547" t="s">
        <v>425</v>
      </c>
      <c r="B547" s="1">
        <v>45210</v>
      </c>
      <c r="C547" t="s">
        <v>1336</v>
      </c>
      <c r="D547">
        <v>27</v>
      </c>
      <c r="E547" t="s">
        <v>16</v>
      </c>
      <c r="F547" t="s">
        <v>35</v>
      </c>
      <c r="G547" t="s">
        <v>99</v>
      </c>
      <c r="H547">
        <v>8</v>
      </c>
      <c r="I547">
        <v>1098</v>
      </c>
      <c r="J547">
        <v>5</v>
      </c>
      <c r="K547" t="s">
        <v>19</v>
      </c>
      <c r="L547" t="s">
        <v>51</v>
      </c>
      <c r="M5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47">
        <v>8344.7999999999993</v>
      </c>
      <c r="O547" t="s">
        <v>26</v>
      </c>
      <c r="P547" t="str">
        <f>_xlfn.IFS(LEFT(indian_retail_raw_1000[[#This Row],[x]],1)="W", "West",LEFT(indian_retail_raw_1000[[#This Row],[x]],1)= "E","East",LEFT(O547,1) = "S", "South",LEFT(O547,1) = "N", "North")</f>
        <v>West</v>
      </c>
      <c r="Q547" t="s">
        <v>35</v>
      </c>
      <c r="R547" t="s">
        <v>16</v>
      </c>
      <c r="S547" t="str">
        <f>TEXT(indian_retail_raw_1000[[#This Row],[Order_Date]],"MMM")</f>
        <v>Oct</v>
      </c>
    </row>
    <row r="548" spans="1:19" x14ac:dyDescent="0.25">
      <c r="A548" t="s">
        <v>450</v>
      </c>
      <c r="B548" s="1">
        <v>45126</v>
      </c>
      <c r="C548" t="s">
        <v>152</v>
      </c>
      <c r="D548">
        <v>47</v>
      </c>
      <c r="E548" t="s">
        <v>44</v>
      </c>
      <c r="F548" t="s">
        <v>17</v>
      </c>
      <c r="G548" t="s">
        <v>274</v>
      </c>
      <c r="H548">
        <v>2</v>
      </c>
      <c r="I548">
        <v>4400</v>
      </c>
      <c r="J548">
        <v>5</v>
      </c>
      <c r="K548" t="s">
        <v>19</v>
      </c>
      <c r="L548" t="s">
        <v>20</v>
      </c>
      <c r="M5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8">
        <v>8360</v>
      </c>
      <c r="O548" t="s">
        <v>26</v>
      </c>
      <c r="P548" t="str">
        <f>_xlfn.IFS(LEFT(indian_retail_raw_1000[[#This Row],[x]],1)="W", "West",LEFT(indian_retail_raw_1000[[#This Row],[x]],1)= "E","East",LEFT(O548,1) = "S", "South",LEFT(O548,1) = "N", "North")</f>
        <v>West</v>
      </c>
      <c r="Q548" t="s">
        <v>17</v>
      </c>
      <c r="R548" t="s">
        <v>23</v>
      </c>
      <c r="S548" t="str">
        <f>TEXT(indian_retail_raw_1000[[#This Row],[Order_Date]],"MMM")</f>
        <v>Jul</v>
      </c>
    </row>
    <row r="549" spans="1:19" x14ac:dyDescent="0.25">
      <c r="A549" t="s">
        <v>1297</v>
      </c>
      <c r="B549" s="1" t="s">
        <v>1336</v>
      </c>
      <c r="C549" t="s">
        <v>176</v>
      </c>
      <c r="D549">
        <v>58</v>
      </c>
      <c r="E549" t="s">
        <v>23</v>
      </c>
      <c r="F549" t="s">
        <v>17</v>
      </c>
      <c r="G549" t="s">
        <v>117</v>
      </c>
      <c r="H549">
        <v>2</v>
      </c>
      <c r="I549">
        <v>7000</v>
      </c>
      <c r="J549">
        <v>40</v>
      </c>
      <c r="K549" t="s">
        <v>261</v>
      </c>
      <c r="L549" t="s">
        <v>20</v>
      </c>
      <c r="M5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9">
        <v>8400</v>
      </c>
      <c r="O549" t="s">
        <v>38</v>
      </c>
      <c r="P549" t="str">
        <f>_xlfn.IFS(LEFT(indian_retail_raw_1000[[#This Row],[x]],1)="W", "West",LEFT(indian_retail_raw_1000[[#This Row],[x]],1)= "E","East",LEFT(O549,1) = "S", "South",LEFT(O549,1) = "N", "North")</f>
        <v>North</v>
      </c>
      <c r="Q549" t="s">
        <v>17</v>
      </c>
      <c r="R549" t="s">
        <v>23</v>
      </c>
      <c r="S549" t="str">
        <f>TEXT(indian_retail_raw_1000[[#This Row],[Order_Date]],"MMM")</f>
        <v>Null</v>
      </c>
    </row>
    <row r="550" spans="1:19" x14ac:dyDescent="0.25">
      <c r="A550" t="s">
        <v>507</v>
      </c>
      <c r="B550" s="1">
        <v>45238</v>
      </c>
      <c r="C550" t="s">
        <v>1336</v>
      </c>
      <c r="D550">
        <v>34</v>
      </c>
      <c r="E550" t="s">
        <v>23</v>
      </c>
      <c r="F550" t="s">
        <v>17</v>
      </c>
      <c r="G550" t="s">
        <v>189</v>
      </c>
      <c r="H550">
        <v>2</v>
      </c>
      <c r="I550">
        <v>4450</v>
      </c>
      <c r="J550">
        <v>5</v>
      </c>
      <c r="K550" t="s">
        <v>41</v>
      </c>
      <c r="L550" t="s">
        <v>20</v>
      </c>
      <c r="M5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0">
        <v>8455</v>
      </c>
      <c r="O550" t="s">
        <v>26</v>
      </c>
      <c r="P550" t="str">
        <f>_xlfn.IFS(LEFT(indian_retail_raw_1000[[#This Row],[x]],1)="W", "West",LEFT(indian_retail_raw_1000[[#This Row],[x]],1)= "E","East",LEFT(O550,1) = "S", "South",LEFT(O550,1) = "N", "North")</f>
        <v>West</v>
      </c>
      <c r="Q550" t="s">
        <v>17</v>
      </c>
      <c r="R550" t="s">
        <v>23</v>
      </c>
      <c r="S550" t="str">
        <f>TEXT(indian_retail_raw_1000[[#This Row],[Order_Date]],"MMM")</f>
        <v>Nov</v>
      </c>
    </row>
    <row r="551" spans="1:19" x14ac:dyDescent="0.25">
      <c r="A551" t="s">
        <v>335</v>
      </c>
      <c r="B551" s="1" t="s">
        <v>1336</v>
      </c>
      <c r="C551" t="s">
        <v>152</v>
      </c>
      <c r="D551">
        <v>55</v>
      </c>
      <c r="E551" t="s">
        <v>23</v>
      </c>
      <c r="F551" t="s">
        <v>54</v>
      </c>
      <c r="G551" t="s">
        <v>338</v>
      </c>
      <c r="H551">
        <v>2</v>
      </c>
      <c r="I551">
        <v>4700</v>
      </c>
      <c r="J551">
        <v>10</v>
      </c>
      <c r="K551" t="s">
        <v>41</v>
      </c>
      <c r="L551" t="s">
        <v>20</v>
      </c>
      <c r="M5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1">
        <v>8460</v>
      </c>
      <c r="O551" t="s">
        <v>45</v>
      </c>
      <c r="P551" t="str">
        <f>_xlfn.IFS(LEFT(indian_retail_raw_1000[[#This Row],[x]],1)="W", "West",LEFT(indian_retail_raw_1000[[#This Row],[x]],1)= "E","East",LEFT(O551,1) = "S", "South",LEFT(O551,1) = "N", "North")</f>
        <v>East</v>
      </c>
      <c r="Q551" t="s">
        <v>54</v>
      </c>
      <c r="R551" t="s">
        <v>23</v>
      </c>
      <c r="S551" t="str">
        <f>TEXT(indian_retail_raw_1000[[#This Row],[Order_Date]],"MMM")</f>
        <v>Null</v>
      </c>
    </row>
    <row r="552" spans="1:19" x14ac:dyDescent="0.25">
      <c r="A552" t="s">
        <v>642</v>
      </c>
      <c r="B552" s="1" t="s">
        <v>1336</v>
      </c>
      <c r="C552" t="s">
        <v>62</v>
      </c>
      <c r="D552">
        <v>57</v>
      </c>
      <c r="E552" t="s">
        <v>16</v>
      </c>
      <c r="F552" t="s">
        <v>35</v>
      </c>
      <c r="G552" t="s">
        <v>139</v>
      </c>
      <c r="H552">
        <v>10</v>
      </c>
      <c r="I552">
        <v>858</v>
      </c>
      <c r="J552">
        <v>0</v>
      </c>
      <c r="K552" t="s">
        <v>50</v>
      </c>
      <c r="L552" t="s">
        <v>20</v>
      </c>
      <c r="M5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2">
        <v>8580</v>
      </c>
      <c r="O552" t="s">
        <v>26</v>
      </c>
      <c r="P552" t="str">
        <f>_xlfn.IFS(LEFT(indian_retail_raw_1000[[#This Row],[x]],1)="W", "West",LEFT(indian_retail_raw_1000[[#This Row],[x]],1)= "E","East",LEFT(O552,1) = "S", "South",LEFT(O552,1) = "N", "North")</f>
        <v>West</v>
      </c>
      <c r="Q552" t="s">
        <v>35</v>
      </c>
      <c r="R552" t="s">
        <v>16</v>
      </c>
      <c r="S552" t="str">
        <f>TEXT(indian_retail_raw_1000[[#This Row],[Order_Date]],"MMM")</f>
        <v>Null</v>
      </c>
    </row>
    <row r="553" spans="1:19" x14ac:dyDescent="0.25">
      <c r="A553" t="s">
        <v>976</v>
      </c>
      <c r="B553" s="1" t="s">
        <v>1336</v>
      </c>
      <c r="C553" t="s">
        <v>1336</v>
      </c>
      <c r="D553">
        <v>43</v>
      </c>
      <c r="E553" t="s">
        <v>490</v>
      </c>
      <c r="F553" t="s">
        <v>30</v>
      </c>
      <c r="G553" t="s">
        <v>60</v>
      </c>
      <c r="H553">
        <v>1</v>
      </c>
      <c r="I553">
        <v>8601</v>
      </c>
      <c r="J553">
        <v>0</v>
      </c>
      <c r="K553" t="s">
        <v>445</v>
      </c>
      <c r="L553" t="s">
        <v>20</v>
      </c>
      <c r="M5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3">
        <v>8601</v>
      </c>
      <c r="O553" t="s">
        <v>38</v>
      </c>
      <c r="P553" t="str">
        <f>_xlfn.IFS(LEFT(indian_retail_raw_1000[[#This Row],[x]],1)="W", "West",LEFT(indian_retail_raw_1000[[#This Row],[x]],1)= "E","East",LEFT(O553,1) = "S", "South",LEFT(O553,1) = "N", "North")</f>
        <v>North</v>
      </c>
      <c r="Q553" t="s">
        <v>30</v>
      </c>
      <c r="R553" t="s">
        <v>16</v>
      </c>
      <c r="S553" t="str">
        <f>TEXT(indian_retail_raw_1000[[#This Row],[Order_Date]],"MMM")</f>
        <v>Null</v>
      </c>
    </row>
    <row r="554" spans="1:19" x14ac:dyDescent="0.25">
      <c r="A554" t="s">
        <v>426</v>
      </c>
      <c r="B554" s="1" t="s">
        <v>1336</v>
      </c>
      <c r="C554" t="s">
        <v>128</v>
      </c>
      <c r="D554">
        <v>51</v>
      </c>
      <c r="E554" t="s">
        <v>16</v>
      </c>
      <c r="F554" t="s">
        <v>291</v>
      </c>
      <c r="G554" t="s">
        <v>274</v>
      </c>
      <c r="H554">
        <v>3</v>
      </c>
      <c r="I554">
        <v>3200</v>
      </c>
      <c r="J554">
        <v>10</v>
      </c>
      <c r="K554" t="s">
        <v>19</v>
      </c>
      <c r="L554" t="s">
        <v>20</v>
      </c>
      <c r="M5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4">
        <v>8640</v>
      </c>
      <c r="O554" t="s">
        <v>21</v>
      </c>
      <c r="P554" t="str">
        <f>_xlfn.IFS(LEFT(indian_retail_raw_1000[[#This Row],[x]],1)="W", "West",LEFT(indian_retail_raw_1000[[#This Row],[x]],1)= "E","East",LEFT(O554,1) = "S", "South",LEFT(O554,1) = "N", "North")</f>
        <v>South</v>
      </c>
      <c r="Q554" t="s">
        <v>17</v>
      </c>
      <c r="R554" t="s">
        <v>16</v>
      </c>
      <c r="S554" t="str">
        <f>TEXT(indian_retail_raw_1000[[#This Row],[Order_Date]],"MMM")</f>
        <v>Null</v>
      </c>
    </row>
    <row r="555" spans="1:19" x14ac:dyDescent="0.25">
      <c r="A555" t="s">
        <v>390</v>
      </c>
      <c r="B555" s="1" t="s">
        <v>1336</v>
      </c>
      <c r="C555" t="s">
        <v>1336</v>
      </c>
      <c r="D555">
        <v>32</v>
      </c>
      <c r="E555" t="s">
        <v>16</v>
      </c>
      <c r="F555" t="s">
        <v>384</v>
      </c>
      <c r="G555" t="s">
        <v>235</v>
      </c>
      <c r="H555">
        <v>6</v>
      </c>
      <c r="I555">
        <v>2882</v>
      </c>
      <c r="J555">
        <v>50</v>
      </c>
      <c r="K555" t="s">
        <v>19</v>
      </c>
      <c r="L555" t="s">
        <v>51</v>
      </c>
      <c r="M5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55">
        <v>8646</v>
      </c>
      <c r="O555" t="s">
        <v>38</v>
      </c>
      <c r="P555" t="str">
        <f>_xlfn.IFS(LEFT(indian_retail_raw_1000[[#This Row],[x]],1)="W", "West",LEFT(indian_retail_raw_1000[[#This Row],[x]],1)= "E","East",LEFT(O555,1) = "S", "South",LEFT(O555,1) = "N", "North")</f>
        <v>North</v>
      </c>
      <c r="Q555" t="s">
        <v>30</v>
      </c>
      <c r="R555" t="s">
        <v>16</v>
      </c>
      <c r="S555" t="str">
        <f>TEXT(indian_retail_raw_1000[[#This Row],[Order_Date]],"MMM")</f>
        <v>Null</v>
      </c>
    </row>
    <row r="556" spans="1:19" x14ac:dyDescent="0.25">
      <c r="A556" t="s">
        <v>1095</v>
      </c>
      <c r="B556" s="1">
        <v>45137</v>
      </c>
      <c r="C556" t="s">
        <v>179</v>
      </c>
      <c r="D556">
        <v>62</v>
      </c>
      <c r="E556" t="s">
        <v>73</v>
      </c>
      <c r="F556" t="s">
        <v>30</v>
      </c>
      <c r="G556" t="s">
        <v>224</v>
      </c>
      <c r="H556">
        <v>6</v>
      </c>
      <c r="I556">
        <v>1442</v>
      </c>
      <c r="J556">
        <v>0</v>
      </c>
      <c r="K556" t="s">
        <v>19</v>
      </c>
      <c r="L556" t="s">
        <v>37</v>
      </c>
      <c r="M5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6">
        <v>8652</v>
      </c>
      <c r="O556" t="s">
        <v>356</v>
      </c>
      <c r="P556" t="str">
        <f>_xlfn.IFS(LEFT(indian_retail_raw_1000[[#This Row],[x]],1)="W", "West",LEFT(indian_retail_raw_1000[[#This Row],[x]],1)= "E","East",LEFT(O556,1) = "S", "South",LEFT(O556,1) = "N", "North")</f>
        <v>East</v>
      </c>
      <c r="Q556" t="s">
        <v>30</v>
      </c>
      <c r="R556" t="s">
        <v>23</v>
      </c>
      <c r="S556" t="str">
        <f>TEXT(indian_retail_raw_1000[[#This Row],[Order_Date]],"MMM")</f>
        <v>Jul</v>
      </c>
    </row>
    <row r="557" spans="1:19" x14ac:dyDescent="0.25">
      <c r="A557" t="s">
        <v>1317</v>
      </c>
      <c r="B557" s="1" t="s">
        <v>1336</v>
      </c>
      <c r="C557" t="s">
        <v>217</v>
      </c>
      <c r="D557">
        <v>65</v>
      </c>
      <c r="E557" t="s">
        <v>16</v>
      </c>
      <c r="F557" t="s">
        <v>30</v>
      </c>
      <c r="G557" t="s">
        <v>60</v>
      </c>
      <c r="H557">
        <v>1</v>
      </c>
      <c r="I557">
        <v>8665</v>
      </c>
      <c r="J557">
        <v>0</v>
      </c>
      <c r="K557" t="s">
        <v>50</v>
      </c>
      <c r="L557" t="s">
        <v>51</v>
      </c>
      <c r="M5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57">
        <v>8665</v>
      </c>
      <c r="O557" t="s">
        <v>26</v>
      </c>
      <c r="P557" t="str">
        <f>_xlfn.IFS(LEFT(indian_retail_raw_1000[[#This Row],[x]],1)="W", "West",LEFT(indian_retail_raw_1000[[#This Row],[x]],1)= "E","East",LEFT(O557,1) = "S", "South",LEFT(O557,1) = "N", "North")</f>
        <v>West</v>
      </c>
      <c r="Q557" t="s">
        <v>30</v>
      </c>
      <c r="R557" t="s">
        <v>16</v>
      </c>
      <c r="S557" t="str">
        <f>TEXT(indian_retail_raw_1000[[#This Row],[Order_Date]],"MMM")</f>
        <v>Null</v>
      </c>
    </row>
    <row r="558" spans="1:19" x14ac:dyDescent="0.25">
      <c r="A558" t="s">
        <v>707</v>
      </c>
      <c r="B558" s="1" t="s">
        <v>1336</v>
      </c>
      <c r="C558" t="s">
        <v>1336</v>
      </c>
      <c r="D558">
        <v>43</v>
      </c>
      <c r="E558" t="s">
        <v>23</v>
      </c>
      <c r="F558" t="s">
        <v>97</v>
      </c>
      <c r="G558" t="s">
        <v>224</v>
      </c>
      <c r="H558">
        <v>7</v>
      </c>
      <c r="I558">
        <v>1307</v>
      </c>
      <c r="J558">
        <v>5</v>
      </c>
      <c r="K558" t="s">
        <v>25</v>
      </c>
      <c r="L558" t="s">
        <v>56</v>
      </c>
      <c r="M5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58">
        <v>8691.5499999999993</v>
      </c>
      <c r="O558" t="s">
        <v>38</v>
      </c>
      <c r="P558" t="str">
        <f>_xlfn.IFS(LEFT(indian_retail_raw_1000[[#This Row],[x]],1)="W", "West",LEFT(indian_retail_raw_1000[[#This Row],[x]],1)= "E","East",LEFT(O558,1) = "S", "South",LEFT(O558,1) = "N", "North")</f>
        <v>North</v>
      </c>
      <c r="Q558" t="s">
        <v>30</v>
      </c>
      <c r="R558" t="s">
        <v>23</v>
      </c>
      <c r="S558" t="str">
        <f>TEXT(indian_retail_raw_1000[[#This Row],[Order_Date]],"MMM")</f>
        <v>Null</v>
      </c>
    </row>
    <row r="559" spans="1:19" x14ac:dyDescent="0.25">
      <c r="A559" t="s">
        <v>843</v>
      </c>
      <c r="B559" s="1">
        <v>45279</v>
      </c>
      <c r="C559" t="s">
        <v>1336</v>
      </c>
      <c r="D559">
        <v>54</v>
      </c>
      <c r="E559" t="s">
        <v>16</v>
      </c>
      <c r="F559" t="s">
        <v>30</v>
      </c>
      <c r="G559" t="s">
        <v>224</v>
      </c>
      <c r="H559">
        <v>7</v>
      </c>
      <c r="I559">
        <v>1243</v>
      </c>
      <c r="J559">
        <v>0</v>
      </c>
      <c r="K559" t="s">
        <v>50</v>
      </c>
      <c r="L559" t="s">
        <v>51</v>
      </c>
      <c r="M5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59">
        <v>8701</v>
      </c>
      <c r="O559" t="s">
        <v>26</v>
      </c>
      <c r="P559" t="str">
        <f>_xlfn.IFS(LEFT(indian_retail_raw_1000[[#This Row],[x]],1)="W", "West",LEFT(indian_retail_raw_1000[[#This Row],[x]],1)= "E","East",LEFT(O559,1) = "S", "South",LEFT(O559,1) = "N", "North")</f>
        <v>West</v>
      </c>
      <c r="Q559" t="s">
        <v>30</v>
      </c>
      <c r="R559" t="s">
        <v>16</v>
      </c>
      <c r="S559" t="str">
        <f>TEXT(indian_retail_raw_1000[[#This Row],[Order_Date]],"MMM")</f>
        <v>Dec</v>
      </c>
    </row>
    <row r="560" spans="1:19" x14ac:dyDescent="0.25">
      <c r="A560" t="s">
        <v>868</v>
      </c>
      <c r="B560" s="1">
        <v>45165</v>
      </c>
      <c r="C560" t="s">
        <v>192</v>
      </c>
      <c r="D560">
        <v>51</v>
      </c>
      <c r="E560" t="s">
        <v>16</v>
      </c>
      <c r="F560" t="s">
        <v>17</v>
      </c>
      <c r="G560" t="s">
        <v>492</v>
      </c>
      <c r="H560">
        <v>3</v>
      </c>
      <c r="I560">
        <v>4850</v>
      </c>
      <c r="J560">
        <v>40</v>
      </c>
      <c r="K560" t="s">
        <v>19</v>
      </c>
      <c r="L560" t="s">
        <v>20</v>
      </c>
      <c r="M5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0">
        <v>8730</v>
      </c>
      <c r="O560" t="s">
        <v>21</v>
      </c>
      <c r="P560" t="str">
        <f>_xlfn.IFS(LEFT(indian_retail_raw_1000[[#This Row],[x]],1)="W", "West",LEFT(indian_retail_raw_1000[[#This Row],[x]],1)= "E","East",LEFT(O560,1) = "S", "South",LEFT(O560,1) = "N", "North")</f>
        <v>South</v>
      </c>
      <c r="Q560" t="s">
        <v>17</v>
      </c>
      <c r="R560" t="s">
        <v>16</v>
      </c>
      <c r="S560" t="str">
        <f>TEXT(indian_retail_raw_1000[[#This Row],[Order_Date]],"MMM")</f>
        <v>Aug</v>
      </c>
    </row>
    <row r="561" spans="1:19" x14ac:dyDescent="0.25">
      <c r="A561" t="s">
        <v>258</v>
      </c>
      <c r="B561" s="1">
        <v>45058</v>
      </c>
      <c r="C561" t="s">
        <v>165</v>
      </c>
      <c r="D561">
        <v>62</v>
      </c>
      <c r="E561" t="s">
        <v>23</v>
      </c>
      <c r="F561" t="s">
        <v>17</v>
      </c>
      <c r="G561" t="s">
        <v>259</v>
      </c>
      <c r="H561">
        <v>2</v>
      </c>
      <c r="I561">
        <v>4600</v>
      </c>
      <c r="J561">
        <v>5</v>
      </c>
      <c r="K561" t="s">
        <v>19</v>
      </c>
      <c r="L561" t="s">
        <v>20</v>
      </c>
      <c r="M5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1">
        <v>8740</v>
      </c>
      <c r="O561" t="s">
        <v>45</v>
      </c>
      <c r="P561" t="str">
        <f>_xlfn.IFS(LEFT(indian_retail_raw_1000[[#This Row],[x]],1)="W", "West",LEFT(indian_retail_raw_1000[[#This Row],[x]],1)= "E","East",LEFT(O561,1) = "S", "South",LEFT(O561,1) = "N", "North")</f>
        <v>East</v>
      </c>
      <c r="Q561" t="s">
        <v>17</v>
      </c>
      <c r="R561" t="s">
        <v>23</v>
      </c>
      <c r="S561" t="str">
        <f>TEXT(indian_retail_raw_1000[[#This Row],[Order_Date]],"MMM")</f>
        <v>May</v>
      </c>
    </row>
    <row r="562" spans="1:19" x14ac:dyDescent="0.25">
      <c r="A562" t="s">
        <v>258</v>
      </c>
      <c r="B562" s="1">
        <v>45058</v>
      </c>
      <c r="C562" t="s">
        <v>165</v>
      </c>
      <c r="D562">
        <v>62</v>
      </c>
      <c r="E562" t="s">
        <v>23</v>
      </c>
      <c r="F562" t="s">
        <v>17</v>
      </c>
      <c r="G562" t="s">
        <v>259</v>
      </c>
      <c r="H562">
        <v>2</v>
      </c>
      <c r="I562">
        <v>4600</v>
      </c>
      <c r="J562">
        <v>5</v>
      </c>
      <c r="K562" t="s">
        <v>19</v>
      </c>
      <c r="L562" t="s">
        <v>20</v>
      </c>
      <c r="M5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2">
        <v>8740</v>
      </c>
      <c r="O562" t="s">
        <v>45</v>
      </c>
      <c r="P562" t="str">
        <f>_xlfn.IFS(LEFT(indian_retail_raw_1000[[#This Row],[x]],1)="W", "West",LEFT(indian_retail_raw_1000[[#This Row],[x]],1)= "E","East",LEFT(O562,1) = "S", "South",LEFT(O562,1) = "N", "North")</f>
        <v>East</v>
      </c>
      <c r="Q562" t="s">
        <v>17</v>
      </c>
      <c r="R562" t="s">
        <v>23</v>
      </c>
      <c r="S562" t="str">
        <f>TEXT(indian_retail_raw_1000[[#This Row],[Order_Date]],"MMM")</f>
        <v>May</v>
      </c>
    </row>
    <row r="563" spans="1:19" x14ac:dyDescent="0.25">
      <c r="A563" t="s">
        <v>572</v>
      </c>
      <c r="B563" s="1">
        <v>45034</v>
      </c>
      <c r="C563" t="s">
        <v>165</v>
      </c>
      <c r="D563">
        <v>49</v>
      </c>
      <c r="E563" t="s">
        <v>23</v>
      </c>
      <c r="F563" t="s">
        <v>30</v>
      </c>
      <c r="G563" t="s">
        <v>224</v>
      </c>
      <c r="H563">
        <v>9</v>
      </c>
      <c r="I563">
        <v>972</v>
      </c>
      <c r="J563">
        <v>75</v>
      </c>
      <c r="K563" t="s">
        <v>105</v>
      </c>
      <c r="L563" t="s">
        <v>20</v>
      </c>
      <c r="M5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3">
        <v>8748</v>
      </c>
      <c r="O563" t="s">
        <v>45</v>
      </c>
      <c r="P563" t="str">
        <f>_xlfn.IFS(LEFT(indian_retail_raw_1000[[#This Row],[x]],1)="W", "West",LEFT(indian_retail_raw_1000[[#This Row],[x]],1)= "E","East",LEFT(O563,1) = "S", "South",LEFT(O563,1) = "N", "North")</f>
        <v>East</v>
      </c>
      <c r="Q563" t="s">
        <v>30</v>
      </c>
      <c r="R563" t="s">
        <v>23</v>
      </c>
      <c r="S563" t="str">
        <f>TEXT(indian_retail_raw_1000[[#This Row],[Order_Date]],"MMM")</f>
        <v>Apr</v>
      </c>
    </row>
    <row r="564" spans="1:19" x14ac:dyDescent="0.25">
      <c r="A564" t="s">
        <v>515</v>
      </c>
      <c r="B564" s="1" t="s">
        <v>1336</v>
      </c>
      <c r="C564" t="s">
        <v>15</v>
      </c>
      <c r="D564">
        <v>28</v>
      </c>
      <c r="E564" t="s">
        <v>16</v>
      </c>
      <c r="F564" t="s">
        <v>17</v>
      </c>
      <c r="G564" t="s">
        <v>117</v>
      </c>
      <c r="H564">
        <v>2</v>
      </c>
      <c r="I564">
        <v>5850</v>
      </c>
      <c r="J564">
        <v>25</v>
      </c>
      <c r="K564" t="s">
        <v>19</v>
      </c>
      <c r="L564" t="s">
        <v>56</v>
      </c>
      <c r="M5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64">
        <v>8775</v>
      </c>
      <c r="O564" t="s">
        <v>38</v>
      </c>
      <c r="P564" t="str">
        <f>_xlfn.IFS(LEFT(indian_retail_raw_1000[[#This Row],[x]],1)="W", "West",LEFT(indian_retail_raw_1000[[#This Row],[x]],1)= "E","East",LEFT(O564,1) = "S", "South",LEFT(O564,1) = "N", "North")</f>
        <v>North</v>
      </c>
      <c r="Q564" t="s">
        <v>17</v>
      </c>
      <c r="R564" t="s">
        <v>16</v>
      </c>
      <c r="S564" t="str">
        <f>TEXT(indian_retail_raw_1000[[#This Row],[Order_Date]],"MMM")</f>
        <v>Null</v>
      </c>
    </row>
    <row r="565" spans="1:19" x14ac:dyDescent="0.25">
      <c r="A565" t="s">
        <v>1017</v>
      </c>
      <c r="B565" s="1">
        <v>45220</v>
      </c>
      <c r="C565" t="s">
        <v>72</v>
      </c>
      <c r="D565">
        <v>52</v>
      </c>
      <c r="E565" t="s">
        <v>16</v>
      </c>
      <c r="F565" t="s">
        <v>17</v>
      </c>
      <c r="G565" t="s">
        <v>24</v>
      </c>
      <c r="H565">
        <v>1</v>
      </c>
      <c r="I565">
        <v>2200</v>
      </c>
      <c r="J565">
        <v>0</v>
      </c>
      <c r="K565" t="s">
        <v>19</v>
      </c>
      <c r="L565" t="s">
        <v>56</v>
      </c>
      <c r="M5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65">
        <v>8800</v>
      </c>
      <c r="O565" t="s">
        <v>45</v>
      </c>
      <c r="P565" t="str">
        <f>_xlfn.IFS(LEFT(indian_retail_raw_1000[[#This Row],[x]],1)="W", "West",LEFT(indian_retail_raw_1000[[#This Row],[x]],1)= "E","East",LEFT(O565,1) = "S", "South",LEFT(O565,1) = "N", "North")</f>
        <v>East</v>
      </c>
      <c r="Q565" t="s">
        <v>17</v>
      </c>
      <c r="R565" t="s">
        <v>16</v>
      </c>
      <c r="S565" t="str">
        <f>TEXT(indian_retail_raw_1000[[#This Row],[Order_Date]],"MMM")</f>
        <v>Oct</v>
      </c>
    </row>
    <row r="566" spans="1:19" x14ac:dyDescent="0.25">
      <c r="A566" t="s">
        <v>681</v>
      </c>
      <c r="B566" s="1" t="s">
        <v>1336</v>
      </c>
      <c r="C566" t="s">
        <v>682</v>
      </c>
      <c r="D566">
        <v>53</v>
      </c>
      <c r="E566" t="s">
        <v>143</v>
      </c>
      <c r="F566" t="s">
        <v>17</v>
      </c>
      <c r="G566" t="s">
        <v>40</v>
      </c>
      <c r="H566">
        <v>3</v>
      </c>
      <c r="I566">
        <v>4900</v>
      </c>
      <c r="J566">
        <v>40</v>
      </c>
      <c r="K566" t="s">
        <v>19</v>
      </c>
      <c r="L566" t="s">
        <v>20</v>
      </c>
      <c r="M5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6">
        <v>8820</v>
      </c>
      <c r="O566" t="s">
        <v>26</v>
      </c>
      <c r="P566" t="str">
        <f>_xlfn.IFS(LEFT(indian_retail_raw_1000[[#This Row],[x]],1)="W", "West",LEFT(indian_retail_raw_1000[[#This Row],[x]],1)= "E","East",LEFT(O566,1) = "S", "South",LEFT(O566,1) = "N", "North")</f>
        <v>West</v>
      </c>
      <c r="Q566" t="s">
        <v>17</v>
      </c>
      <c r="R566" t="s">
        <v>138</v>
      </c>
      <c r="S566" t="str">
        <f>TEXT(indian_retail_raw_1000[[#This Row],[Order_Date]],"MMM")</f>
        <v>Null</v>
      </c>
    </row>
    <row r="567" spans="1:19" x14ac:dyDescent="0.25">
      <c r="A567" t="s">
        <v>638</v>
      </c>
      <c r="B567" s="1" t="s">
        <v>1336</v>
      </c>
      <c r="C567" t="s">
        <v>355</v>
      </c>
      <c r="D567">
        <v>28</v>
      </c>
      <c r="E567" t="s">
        <v>16</v>
      </c>
      <c r="F567" t="s">
        <v>30</v>
      </c>
      <c r="G567" t="s">
        <v>135</v>
      </c>
      <c r="H567">
        <v>1</v>
      </c>
      <c r="I567">
        <v>10485</v>
      </c>
      <c r="J567">
        <v>15</v>
      </c>
      <c r="K567" t="s">
        <v>19</v>
      </c>
      <c r="L567" t="s">
        <v>56</v>
      </c>
      <c r="M5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67">
        <v>8912.25</v>
      </c>
      <c r="O567" t="s">
        <v>26</v>
      </c>
      <c r="P567" t="str">
        <f>_xlfn.IFS(LEFT(indian_retail_raw_1000[[#This Row],[x]],1)="W", "West",LEFT(indian_retail_raw_1000[[#This Row],[x]],1)= "E","East",LEFT(O567,1) = "S", "South",LEFT(O567,1) = "N", "North")</f>
        <v>West</v>
      </c>
      <c r="Q567" t="s">
        <v>30</v>
      </c>
      <c r="R567" t="s">
        <v>16</v>
      </c>
      <c r="S567" t="str">
        <f>TEXT(indian_retail_raw_1000[[#This Row],[Order_Date]],"MMM")</f>
        <v>Null</v>
      </c>
    </row>
    <row r="568" spans="1:19" x14ac:dyDescent="0.25">
      <c r="A568" t="s">
        <v>936</v>
      </c>
      <c r="B568" s="1">
        <v>45076</v>
      </c>
      <c r="C568" t="s">
        <v>1336</v>
      </c>
      <c r="D568">
        <v>63</v>
      </c>
      <c r="E568" t="s">
        <v>16</v>
      </c>
      <c r="F568" t="s">
        <v>54</v>
      </c>
      <c r="G568" t="s">
        <v>311</v>
      </c>
      <c r="H568">
        <v>2</v>
      </c>
      <c r="I568">
        <v>4700</v>
      </c>
      <c r="J568">
        <v>5</v>
      </c>
      <c r="K568" t="s">
        <v>41</v>
      </c>
      <c r="L568" t="s">
        <v>20</v>
      </c>
      <c r="M5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8">
        <v>8930</v>
      </c>
      <c r="O568" t="s">
        <v>38</v>
      </c>
      <c r="P568" t="str">
        <f>_xlfn.IFS(LEFT(indian_retail_raw_1000[[#This Row],[x]],1)="W", "West",LEFT(indian_retail_raw_1000[[#This Row],[x]],1)= "E","East",LEFT(O568,1) = "S", "South",LEFT(O568,1) = "N", "North")</f>
        <v>North</v>
      </c>
      <c r="Q568" t="s">
        <v>54</v>
      </c>
      <c r="R568" t="s">
        <v>16</v>
      </c>
      <c r="S568" t="str">
        <f>TEXT(indian_retail_raw_1000[[#This Row],[Order_Date]],"MMM")</f>
        <v>May</v>
      </c>
    </row>
    <row r="569" spans="1:19" x14ac:dyDescent="0.25">
      <c r="A569" t="s">
        <v>900</v>
      </c>
      <c r="B569" s="1" t="s">
        <v>1336</v>
      </c>
      <c r="C569" t="s">
        <v>43</v>
      </c>
      <c r="D569">
        <v>40</v>
      </c>
      <c r="E569" t="s">
        <v>23</v>
      </c>
      <c r="F569" t="s">
        <v>30</v>
      </c>
      <c r="G569" t="s">
        <v>268</v>
      </c>
      <c r="H569">
        <v>9</v>
      </c>
      <c r="I569">
        <v>1993</v>
      </c>
      <c r="J569">
        <v>50</v>
      </c>
      <c r="K569" t="s">
        <v>19</v>
      </c>
      <c r="L569" t="s">
        <v>20</v>
      </c>
      <c r="M5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9">
        <v>8968.5</v>
      </c>
      <c r="O569" t="s">
        <v>108</v>
      </c>
      <c r="P569" t="str">
        <f>_xlfn.IFS(LEFT(indian_retail_raw_1000[[#This Row],[x]],1)="W", "West",LEFT(indian_retail_raw_1000[[#This Row],[x]],1)= "E","East",LEFT(O569,1) = "S", "South",LEFT(O569,1) = "N", "North")</f>
        <v>East</v>
      </c>
      <c r="Q569" t="s">
        <v>30</v>
      </c>
      <c r="R569" t="s">
        <v>23</v>
      </c>
      <c r="S569" t="str">
        <f>TEXT(indian_retail_raw_1000[[#This Row],[Order_Date]],"MMM")</f>
        <v>Null</v>
      </c>
    </row>
    <row r="570" spans="1:19" x14ac:dyDescent="0.25">
      <c r="A570" t="s">
        <v>564</v>
      </c>
      <c r="B570" s="1" t="s">
        <v>1336</v>
      </c>
      <c r="C570" t="s">
        <v>102</v>
      </c>
      <c r="D570">
        <v>29</v>
      </c>
      <c r="E570" t="s">
        <v>23</v>
      </c>
      <c r="F570" t="s">
        <v>54</v>
      </c>
      <c r="G570" t="s">
        <v>311</v>
      </c>
      <c r="H570">
        <v>2</v>
      </c>
      <c r="I570">
        <v>5000</v>
      </c>
      <c r="J570">
        <v>10</v>
      </c>
      <c r="K570" t="s">
        <v>326</v>
      </c>
      <c r="L570" t="s">
        <v>20</v>
      </c>
      <c r="M5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0">
        <v>9000</v>
      </c>
      <c r="O570" t="s">
        <v>26</v>
      </c>
      <c r="P570" t="str">
        <f>_xlfn.IFS(LEFT(indian_retail_raw_1000[[#This Row],[x]],1)="W", "West",LEFT(indian_retail_raw_1000[[#This Row],[x]],1)= "E","East",LEFT(O570,1) = "S", "South",LEFT(O570,1) = "N", "North")</f>
        <v>West</v>
      </c>
      <c r="Q570" t="s">
        <v>54</v>
      </c>
      <c r="R570" t="s">
        <v>23</v>
      </c>
      <c r="S570" t="str">
        <f>TEXT(indian_retail_raw_1000[[#This Row],[Order_Date]],"MMM")</f>
        <v>Null</v>
      </c>
    </row>
    <row r="571" spans="1:19" x14ac:dyDescent="0.25">
      <c r="A571" t="s">
        <v>648</v>
      </c>
      <c r="B571" s="1">
        <v>45181</v>
      </c>
      <c r="C571" t="s">
        <v>152</v>
      </c>
      <c r="D571">
        <v>52</v>
      </c>
      <c r="E571" t="s">
        <v>16</v>
      </c>
      <c r="F571" t="s">
        <v>17</v>
      </c>
      <c r="G571" t="s">
        <v>274</v>
      </c>
      <c r="H571">
        <v>3</v>
      </c>
      <c r="I571">
        <v>3000</v>
      </c>
      <c r="J571">
        <v>10</v>
      </c>
      <c r="K571" t="s">
        <v>50</v>
      </c>
      <c r="L571" t="s">
        <v>100</v>
      </c>
      <c r="M5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71">
        <v>9000</v>
      </c>
      <c r="O571" t="s">
        <v>38</v>
      </c>
      <c r="P571" t="str">
        <f>_xlfn.IFS(LEFT(indian_retail_raw_1000[[#This Row],[x]],1)="W", "West",LEFT(indian_retail_raw_1000[[#This Row],[x]],1)= "E","East",LEFT(O571,1) = "S", "South",LEFT(O571,1) = "N", "North")</f>
        <v>North</v>
      </c>
      <c r="Q571" t="s">
        <v>17</v>
      </c>
      <c r="R571" t="s">
        <v>16</v>
      </c>
      <c r="S571" t="str">
        <f>TEXT(indian_retail_raw_1000[[#This Row],[Order_Date]],"MMM")</f>
        <v>Sep</v>
      </c>
    </row>
    <row r="572" spans="1:19" x14ac:dyDescent="0.25">
      <c r="A572" t="s">
        <v>1196</v>
      </c>
      <c r="B572" s="1">
        <v>45066</v>
      </c>
      <c r="C572" t="s">
        <v>28</v>
      </c>
      <c r="D572">
        <v>32</v>
      </c>
      <c r="E572" t="s">
        <v>16</v>
      </c>
      <c r="F572" t="s">
        <v>54</v>
      </c>
      <c r="G572" t="s">
        <v>338</v>
      </c>
      <c r="H572">
        <v>2</v>
      </c>
      <c r="I572">
        <v>5000</v>
      </c>
      <c r="J572">
        <v>10</v>
      </c>
      <c r="K572" t="s">
        <v>531</v>
      </c>
      <c r="L572" t="s">
        <v>20</v>
      </c>
      <c r="M5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2">
        <v>9000</v>
      </c>
      <c r="O572" t="s">
        <v>21</v>
      </c>
      <c r="P572" t="str">
        <f>_xlfn.IFS(LEFT(indian_retail_raw_1000[[#This Row],[x]],1)="W", "West",LEFT(indian_retail_raw_1000[[#This Row],[x]],1)= "E","East",LEFT(O572,1) = "S", "South",LEFT(O572,1) = "N", "North")</f>
        <v>South</v>
      </c>
      <c r="Q572" t="s">
        <v>54</v>
      </c>
      <c r="R572" t="s">
        <v>16</v>
      </c>
      <c r="S572" t="str">
        <f>TEXT(indian_retail_raw_1000[[#This Row],[Order_Date]],"MMM")</f>
        <v>May</v>
      </c>
    </row>
    <row r="573" spans="1:19" x14ac:dyDescent="0.25">
      <c r="A573" t="s">
        <v>223</v>
      </c>
      <c r="B573" s="1">
        <v>45251</v>
      </c>
      <c r="C573" t="s">
        <v>176</v>
      </c>
      <c r="D573">
        <v>36</v>
      </c>
      <c r="E573" t="s">
        <v>23</v>
      </c>
      <c r="F573" t="s">
        <v>30</v>
      </c>
      <c r="G573" t="s">
        <v>224</v>
      </c>
      <c r="H573">
        <v>7</v>
      </c>
      <c r="I573">
        <v>1286</v>
      </c>
      <c r="J573">
        <v>0</v>
      </c>
      <c r="K573" t="s">
        <v>19</v>
      </c>
      <c r="L573" t="s">
        <v>20</v>
      </c>
      <c r="M5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3">
        <v>9002</v>
      </c>
      <c r="O573" t="s">
        <v>225</v>
      </c>
      <c r="P573" t="str">
        <f>_xlfn.IFS(LEFT(indian_retail_raw_1000[[#This Row],[x]],1)="W", "West",LEFT(indian_retail_raw_1000[[#This Row],[x]],1)= "E","East",LEFT(O573,1) = "S", "South",LEFT(O573,1) = "N", "North")</f>
        <v>South</v>
      </c>
      <c r="Q573" t="s">
        <v>30</v>
      </c>
      <c r="R573" t="s">
        <v>23</v>
      </c>
      <c r="S573" t="str">
        <f>TEXT(indian_retail_raw_1000[[#This Row],[Order_Date]],"MMM")</f>
        <v>Nov</v>
      </c>
    </row>
    <row r="574" spans="1:19" x14ac:dyDescent="0.25">
      <c r="A574" t="s">
        <v>923</v>
      </c>
      <c r="B574" s="1" t="s">
        <v>1336</v>
      </c>
      <c r="C574" t="s">
        <v>87</v>
      </c>
      <c r="D574">
        <v>36</v>
      </c>
      <c r="E574" t="s">
        <v>23</v>
      </c>
      <c r="F574" t="s">
        <v>30</v>
      </c>
      <c r="G574" t="s">
        <v>235</v>
      </c>
      <c r="H574">
        <v>4</v>
      </c>
      <c r="I574">
        <v>2511</v>
      </c>
      <c r="J574">
        <v>10</v>
      </c>
      <c r="K574" t="s">
        <v>41</v>
      </c>
      <c r="L574" t="s">
        <v>20</v>
      </c>
      <c r="M5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4">
        <v>9039.6</v>
      </c>
      <c r="O574" t="s">
        <v>38</v>
      </c>
      <c r="P574" t="str">
        <f>_xlfn.IFS(LEFT(indian_retail_raw_1000[[#This Row],[x]],1)="W", "West",LEFT(indian_retail_raw_1000[[#This Row],[x]],1)= "E","East",LEFT(O574,1) = "S", "South",LEFT(O574,1) = "N", "North")</f>
        <v>North</v>
      </c>
      <c r="Q574" t="s">
        <v>30</v>
      </c>
      <c r="R574" t="s">
        <v>23</v>
      </c>
      <c r="S574" t="str">
        <f>TEXT(indian_retail_raw_1000[[#This Row],[Order_Date]],"MMM")</f>
        <v>Null</v>
      </c>
    </row>
    <row r="575" spans="1:19" x14ac:dyDescent="0.25">
      <c r="A575" t="s">
        <v>255</v>
      </c>
      <c r="B575" s="1">
        <v>45049</v>
      </c>
      <c r="C575" t="s">
        <v>366</v>
      </c>
      <c r="D575">
        <v>22</v>
      </c>
      <c r="E575" t="s">
        <v>23</v>
      </c>
      <c r="F575" t="s">
        <v>35</v>
      </c>
      <c r="G575" t="s">
        <v>257</v>
      </c>
      <c r="H575">
        <v>8</v>
      </c>
      <c r="I575">
        <v>1133</v>
      </c>
      <c r="K575" t="s">
        <v>25</v>
      </c>
      <c r="L575" t="s">
        <v>56</v>
      </c>
      <c r="M5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75">
        <v>9064</v>
      </c>
      <c r="O575" t="s">
        <v>45</v>
      </c>
      <c r="P575" t="str">
        <f>_xlfn.IFS(LEFT(indian_retail_raw_1000[[#This Row],[x]],1)="W", "West",LEFT(indian_retail_raw_1000[[#This Row],[x]],1)= "E","East",LEFT(O575,1) = "S", "South",LEFT(O575,1) = "N", "North")</f>
        <v>East</v>
      </c>
      <c r="Q575" t="s">
        <v>35</v>
      </c>
      <c r="R575" t="s">
        <v>23</v>
      </c>
      <c r="S575" t="str">
        <f>TEXT(indian_retail_raw_1000[[#This Row],[Order_Date]],"MMM")</f>
        <v>May</v>
      </c>
    </row>
    <row r="576" spans="1:19" x14ac:dyDescent="0.25">
      <c r="A576" t="s">
        <v>673</v>
      </c>
      <c r="B576" s="1">
        <v>44981</v>
      </c>
      <c r="C576" t="s">
        <v>165</v>
      </c>
      <c r="D576">
        <v>32</v>
      </c>
      <c r="E576" t="s">
        <v>146</v>
      </c>
      <c r="F576" t="s">
        <v>30</v>
      </c>
      <c r="G576" t="s">
        <v>218</v>
      </c>
      <c r="H576">
        <v>4</v>
      </c>
      <c r="I576">
        <v>3245</v>
      </c>
      <c r="J576">
        <v>30</v>
      </c>
      <c r="K576" t="s">
        <v>41</v>
      </c>
      <c r="L576" t="s">
        <v>107</v>
      </c>
      <c r="M5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6">
        <v>9086</v>
      </c>
      <c r="O576" t="s">
        <v>38</v>
      </c>
      <c r="P576" t="str">
        <f>_xlfn.IFS(LEFT(indian_retail_raw_1000[[#This Row],[x]],1)="W", "West",LEFT(indian_retail_raw_1000[[#This Row],[x]],1)= "E","East",LEFT(O576,1) = "S", "South",LEFT(O576,1) = "N", "North")</f>
        <v>North</v>
      </c>
      <c r="Q576" t="s">
        <v>30</v>
      </c>
      <c r="R576" t="s">
        <v>16</v>
      </c>
      <c r="S576" t="str">
        <f>TEXT(indian_retail_raw_1000[[#This Row],[Order_Date]],"MMM")</f>
        <v>Feb</v>
      </c>
    </row>
    <row r="577" spans="1:19" x14ac:dyDescent="0.25">
      <c r="A577" t="s">
        <v>875</v>
      </c>
      <c r="B577" s="1">
        <v>45064</v>
      </c>
      <c r="C577" t="s">
        <v>43</v>
      </c>
      <c r="D577">
        <v>41</v>
      </c>
      <c r="E577" t="s">
        <v>23</v>
      </c>
      <c r="F577" t="s">
        <v>17</v>
      </c>
      <c r="G577" t="s">
        <v>40</v>
      </c>
      <c r="H577">
        <v>2</v>
      </c>
      <c r="I577">
        <v>4550</v>
      </c>
      <c r="J577">
        <v>30</v>
      </c>
      <c r="K577" t="s">
        <v>25</v>
      </c>
      <c r="L577" t="s">
        <v>20</v>
      </c>
      <c r="M5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7">
        <v>9100</v>
      </c>
      <c r="O577" t="s">
        <v>38</v>
      </c>
      <c r="P577" t="str">
        <f>_xlfn.IFS(LEFT(indian_retail_raw_1000[[#This Row],[x]],1)="W", "West",LEFT(indian_retail_raw_1000[[#This Row],[x]],1)= "E","East",LEFT(O577,1) = "S", "South",LEFT(O577,1) = "N", "North")</f>
        <v>North</v>
      </c>
      <c r="Q577" t="s">
        <v>17</v>
      </c>
      <c r="R577" t="s">
        <v>23</v>
      </c>
      <c r="S577" t="str">
        <f>TEXT(indian_retail_raw_1000[[#This Row],[Order_Date]],"MMM")</f>
        <v>May</v>
      </c>
    </row>
    <row r="578" spans="1:19" x14ac:dyDescent="0.25">
      <c r="A578" t="s">
        <v>718</v>
      </c>
      <c r="B578" s="1">
        <v>45010</v>
      </c>
      <c r="C578" t="s">
        <v>152</v>
      </c>
      <c r="D578">
        <v>31</v>
      </c>
      <c r="E578" t="s">
        <v>16</v>
      </c>
      <c r="F578" t="s">
        <v>30</v>
      </c>
      <c r="G578" t="s">
        <v>195</v>
      </c>
      <c r="H578">
        <v>3</v>
      </c>
      <c r="I578">
        <v>3035</v>
      </c>
      <c r="J578">
        <v>5</v>
      </c>
      <c r="K578" t="s">
        <v>25</v>
      </c>
      <c r="L578" t="s">
        <v>20</v>
      </c>
      <c r="M5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8">
        <v>9105</v>
      </c>
      <c r="O578" t="s">
        <v>26</v>
      </c>
      <c r="P578" t="str">
        <f>_xlfn.IFS(LEFT(indian_retail_raw_1000[[#This Row],[x]],1)="W", "West",LEFT(indian_retail_raw_1000[[#This Row],[x]],1)= "E","East",LEFT(O578,1) = "S", "South",LEFT(O578,1) = "N", "North")</f>
        <v>West</v>
      </c>
      <c r="Q578" t="s">
        <v>30</v>
      </c>
      <c r="R578" t="s">
        <v>16</v>
      </c>
      <c r="S578" t="str">
        <f>TEXT(indian_retail_raw_1000[[#This Row],[Order_Date]],"MMM")</f>
        <v>Mar</v>
      </c>
    </row>
    <row r="579" spans="1:19" x14ac:dyDescent="0.25">
      <c r="A579" t="s">
        <v>1090</v>
      </c>
      <c r="B579" s="1">
        <v>44958</v>
      </c>
      <c r="C579" t="s">
        <v>160</v>
      </c>
      <c r="D579">
        <v>29</v>
      </c>
      <c r="E579" t="s">
        <v>16</v>
      </c>
      <c r="F579" t="s">
        <v>17</v>
      </c>
      <c r="G579" t="s">
        <v>80</v>
      </c>
      <c r="H579">
        <v>2</v>
      </c>
      <c r="I579">
        <v>5100</v>
      </c>
      <c r="J579">
        <v>10</v>
      </c>
      <c r="K579" t="s">
        <v>50</v>
      </c>
      <c r="L579" t="s">
        <v>20</v>
      </c>
      <c r="M5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9">
        <v>9180</v>
      </c>
      <c r="O579" t="s">
        <v>38</v>
      </c>
      <c r="P579" t="str">
        <f>_xlfn.IFS(LEFT(indian_retail_raw_1000[[#This Row],[x]],1)="W", "West",LEFT(indian_retail_raw_1000[[#This Row],[x]],1)= "E","East",LEFT(O579,1) = "S", "South",LEFT(O579,1) = "N", "North")</f>
        <v>North</v>
      </c>
      <c r="Q579" t="s">
        <v>17</v>
      </c>
      <c r="R579" t="s">
        <v>16</v>
      </c>
      <c r="S579" t="str">
        <f>TEXT(indian_retail_raw_1000[[#This Row],[Order_Date]],"MMM")</f>
        <v>Feb</v>
      </c>
    </row>
    <row r="580" spans="1:19" x14ac:dyDescent="0.25">
      <c r="A580" t="s">
        <v>988</v>
      </c>
      <c r="B580" s="1" t="s">
        <v>1336</v>
      </c>
      <c r="C580" t="s">
        <v>102</v>
      </c>
      <c r="D580">
        <v>19</v>
      </c>
      <c r="E580" t="s">
        <v>490</v>
      </c>
      <c r="F580" t="s">
        <v>17</v>
      </c>
      <c r="G580" t="s">
        <v>40</v>
      </c>
      <c r="H580">
        <v>2</v>
      </c>
      <c r="I580">
        <v>4600</v>
      </c>
      <c r="J580">
        <v>0</v>
      </c>
      <c r="K580" t="s">
        <v>41</v>
      </c>
      <c r="L580" t="s">
        <v>20</v>
      </c>
      <c r="M5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0">
        <v>9200</v>
      </c>
      <c r="O580" t="s">
        <v>38</v>
      </c>
      <c r="P580" t="str">
        <f>_xlfn.IFS(LEFT(indian_retail_raw_1000[[#This Row],[x]],1)="W", "West",LEFT(indian_retail_raw_1000[[#This Row],[x]],1)= "E","East",LEFT(O580,1) = "S", "South",LEFT(O580,1) = "N", "North")</f>
        <v>North</v>
      </c>
      <c r="Q580" t="s">
        <v>17</v>
      </c>
      <c r="R580" t="s">
        <v>16</v>
      </c>
      <c r="S580" t="str">
        <f>TEXT(indian_retail_raw_1000[[#This Row],[Order_Date]],"MMM")</f>
        <v>Null</v>
      </c>
    </row>
    <row r="581" spans="1:19" x14ac:dyDescent="0.25">
      <c r="A581" t="s">
        <v>597</v>
      </c>
      <c r="B581" s="1">
        <v>44975</v>
      </c>
      <c r="C581" t="s">
        <v>241</v>
      </c>
      <c r="D581">
        <v>38</v>
      </c>
      <c r="E581" t="s">
        <v>23</v>
      </c>
      <c r="F581" t="s">
        <v>384</v>
      </c>
      <c r="G581" t="s">
        <v>60</v>
      </c>
      <c r="H581">
        <v>1</v>
      </c>
      <c r="I581">
        <v>9713</v>
      </c>
      <c r="J581">
        <v>5</v>
      </c>
      <c r="K581" t="s">
        <v>25</v>
      </c>
      <c r="L581" t="s">
        <v>51</v>
      </c>
      <c r="M5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81">
        <v>9227.35</v>
      </c>
      <c r="O581" t="s">
        <v>21</v>
      </c>
      <c r="P581" t="str">
        <f>_xlfn.IFS(LEFT(indian_retail_raw_1000[[#This Row],[x]],1)="W", "West",LEFT(indian_retail_raw_1000[[#This Row],[x]],1)= "E","East",LEFT(O581,1) = "S", "South",LEFT(O581,1) = "N", "North")</f>
        <v>South</v>
      </c>
      <c r="Q581" t="s">
        <v>30</v>
      </c>
      <c r="R581" t="s">
        <v>23</v>
      </c>
      <c r="S581" t="str">
        <f>TEXT(indian_retail_raw_1000[[#This Row],[Order_Date]],"MMM")</f>
        <v>Feb</v>
      </c>
    </row>
    <row r="582" spans="1:19" x14ac:dyDescent="0.25">
      <c r="A582" t="s">
        <v>802</v>
      </c>
      <c r="B582" s="1" t="s">
        <v>1336</v>
      </c>
      <c r="C582" t="s">
        <v>152</v>
      </c>
      <c r="D582">
        <v>19</v>
      </c>
      <c r="E582" t="s">
        <v>16</v>
      </c>
      <c r="F582" t="s">
        <v>30</v>
      </c>
      <c r="G582" t="s">
        <v>153</v>
      </c>
      <c r="H582">
        <v>5</v>
      </c>
      <c r="I582">
        <v>1953</v>
      </c>
      <c r="J582">
        <v>5</v>
      </c>
      <c r="K582" t="s">
        <v>50</v>
      </c>
      <c r="L582" t="s">
        <v>20</v>
      </c>
      <c r="M5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2">
        <v>9276.75</v>
      </c>
      <c r="O582" t="s">
        <v>38</v>
      </c>
      <c r="P582" t="str">
        <f>_xlfn.IFS(LEFT(indian_retail_raw_1000[[#This Row],[x]],1)="W", "West",LEFT(indian_retail_raw_1000[[#This Row],[x]],1)= "E","East",LEFT(O582,1) = "S", "South",LEFT(O582,1) = "N", "North")</f>
        <v>North</v>
      </c>
      <c r="Q582" t="s">
        <v>30</v>
      </c>
      <c r="R582" t="s">
        <v>16</v>
      </c>
      <c r="S582" t="str">
        <f>TEXT(indian_retail_raw_1000[[#This Row],[Order_Date]],"MMM")</f>
        <v>Null</v>
      </c>
    </row>
    <row r="583" spans="1:19" x14ac:dyDescent="0.25">
      <c r="A583" t="s">
        <v>1200</v>
      </c>
      <c r="B583" s="1" t="s">
        <v>1336</v>
      </c>
      <c r="C583" t="s">
        <v>1336</v>
      </c>
      <c r="D583">
        <v>50</v>
      </c>
      <c r="E583" t="s">
        <v>23</v>
      </c>
      <c r="F583" t="s">
        <v>17</v>
      </c>
      <c r="G583" t="s">
        <v>124</v>
      </c>
      <c r="H583">
        <v>2</v>
      </c>
      <c r="I583">
        <v>5800</v>
      </c>
      <c r="J583">
        <v>20</v>
      </c>
      <c r="K583" t="s">
        <v>50</v>
      </c>
      <c r="L583" t="s">
        <v>56</v>
      </c>
      <c r="M5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83">
        <v>9280</v>
      </c>
      <c r="O583" t="s">
        <v>26</v>
      </c>
      <c r="P583" t="str">
        <f>_xlfn.IFS(LEFT(indian_retail_raw_1000[[#This Row],[x]],1)="W", "West",LEFT(indian_retail_raw_1000[[#This Row],[x]],1)= "E","East",LEFT(O583,1) = "S", "South",LEFT(O583,1) = "N", "North")</f>
        <v>West</v>
      </c>
      <c r="Q583" t="s">
        <v>17</v>
      </c>
      <c r="R583" t="s">
        <v>23</v>
      </c>
      <c r="S583" t="str">
        <f>TEXT(indian_retail_raw_1000[[#This Row],[Order_Date]],"MMM")</f>
        <v>Null</v>
      </c>
    </row>
    <row r="584" spans="1:19" x14ac:dyDescent="0.25">
      <c r="A584" t="s">
        <v>700</v>
      </c>
      <c r="B584" s="1" t="s">
        <v>1336</v>
      </c>
      <c r="C584" t="s">
        <v>1336</v>
      </c>
      <c r="D584">
        <v>36</v>
      </c>
      <c r="E584" t="s">
        <v>490</v>
      </c>
      <c r="F584" t="s">
        <v>30</v>
      </c>
      <c r="G584" t="s">
        <v>224</v>
      </c>
      <c r="H584">
        <v>7</v>
      </c>
      <c r="I584">
        <v>1327</v>
      </c>
      <c r="J584">
        <v>0</v>
      </c>
      <c r="K584" t="s">
        <v>19</v>
      </c>
      <c r="L584" t="s">
        <v>20</v>
      </c>
      <c r="M5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4">
        <v>9289</v>
      </c>
      <c r="O584" t="s">
        <v>26</v>
      </c>
      <c r="P584" t="str">
        <f>_xlfn.IFS(LEFT(indian_retail_raw_1000[[#This Row],[x]],1)="W", "West",LEFT(indian_retail_raw_1000[[#This Row],[x]],1)= "E","East",LEFT(O584,1) = "S", "South",LEFT(O584,1) = "N", "North")</f>
        <v>West</v>
      </c>
      <c r="Q584" t="s">
        <v>30</v>
      </c>
      <c r="R584" t="s">
        <v>16</v>
      </c>
      <c r="S584" t="str">
        <f>TEXT(indian_retail_raw_1000[[#This Row],[Order_Date]],"MMM")</f>
        <v>Null</v>
      </c>
    </row>
    <row r="585" spans="1:19" x14ac:dyDescent="0.25">
      <c r="A585" t="s">
        <v>1133</v>
      </c>
      <c r="B585" s="1">
        <v>45004</v>
      </c>
      <c r="C585" t="s">
        <v>76</v>
      </c>
      <c r="D585">
        <v>52</v>
      </c>
      <c r="E585" t="s">
        <v>16</v>
      </c>
      <c r="F585" t="s">
        <v>54</v>
      </c>
      <c r="G585" t="s">
        <v>104</v>
      </c>
      <c r="H585">
        <v>1</v>
      </c>
      <c r="I585">
        <v>11700</v>
      </c>
      <c r="J585">
        <v>20</v>
      </c>
      <c r="K585" t="s">
        <v>41</v>
      </c>
      <c r="L585" t="s">
        <v>20</v>
      </c>
      <c r="M5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5">
        <v>9360</v>
      </c>
      <c r="O585" t="s">
        <v>21</v>
      </c>
      <c r="P585" t="str">
        <f>_xlfn.IFS(LEFT(indian_retail_raw_1000[[#This Row],[x]],1)="W", "West",LEFT(indian_retail_raw_1000[[#This Row],[x]],1)= "E","East",LEFT(O585,1) = "S", "South",LEFT(O585,1) = "N", "North")</f>
        <v>South</v>
      </c>
      <c r="Q585" t="s">
        <v>54</v>
      </c>
      <c r="R585" t="s">
        <v>16</v>
      </c>
      <c r="S585" t="str">
        <f>TEXT(indian_retail_raw_1000[[#This Row],[Order_Date]],"MMM")</f>
        <v>Mar</v>
      </c>
    </row>
    <row r="586" spans="1:19" x14ac:dyDescent="0.25">
      <c r="A586" t="s">
        <v>982</v>
      </c>
      <c r="B586" s="1">
        <v>45057</v>
      </c>
      <c r="C586" t="s">
        <v>152</v>
      </c>
      <c r="D586">
        <v>55</v>
      </c>
      <c r="E586" t="s">
        <v>29</v>
      </c>
      <c r="F586" t="s">
        <v>30</v>
      </c>
      <c r="G586" t="s">
        <v>31</v>
      </c>
      <c r="H586">
        <v>5</v>
      </c>
      <c r="I586">
        <v>1874</v>
      </c>
      <c r="J586">
        <v>0</v>
      </c>
      <c r="K586" t="s">
        <v>41</v>
      </c>
      <c r="L586" t="s">
        <v>20</v>
      </c>
      <c r="M5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6">
        <v>9370</v>
      </c>
      <c r="O586" t="s">
        <v>38</v>
      </c>
      <c r="P586" t="str">
        <f>_xlfn.IFS(LEFT(indian_retail_raw_1000[[#This Row],[x]],1)="W", "West",LEFT(indian_retail_raw_1000[[#This Row],[x]],1)= "E","East",LEFT(O586,1) = "S", "South",LEFT(O586,1) = "N", "North")</f>
        <v>North</v>
      </c>
      <c r="Q586" t="s">
        <v>30</v>
      </c>
      <c r="R586" t="s">
        <v>16</v>
      </c>
      <c r="S586" t="str">
        <f>TEXT(indian_retail_raw_1000[[#This Row],[Order_Date]],"MMM")</f>
        <v>May</v>
      </c>
    </row>
    <row r="587" spans="1:19" x14ac:dyDescent="0.25">
      <c r="A587" t="s">
        <v>611</v>
      </c>
      <c r="B587" s="1">
        <v>45144</v>
      </c>
      <c r="C587" t="s">
        <v>102</v>
      </c>
      <c r="D587">
        <v>29</v>
      </c>
      <c r="E587" t="s">
        <v>73</v>
      </c>
      <c r="F587" t="s">
        <v>17</v>
      </c>
      <c r="G587" t="s">
        <v>94</v>
      </c>
      <c r="H587">
        <v>3</v>
      </c>
      <c r="I587">
        <v>3150</v>
      </c>
      <c r="J587">
        <v>0</v>
      </c>
      <c r="K587" t="s">
        <v>19</v>
      </c>
      <c r="L587" t="s">
        <v>20</v>
      </c>
      <c r="M5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7">
        <v>9450</v>
      </c>
      <c r="O587" t="s">
        <v>26</v>
      </c>
      <c r="P587" t="str">
        <f>_xlfn.IFS(LEFT(indian_retail_raw_1000[[#This Row],[x]],1)="W", "West",LEFT(indian_retail_raw_1000[[#This Row],[x]],1)= "E","East",LEFT(O587,1) = "S", "South",LEFT(O587,1) = "N", "North")</f>
        <v>West</v>
      </c>
      <c r="Q587" t="s">
        <v>17</v>
      </c>
      <c r="R587" t="s">
        <v>23</v>
      </c>
      <c r="S587" t="str">
        <f>TEXT(indian_retail_raw_1000[[#This Row],[Order_Date]],"MMM")</f>
        <v>Aug</v>
      </c>
    </row>
    <row r="588" spans="1:19" x14ac:dyDescent="0.25">
      <c r="A588" t="s">
        <v>970</v>
      </c>
      <c r="B588" s="1">
        <v>45104</v>
      </c>
      <c r="C588" t="s">
        <v>62</v>
      </c>
      <c r="D588">
        <v>28</v>
      </c>
      <c r="E588" t="s">
        <v>16</v>
      </c>
      <c r="F588" t="s">
        <v>17</v>
      </c>
      <c r="G588" t="s">
        <v>274</v>
      </c>
      <c r="H588">
        <v>3</v>
      </c>
      <c r="I588">
        <v>3500</v>
      </c>
      <c r="J588">
        <v>10</v>
      </c>
      <c r="K588" t="s">
        <v>41</v>
      </c>
      <c r="L588" t="s">
        <v>20</v>
      </c>
      <c r="M5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8">
        <v>9450</v>
      </c>
      <c r="O588" t="s">
        <v>38</v>
      </c>
      <c r="P588" t="str">
        <f>_xlfn.IFS(LEFT(indian_retail_raw_1000[[#This Row],[x]],1)="W", "West",LEFT(indian_retail_raw_1000[[#This Row],[x]],1)= "E","East",LEFT(O588,1) = "S", "South",LEFT(O588,1) = "N", "North")</f>
        <v>North</v>
      </c>
      <c r="Q588" t="s">
        <v>17</v>
      </c>
      <c r="R588" t="s">
        <v>16</v>
      </c>
      <c r="S588" t="str">
        <f>TEXT(indian_retail_raw_1000[[#This Row],[Order_Date]],"MMM")</f>
        <v>Jun</v>
      </c>
    </row>
    <row r="589" spans="1:19" x14ac:dyDescent="0.25">
      <c r="A589" t="s">
        <v>1043</v>
      </c>
      <c r="B589" s="1">
        <v>44940</v>
      </c>
      <c r="C589" t="s">
        <v>128</v>
      </c>
      <c r="D589">
        <v>30</v>
      </c>
      <c r="E589" t="s">
        <v>16</v>
      </c>
      <c r="F589" t="s">
        <v>17</v>
      </c>
      <c r="G589" t="s">
        <v>259</v>
      </c>
      <c r="H589">
        <v>3</v>
      </c>
      <c r="I589">
        <v>4200</v>
      </c>
      <c r="J589">
        <v>25</v>
      </c>
      <c r="K589" t="s">
        <v>19</v>
      </c>
      <c r="L589" t="s">
        <v>20</v>
      </c>
      <c r="M5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9">
        <v>9450</v>
      </c>
      <c r="O589" t="s">
        <v>38</v>
      </c>
      <c r="P589" t="str">
        <f>_xlfn.IFS(LEFT(indian_retail_raw_1000[[#This Row],[x]],1)="W", "West",LEFT(indian_retail_raw_1000[[#This Row],[x]],1)= "E","East",LEFT(O589,1) = "S", "South",LEFT(O589,1) = "N", "North")</f>
        <v>North</v>
      </c>
      <c r="Q589" t="s">
        <v>17</v>
      </c>
      <c r="R589" t="s">
        <v>16</v>
      </c>
      <c r="S589" t="str">
        <f>TEXT(indian_retail_raw_1000[[#This Row],[Order_Date]],"MMM")</f>
        <v>Jan</v>
      </c>
    </row>
    <row r="590" spans="1:19" x14ac:dyDescent="0.25">
      <c r="A590" t="s">
        <v>972</v>
      </c>
      <c r="B590" s="1">
        <v>45076</v>
      </c>
      <c r="C590" t="s">
        <v>1336</v>
      </c>
      <c r="E590" t="s">
        <v>16</v>
      </c>
      <c r="F590" t="s">
        <v>30</v>
      </c>
      <c r="G590" t="s">
        <v>268</v>
      </c>
      <c r="H590">
        <v>6</v>
      </c>
      <c r="I590">
        <v>1665</v>
      </c>
      <c r="J590">
        <v>5</v>
      </c>
      <c r="K590" t="s">
        <v>50</v>
      </c>
      <c r="L590" t="s">
        <v>56</v>
      </c>
      <c r="M5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90">
        <v>9490.5</v>
      </c>
      <c r="O590" t="s">
        <v>38</v>
      </c>
      <c r="P590" t="str">
        <f>_xlfn.IFS(LEFT(indian_retail_raw_1000[[#This Row],[x]],1)="W", "West",LEFT(indian_retail_raw_1000[[#This Row],[x]],1)= "E","East",LEFT(O590,1) = "S", "South",LEFT(O590,1) = "N", "North")</f>
        <v>North</v>
      </c>
      <c r="Q590" t="s">
        <v>30</v>
      </c>
      <c r="R590" t="s">
        <v>16</v>
      </c>
      <c r="S590" t="str">
        <f>TEXT(indian_retail_raw_1000[[#This Row],[Order_Date]],"MMM")</f>
        <v>May</v>
      </c>
    </row>
    <row r="591" spans="1:19" x14ac:dyDescent="0.25">
      <c r="A591" t="s">
        <v>39</v>
      </c>
      <c r="B591" s="1">
        <v>45143</v>
      </c>
      <c r="C591" t="s">
        <v>1336</v>
      </c>
      <c r="D591">
        <v>56</v>
      </c>
      <c r="E591" t="s">
        <v>23</v>
      </c>
      <c r="F591" t="s">
        <v>17</v>
      </c>
      <c r="G591" t="s">
        <v>40</v>
      </c>
      <c r="H591">
        <v>2</v>
      </c>
      <c r="I591">
        <v>5000</v>
      </c>
      <c r="J591">
        <v>5</v>
      </c>
      <c r="K591" t="s">
        <v>41</v>
      </c>
      <c r="L591" t="s">
        <v>20</v>
      </c>
      <c r="M5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1">
        <v>9500</v>
      </c>
      <c r="O591" t="s">
        <v>26</v>
      </c>
      <c r="P591" t="str">
        <f>_xlfn.IFS(LEFT(indian_retail_raw_1000[[#This Row],[x]],1)="W", "West",LEFT(indian_retail_raw_1000[[#This Row],[x]],1)= "E","East",LEFT(O591,1) = "S", "South",LEFT(O591,1) = "N", "North")</f>
        <v>West</v>
      </c>
      <c r="Q591" t="s">
        <v>17</v>
      </c>
      <c r="R591" t="s">
        <v>23</v>
      </c>
      <c r="S591" t="str">
        <f>TEXT(indian_retail_raw_1000[[#This Row],[Order_Date]],"MMM")</f>
        <v>Aug</v>
      </c>
    </row>
    <row r="592" spans="1:19" x14ac:dyDescent="0.25">
      <c r="A592" t="s">
        <v>726</v>
      </c>
      <c r="B592" s="1">
        <v>45240</v>
      </c>
      <c r="C592" t="s">
        <v>1336</v>
      </c>
      <c r="D592">
        <v>32</v>
      </c>
      <c r="E592" t="s">
        <v>16</v>
      </c>
      <c r="F592" t="s">
        <v>30</v>
      </c>
      <c r="G592" t="s">
        <v>67</v>
      </c>
      <c r="H592">
        <v>1</v>
      </c>
      <c r="I592">
        <v>4761</v>
      </c>
      <c r="K592" t="s">
        <v>25</v>
      </c>
      <c r="L592" t="s">
        <v>51</v>
      </c>
      <c r="M5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92">
        <v>9522</v>
      </c>
      <c r="O592" t="s">
        <v>21</v>
      </c>
      <c r="P592" t="str">
        <f>_xlfn.IFS(LEFT(indian_retail_raw_1000[[#This Row],[x]],1)="W", "West",LEFT(indian_retail_raw_1000[[#This Row],[x]],1)= "E","East",LEFT(O592,1) = "S", "South",LEFT(O592,1) = "N", "North")</f>
        <v>South</v>
      </c>
      <c r="Q592" t="s">
        <v>30</v>
      </c>
      <c r="R592" t="s">
        <v>16</v>
      </c>
      <c r="S592" t="str">
        <f>TEXT(indian_retail_raw_1000[[#This Row],[Order_Date]],"MMM")</f>
        <v>Nov</v>
      </c>
    </row>
    <row r="593" spans="1:19" x14ac:dyDescent="0.25">
      <c r="A593" t="s">
        <v>941</v>
      </c>
      <c r="B593" s="1">
        <v>45234</v>
      </c>
      <c r="C593" t="s">
        <v>942</v>
      </c>
      <c r="D593">
        <v>33</v>
      </c>
      <c r="E593" t="s">
        <v>23</v>
      </c>
      <c r="F593" t="s">
        <v>30</v>
      </c>
      <c r="G593" t="s">
        <v>153</v>
      </c>
      <c r="H593">
        <v>10</v>
      </c>
      <c r="I593">
        <v>1122</v>
      </c>
      <c r="J593">
        <v>15</v>
      </c>
      <c r="K593" t="s">
        <v>19</v>
      </c>
      <c r="L593" t="s">
        <v>20</v>
      </c>
      <c r="M5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3">
        <v>9537</v>
      </c>
      <c r="O593" t="s">
        <v>26</v>
      </c>
      <c r="P593" t="str">
        <f>_xlfn.IFS(LEFT(indian_retail_raw_1000[[#This Row],[x]],1)="W", "West",LEFT(indian_retail_raw_1000[[#This Row],[x]],1)= "E","East",LEFT(O593,1) = "S", "South",LEFT(O593,1) = "N", "North")</f>
        <v>West</v>
      </c>
      <c r="Q593" t="s">
        <v>30</v>
      </c>
      <c r="R593" t="s">
        <v>23</v>
      </c>
      <c r="S593" t="str">
        <f>TEXT(indian_retail_raw_1000[[#This Row],[Order_Date]],"MMM")</f>
        <v>Nov</v>
      </c>
    </row>
    <row r="594" spans="1:19" x14ac:dyDescent="0.25">
      <c r="A594" t="s">
        <v>939</v>
      </c>
      <c r="B594" s="1">
        <v>44949</v>
      </c>
      <c r="C594" t="s">
        <v>165</v>
      </c>
      <c r="D594">
        <v>19</v>
      </c>
      <c r="E594" t="s">
        <v>23</v>
      </c>
      <c r="F594" t="s">
        <v>30</v>
      </c>
      <c r="G594" t="s">
        <v>31</v>
      </c>
      <c r="H594">
        <v>4</v>
      </c>
      <c r="I594">
        <v>2393</v>
      </c>
      <c r="J594">
        <v>0</v>
      </c>
      <c r="K594" t="s">
        <v>41</v>
      </c>
      <c r="L594" t="s">
        <v>20</v>
      </c>
      <c r="M5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4">
        <v>9572</v>
      </c>
      <c r="O594" t="s">
        <v>38</v>
      </c>
      <c r="P594" t="str">
        <f>_xlfn.IFS(LEFT(indian_retail_raw_1000[[#This Row],[x]],1)="W", "West",LEFT(indian_retail_raw_1000[[#This Row],[x]],1)= "E","East",LEFT(O594,1) = "S", "South",LEFT(O594,1) = "N", "North")</f>
        <v>North</v>
      </c>
      <c r="Q594" t="s">
        <v>30</v>
      </c>
      <c r="R594" t="s">
        <v>23</v>
      </c>
      <c r="S594" t="str">
        <f>TEXT(indian_retail_raw_1000[[#This Row],[Order_Date]],"MMM")</f>
        <v>Jan</v>
      </c>
    </row>
    <row r="595" spans="1:19" x14ac:dyDescent="0.25">
      <c r="A595" t="s">
        <v>362</v>
      </c>
      <c r="B595" s="1" t="s">
        <v>1336</v>
      </c>
      <c r="C595" t="s">
        <v>1336</v>
      </c>
      <c r="D595">
        <v>48</v>
      </c>
      <c r="E595" t="s">
        <v>23</v>
      </c>
      <c r="F595" t="s">
        <v>30</v>
      </c>
      <c r="G595" t="s">
        <v>67</v>
      </c>
      <c r="H595">
        <v>2</v>
      </c>
      <c r="I595">
        <v>4830</v>
      </c>
      <c r="J595">
        <v>0</v>
      </c>
      <c r="K595" t="s">
        <v>25</v>
      </c>
      <c r="L595" t="s">
        <v>363</v>
      </c>
      <c r="M5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95">
        <v>9660</v>
      </c>
      <c r="O595" t="s">
        <v>45</v>
      </c>
      <c r="P595" t="str">
        <f>_xlfn.IFS(LEFT(indian_retail_raw_1000[[#This Row],[x]],1)="W", "West",LEFT(indian_retail_raw_1000[[#This Row],[x]],1)= "E","East",LEFT(O595,1) = "S", "South",LEFT(O595,1) = "N", "North")</f>
        <v>East</v>
      </c>
      <c r="Q595" t="s">
        <v>30</v>
      </c>
      <c r="R595" t="s">
        <v>23</v>
      </c>
      <c r="S595" t="str">
        <f>TEXT(indian_retail_raw_1000[[#This Row],[Order_Date]],"MMM")</f>
        <v>Null</v>
      </c>
    </row>
    <row r="596" spans="1:19" x14ac:dyDescent="0.25">
      <c r="A596" t="s">
        <v>1285</v>
      </c>
      <c r="B596" s="1">
        <v>45261</v>
      </c>
      <c r="C596" t="s">
        <v>243</v>
      </c>
      <c r="D596">
        <v>44</v>
      </c>
      <c r="E596" t="s">
        <v>23</v>
      </c>
      <c r="F596" t="s">
        <v>54</v>
      </c>
      <c r="G596" t="s">
        <v>104</v>
      </c>
      <c r="H596">
        <v>1</v>
      </c>
      <c r="I596">
        <v>11400</v>
      </c>
      <c r="J596">
        <v>15</v>
      </c>
      <c r="K596" t="s">
        <v>41</v>
      </c>
      <c r="L596" t="s">
        <v>20</v>
      </c>
      <c r="M5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6">
        <v>9690</v>
      </c>
      <c r="O596" t="s">
        <v>45</v>
      </c>
      <c r="P596" t="str">
        <f>_xlfn.IFS(LEFT(indian_retail_raw_1000[[#This Row],[x]],1)="W", "West",LEFT(indian_retail_raw_1000[[#This Row],[x]],1)= "E","East",LEFT(O596,1) = "S", "South",LEFT(O596,1) = "N", "North")</f>
        <v>East</v>
      </c>
      <c r="Q596" t="s">
        <v>54</v>
      </c>
      <c r="R596" t="s">
        <v>23</v>
      </c>
      <c r="S596" t="str">
        <f>TEXT(indian_retail_raw_1000[[#This Row],[Order_Date]],"MMM")</f>
        <v>Dec</v>
      </c>
    </row>
    <row r="597" spans="1:19" x14ac:dyDescent="0.25">
      <c r="A597" t="s">
        <v>434</v>
      </c>
      <c r="B597" s="1">
        <v>45186</v>
      </c>
      <c r="C597" t="s">
        <v>176</v>
      </c>
      <c r="D597">
        <v>25</v>
      </c>
      <c r="E597" t="s">
        <v>23</v>
      </c>
      <c r="F597" t="s">
        <v>30</v>
      </c>
      <c r="G597" t="s">
        <v>294</v>
      </c>
      <c r="H597">
        <v>9</v>
      </c>
      <c r="I597">
        <v>317</v>
      </c>
      <c r="J597">
        <v>15</v>
      </c>
      <c r="K597" t="s">
        <v>41</v>
      </c>
      <c r="L597" t="s">
        <v>20</v>
      </c>
      <c r="M5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7">
        <v>9700.2000000000007</v>
      </c>
      <c r="O597" t="s">
        <v>21</v>
      </c>
      <c r="P597" t="str">
        <f>_xlfn.IFS(LEFT(indian_retail_raw_1000[[#This Row],[x]],1)="W", "West",LEFT(indian_retail_raw_1000[[#This Row],[x]],1)= "E","East",LEFT(O597,1) = "S", "South",LEFT(O597,1) = "N", "North")</f>
        <v>South</v>
      </c>
      <c r="Q597" t="s">
        <v>30</v>
      </c>
      <c r="R597" t="s">
        <v>23</v>
      </c>
      <c r="S597" t="str">
        <f>TEXT(indian_retail_raw_1000[[#This Row],[Order_Date]],"MMM")</f>
        <v>Sep</v>
      </c>
    </row>
    <row r="598" spans="1:19" x14ac:dyDescent="0.25">
      <c r="A598" t="s">
        <v>429</v>
      </c>
      <c r="B598" s="1">
        <v>45214</v>
      </c>
      <c r="C598" t="s">
        <v>1336</v>
      </c>
      <c r="D598">
        <v>29</v>
      </c>
      <c r="E598" t="s">
        <v>16</v>
      </c>
      <c r="F598" t="s">
        <v>30</v>
      </c>
      <c r="G598" t="s">
        <v>268</v>
      </c>
      <c r="H598">
        <v>6</v>
      </c>
      <c r="I598">
        <v>1620</v>
      </c>
      <c r="K598" t="s">
        <v>19</v>
      </c>
      <c r="L598" t="s">
        <v>37</v>
      </c>
      <c r="M5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8">
        <v>9720</v>
      </c>
      <c r="O598" t="s">
        <v>21</v>
      </c>
      <c r="P598" t="str">
        <f>_xlfn.IFS(LEFT(indian_retail_raw_1000[[#This Row],[x]],1)="W", "West",LEFT(indian_retail_raw_1000[[#This Row],[x]],1)= "E","East",LEFT(O598,1) = "S", "South",LEFT(O598,1) = "N", "North")</f>
        <v>South</v>
      </c>
      <c r="Q598" t="s">
        <v>30</v>
      </c>
      <c r="R598" t="s">
        <v>16</v>
      </c>
      <c r="S598" t="str">
        <f>TEXT(indian_retail_raw_1000[[#This Row],[Order_Date]],"MMM")</f>
        <v>Oct</v>
      </c>
    </row>
    <row r="599" spans="1:19" x14ac:dyDescent="0.25">
      <c r="A599" t="s">
        <v>1167</v>
      </c>
      <c r="B599" s="1">
        <v>45083</v>
      </c>
      <c r="C599" t="s">
        <v>128</v>
      </c>
      <c r="D599">
        <v>63</v>
      </c>
      <c r="E599" t="s">
        <v>23</v>
      </c>
      <c r="F599" t="s">
        <v>70</v>
      </c>
      <c r="G599" t="s">
        <v>24</v>
      </c>
      <c r="H599">
        <v>3</v>
      </c>
      <c r="I599">
        <v>3250</v>
      </c>
      <c r="J599">
        <v>0</v>
      </c>
      <c r="K599" t="s">
        <v>41</v>
      </c>
      <c r="L599" t="s">
        <v>20</v>
      </c>
      <c r="M5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9">
        <v>9750</v>
      </c>
      <c r="O599" t="s">
        <v>26</v>
      </c>
      <c r="P599" t="str">
        <f>_xlfn.IFS(LEFT(indian_retail_raw_1000[[#This Row],[x]],1)="W", "West",LEFT(indian_retail_raw_1000[[#This Row],[x]],1)= "E","East",LEFT(O599,1) = "S", "South",LEFT(O599,1) = "N", "North")</f>
        <v>West</v>
      </c>
      <c r="Q599" t="s">
        <v>17</v>
      </c>
      <c r="R599" t="s">
        <v>23</v>
      </c>
      <c r="S599" t="str">
        <f>TEXT(indian_retail_raw_1000[[#This Row],[Order_Date]],"MMM")</f>
        <v>Jun</v>
      </c>
    </row>
    <row r="600" spans="1:19" x14ac:dyDescent="0.25">
      <c r="A600" t="s">
        <v>943</v>
      </c>
      <c r="B600" s="1" t="s">
        <v>1336</v>
      </c>
      <c r="C600" t="s">
        <v>62</v>
      </c>
      <c r="D600">
        <v>43</v>
      </c>
      <c r="E600" t="s">
        <v>23</v>
      </c>
      <c r="F600" t="s">
        <v>30</v>
      </c>
      <c r="G600" t="s">
        <v>130</v>
      </c>
      <c r="H600">
        <v>7</v>
      </c>
      <c r="I600">
        <v>2792</v>
      </c>
      <c r="J600">
        <v>50</v>
      </c>
      <c r="K600" t="s">
        <v>25</v>
      </c>
      <c r="L600" t="s">
        <v>20</v>
      </c>
      <c r="M6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0">
        <v>9772</v>
      </c>
      <c r="O600" t="s">
        <v>45</v>
      </c>
      <c r="P600" t="str">
        <f>_xlfn.IFS(LEFT(indian_retail_raw_1000[[#This Row],[x]],1)="W", "West",LEFT(indian_retail_raw_1000[[#This Row],[x]],1)= "E","East",LEFT(O600,1) = "S", "South",LEFT(O600,1) = "N", "North")</f>
        <v>East</v>
      </c>
      <c r="Q600" t="s">
        <v>30</v>
      </c>
      <c r="R600" t="s">
        <v>23</v>
      </c>
      <c r="S600" t="str">
        <f>TEXT(indian_retail_raw_1000[[#This Row],[Order_Date]],"MMM")</f>
        <v>Null</v>
      </c>
    </row>
    <row r="601" spans="1:19" x14ac:dyDescent="0.25">
      <c r="A601" t="s">
        <v>456</v>
      </c>
      <c r="B601" s="1">
        <v>44955</v>
      </c>
      <c r="C601" t="s">
        <v>217</v>
      </c>
      <c r="D601">
        <v>32</v>
      </c>
      <c r="E601" t="s">
        <v>138</v>
      </c>
      <c r="F601" t="s">
        <v>17</v>
      </c>
      <c r="G601" t="s">
        <v>80</v>
      </c>
      <c r="H601">
        <v>2</v>
      </c>
      <c r="I601">
        <v>5150</v>
      </c>
      <c r="J601">
        <v>5</v>
      </c>
      <c r="K601" t="s">
        <v>41</v>
      </c>
      <c r="L601" t="s">
        <v>51</v>
      </c>
      <c r="M6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01">
        <v>9785</v>
      </c>
      <c r="O601" t="s">
        <v>26</v>
      </c>
      <c r="P601" t="str">
        <f>_xlfn.IFS(LEFT(indian_retail_raw_1000[[#This Row],[x]],1)="W", "West",LEFT(indian_retail_raw_1000[[#This Row],[x]],1)= "E","East",LEFT(O601,1) = "S", "South",LEFT(O601,1) = "N", "North")</f>
        <v>West</v>
      </c>
      <c r="Q601" t="s">
        <v>17</v>
      </c>
      <c r="R601" t="s">
        <v>138</v>
      </c>
      <c r="S601" t="str">
        <f>TEXT(indian_retail_raw_1000[[#This Row],[Order_Date]],"MMM")</f>
        <v>Jan</v>
      </c>
    </row>
    <row r="602" spans="1:19" x14ac:dyDescent="0.25">
      <c r="A602" t="s">
        <v>1281</v>
      </c>
      <c r="B602" s="1">
        <v>45274</v>
      </c>
      <c r="C602" t="s">
        <v>160</v>
      </c>
      <c r="D602">
        <v>31</v>
      </c>
      <c r="E602" t="s">
        <v>23</v>
      </c>
      <c r="F602" t="s">
        <v>35</v>
      </c>
      <c r="G602" t="s">
        <v>203</v>
      </c>
      <c r="H602">
        <v>10</v>
      </c>
      <c r="I602">
        <v>1306</v>
      </c>
      <c r="J602">
        <v>25</v>
      </c>
      <c r="K602" t="s">
        <v>41</v>
      </c>
      <c r="L602" t="s">
        <v>100</v>
      </c>
      <c r="M6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02">
        <v>9795</v>
      </c>
      <c r="O602" t="s">
        <v>26</v>
      </c>
      <c r="P602" t="str">
        <f>_xlfn.IFS(LEFT(indian_retail_raw_1000[[#This Row],[x]],1)="W", "West",LEFT(indian_retail_raw_1000[[#This Row],[x]],1)= "E","East",LEFT(O602,1) = "S", "South",LEFT(O602,1) = "N", "North")</f>
        <v>West</v>
      </c>
      <c r="Q602" t="s">
        <v>35</v>
      </c>
      <c r="R602" t="s">
        <v>23</v>
      </c>
      <c r="S602" t="str">
        <f>TEXT(indian_retail_raw_1000[[#This Row],[Order_Date]],"MMM")</f>
        <v>Dec</v>
      </c>
    </row>
    <row r="603" spans="1:19" x14ac:dyDescent="0.25">
      <c r="A603" t="s">
        <v>600</v>
      </c>
      <c r="B603" s="1">
        <v>45179</v>
      </c>
      <c r="C603" t="s">
        <v>128</v>
      </c>
      <c r="D603">
        <v>42</v>
      </c>
      <c r="E603" t="s">
        <v>29</v>
      </c>
      <c r="F603" t="s">
        <v>17</v>
      </c>
      <c r="G603" t="s">
        <v>94</v>
      </c>
      <c r="H603">
        <v>3</v>
      </c>
      <c r="I603">
        <v>3450</v>
      </c>
      <c r="J603">
        <v>5</v>
      </c>
      <c r="K603" t="s">
        <v>19</v>
      </c>
      <c r="L603" t="s">
        <v>107</v>
      </c>
      <c r="M6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3">
        <v>9832.5</v>
      </c>
      <c r="O603" t="s">
        <v>45</v>
      </c>
      <c r="P603" t="str">
        <f>_xlfn.IFS(LEFT(indian_retail_raw_1000[[#This Row],[x]],1)="W", "West",LEFT(indian_retail_raw_1000[[#This Row],[x]],1)= "E","East",LEFT(O603,1) = "S", "South",LEFT(O603,1) = "N", "North")</f>
        <v>East</v>
      </c>
      <c r="Q603" t="s">
        <v>17</v>
      </c>
      <c r="R603" t="s">
        <v>16</v>
      </c>
      <c r="S603" t="str">
        <f>TEXT(indian_retail_raw_1000[[#This Row],[Order_Date]],"MMM")</f>
        <v>Sep</v>
      </c>
    </row>
    <row r="604" spans="1:19" x14ac:dyDescent="0.25">
      <c r="A604" t="s">
        <v>1029</v>
      </c>
      <c r="B604" s="1">
        <v>45056</v>
      </c>
      <c r="C604" t="s">
        <v>102</v>
      </c>
      <c r="D604">
        <v>37</v>
      </c>
      <c r="E604" t="s">
        <v>16</v>
      </c>
      <c r="F604" t="s">
        <v>30</v>
      </c>
      <c r="G604" t="s">
        <v>218</v>
      </c>
      <c r="H604">
        <v>5</v>
      </c>
      <c r="I604">
        <v>2199</v>
      </c>
      <c r="J604">
        <v>10</v>
      </c>
      <c r="K604" t="s">
        <v>19</v>
      </c>
      <c r="L604" t="s">
        <v>20</v>
      </c>
      <c r="M6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4">
        <v>9895.5</v>
      </c>
      <c r="O604" t="s">
        <v>26</v>
      </c>
      <c r="P604" t="str">
        <f>_xlfn.IFS(LEFT(indian_retail_raw_1000[[#This Row],[x]],1)="W", "West",LEFT(indian_retail_raw_1000[[#This Row],[x]],1)= "E","East",LEFT(O604,1) = "S", "South",LEFT(O604,1) = "N", "North")</f>
        <v>West</v>
      </c>
      <c r="Q604" t="s">
        <v>30</v>
      </c>
      <c r="R604" t="s">
        <v>16</v>
      </c>
      <c r="S604" t="str">
        <f>TEXT(indian_retail_raw_1000[[#This Row],[Order_Date]],"MMM")</f>
        <v>May</v>
      </c>
    </row>
    <row r="605" spans="1:19" x14ac:dyDescent="0.25">
      <c r="A605" t="s">
        <v>1212</v>
      </c>
      <c r="B605" s="1">
        <v>45079</v>
      </c>
      <c r="C605" t="s">
        <v>128</v>
      </c>
      <c r="D605">
        <v>39</v>
      </c>
      <c r="E605" t="s">
        <v>16</v>
      </c>
      <c r="F605" t="s">
        <v>17</v>
      </c>
      <c r="G605" t="s">
        <v>259</v>
      </c>
      <c r="H605">
        <v>2</v>
      </c>
      <c r="I605">
        <v>4950</v>
      </c>
      <c r="J605">
        <v>0</v>
      </c>
      <c r="K605" t="s">
        <v>50</v>
      </c>
      <c r="L605" t="s">
        <v>20</v>
      </c>
      <c r="M6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5">
        <v>9900</v>
      </c>
      <c r="O605" t="s">
        <v>38</v>
      </c>
      <c r="P605" t="str">
        <f>_xlfn.IFS(LEFT(indian_retail_raw_1000[[#This Row],[x]],1)="W", "West",LEFT(indian_retail_raw_1000[[#This Row],[x]],1)= "E","East",LEFT(O605,1) = "S", "South",LEFT(O605,1) = "N", "North")</f>
        <v>North</v>
      </c>
      <c r="Q605" t="s">
        <v>17</v>
      </c>
      <c r="R605" t="s">
        <v>16</v>
      </c>
      <c r="S605" t="str">
        <f>TEXT(indian_retail_raw_1000[[#This Row],[Order_Date]],"MMM")</f>
        <v>Jun</v>
      </c>
    </row>
    <row r="606" spans="1:19" x14ac:dyDescent="0.25">
      <c r="A606" t="s">
        <v>221</v>
      </c>
      <c r="B606" s="1">
        <v>45070</v>
      </c>
      <c r="C606" t="s">
        <v>102</v>
      </c>
      <c r="D606">
        <v>34</v>
      </c>
      <c r="E606" t="s">
        <v>23</v>
      </c>
      <c r="F606" t="s">
        <v>17</v>
      </c>
      <c r="G606" t="s">
        <v>24</v>
      </c>
      <c r="H606">
        <v>99</v>
      </c>
      <c r="I606">
        <v>2000</v>
      </c>
      <c r="J606">
        <v>50</v>
      </c>
      <c r="K606" t="s">
        <v>222</v>
      </c>
      <c r="L606" t="s">
        <v>20</v>
      </c>
      <c r="M6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6">
        <v>9900</v>
      </c>
      <c r="O606" t="s">
        <v>38</v>
      </c>
      <c r="P606" t="str">
        <f>_xlfn.IFS(LEFT(indian_retail_raw_1000[[#This Row],[x]],1)="W", "West",LEFT(indian_retail_raw_1000[[#This Row],[x]],1)= "E","East",LEFT(O606,1) = "S", "South",LEFT(O606,1) = "N", "North")</f>
        <v>North</v>
      </c>
      <c r="Q606" t="s">
        <v>17</v>
      </c>
      <c r="R606" t="s">
        <v>23</v>
      </c>
      <c r="S606" t="str">
        <f>TEXT(indian_retail_raw_1000[[#This Row],[Order_Date]],"MMM")</f>
        <v>May</v>
      </c>
    </row>
    <row r="607" spans="1:19" x14ac:dyDescent="0.25">
      <c r="A607" t="s">
        <v>1197</v>
      </c>
      <c r="B607" s="1">
        <v>44960</v>
      </c>
      <c r="C607" t="s">
        <v>355</v>
      </c>
      <c r="D607">
        <v>43</v>
      </c>
      <c r="E607" t="s">
        <v>23</v>
      </c>
      <c r="F607" t="s">
        <v>54</v>
      </c>
      <c r="G607" t="s">
        <v>237</v>
      </c>
      <c r="H607">
        <v>2</v>
      </c>
      <c r="I607">
        <v>49800</v>
      </c>
      <c r="J607">
        <v>0</v>
      </c>
      <c r="K607" t="s">
        <v>19</v>
      </c>
      <c r="L607" t="s">
        <v>20</v>
      </c>
      <c r="M6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7">
        <v>9960</v>
      </c>
      <c r="O607" t="s">
        <v>45</v>
      </c>
      <c r="P607" t="str">
        <f>_xlfn.IFS(LEFT(indian_retail_raw_1000[[#This Row],[x]],1)="W", "West",LEFT(indian_retail_raw_1000[[#This Row],[x]],1)= "E","East",LEFT(O607,1) = "S", "South",LEFT(O607,1) = "N", "North")</f>
        <v>East</v>
      </c>
      <c r="Q607" t="s">
        <v>54</v>
      </c>
      <c r="R607" t="s">
        <v>23</v>
      </c>
      <c r="S607" t="str">
        <f>TEXT(indian_retail_raw_1000[[#This Row],[Order_Date]],"MMM")</f>
        <v>Feb</v>
      </c>
    </row>
    <row r="608" spans="1:19" x14ac:dyDescent="0.25">
      <c r="A608" t="s">
        <v>541</v>
      </c>
      <c r="B608" s="1" t="s">
        <v>1336</v>
      </c>
      <c r="C608" t="s">
        <v>152</v>
      </c>
      <c r="D608">
        <v>38</v>
      </c>
      <c r="E608" t="s">
        <v>23</v>
      </c>
      <c r="F608" t="s">
        <v>54</v>
      </c>
      <c r="G608" t="s">
        <v>88</v>
      </c>
      <c r="H608">
        <v>2</v>
      </c>
      <c r="I608">
        <v>50300</v>
      </c>
      <c r="J608">
        <v>0</v>
      </c>
      <c r="K608" t="s">
        <v>25</v>
      </c>
      <c r="L608" t="s">
        <v>51</v>
      </c>
      <c r="M6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08">
        <v>10060</v>
      </c>
      <c r="O608" t="s">
        <v>38</v>
      </c>
      <c r="P608" t="str">
        <f>_xlfn.IFS(LEFT(indian_retail_raw_1000[[#This Row],[x]],1)="W", "West",LEFT(indian_retail_raw_1000[[#This Row],[x]],1)= "E","East",LEFT(O608,1) = "S", "South",LEFT(O608,1) = "N", "North")</f>
        <v>North</v>
      </c>
      <c r="Q608" t="s">
        <v>54</v>
      </c>
      <c r="R608" t="s">
        <v>23</v>
      </c>
      <c r="S608" t="str">
        <f>TEXT(indian_retail_raw_1000[[#This Row],[Order_Date]],"MMM")</f>
        <v>Null</v>
      </c>
    </row>
    <row r="609" spans="1:19" x14ac:dyDescent="0.25">
      <c r="A609" t="s">
        <v>81</v>
      </c>
      <c r="B609" s="1">
        <v>45277</v>
      </c>
      <c r="C609" t="s">
        <v>82</v>
      </c>
      <c r="D609">
        <v>38</v>
      </c>
      <c r="E609" t="s">
        <v>16</v>
      </c>
      <c r="F609" t="s">
        <v>30</v>
      </c>
      <c r="G609" t="s">
        <v>31</v>
      </c>
      <c r="H609">
        <v>6</v>
      </c>
      <c r="I609">
        <v>2795</v>
      </c>
      <c r="J609">
        <v>40</v>
      </c>
      <c r="K609" t="s">
        <v>83</v>
      </c>
      <c r="L609" t="s">
        <v>20</v>
      </c>
      <c r="M6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9">
        <v>10062</v>
      </c>
      <c r="O609" t="s">
        <v>45</v>
      </c>
      <c r="P609" t="str">
        <f>_xlfn.IFS(LEFT(indian_retail_raw_1000[[#This Row],[x]],1)="W", "West",LEFT(indian_retail_raw_1000[[#This Row],[x]],1)= "E","East",LEFT(O609,1) = "S", "South",LEFT(O609,1) = "N", "North")</f>
        <v>East</v>
      </c>
      <c r="Q609" t="s">
        <v>30</v>
      </c>
      <c r="R609" t="s">
        <v>16</v>
      </c>
      <c r="S609" t="str">
        <f>TEXT(indian_retail_raw_1000[[#This Row],[Order_Date]],"MMM")</f>
        <v>Dec</v>
      </c>
    </row>
    <row r="610" spans="1:19" x14ac:dyDescent="0.25">
      <c r="A610" t="s">
        <v>228</v>
      </c>
      <c r="B610" s="1" t="s">
        <v>1336</v>
      </c>
      <c r="C610" t="s">
        <v>198</v>
      </c>
      <c r="D610">
        <v>45</v>
      </c>
      <c r="E610" t="s">
        <v>23</v>
      </c>
      <c r="F610" t="s">
        <v>35</v>
      </c>
      <c r="G610" t="s">
        <v>99</v>
      </c>
      <c r="H610">
        <v>9</v>
      </c>
      <c r="I610">
        <v>1244</v>
      </c>
      <c r="J610">
        <v>10</v>
      </c>
      <c r="K610" t="s">
        <v>19</v>
      </c>
      <c r="L610" t="s">
        <v>20</v>
      </c>
      <c r="M6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0">
        <v>10076.4</v>
      </c>
      <c r="O610" t="s">
        <v>21</v>
      </c>
      <c r="P610" t="str">
        <f>_xlfn.IFS(LEFT(indian_retail_raw_1000[[#This Row],[x]],1)="W", "West",LEFT(indian_retail_raw_1000[[#This Row],[x]],1)= "E","East",LEFT(O610,1) = "S", "South",LEFT(O610,1) = "N", "North")</f>
        <v>South</v>
      </c>
      <c r="Q610" t="s">
        <v>35</v>
      </c>
      <c r="R610" t="s">
        <v>23</v>
      </c>
      <c r="S610" t="str">
        <f>TEXT(indian_retail_raw_1000[[#This Row],[Order_Date]],"MMM")</f>
        <v>Null</v>
      </c>
    </row>
    <row r="611" spans="1:19" x14ac:dyDescent="0.25">
      <c r="A611" t="s">
        <v>169</v>
      </c>
      <c r="B611" s="1" t="s">
        <v>1336</v>
      </c>
      <c r="C611" t="s">
        <v>170</v>
      </c>
      <c r="E611" t="s">
        <v>171</v>
      </c>
      <c r="F611" t="s">
        <v>54</v>
      </c>
      <c r="G611" t="s">
        <v>144</v>
      </c>
      <c r="H611">
        <v>2</v>
      </c>
      <c r="I611">
        <v>56100</v>
      </c>
      <c r="J611">
        <v>10</v>
      </c>
      <c r="K611" t="s">
        <v>19</v>
      </c>
      <c r="L611" t="s">
        <v>20</v>
      </c>
      <c r="M6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1">
        <v>10098</v>
      </c>
      <c r="O611" t="s">
        <v>45</v>
      </c>
      <c r="P611" t="str">
        <f>_xlfn.IFS(LEFT(indian_retail_raw_1000[[#This Row],[x]],1)="W", "West",LEFT(indian_retail_raw_1000[[#This Row],[x]],1)= "E","East",LEFT(O611,1) = "S", "South",LEFT(O611,1) = "N", "North")</f>
        <v>East</v>
      </c>
      <c r="Q611" t="s">
        <v>54</v>
      </c>
      <c r="R611" t="s">
        <v>138</v>
      </c>
      <c r="S611" t="str">
        <f>TEXT(indian_retail_raw_1000[[#This Row],[Order_Date]],"MMM")</f>
        <v>Null</v>
      </c>
    </row>
    <row r="612" spans="1:19" x14ac:dyDescent="0.25">
      <c r="A612" t="s">
        <v>873</v>
      </c>
      <c r="B612" s="1">
        <v>45018</v>
      </c>
      <c r="C612" t="s">
        <v>207</v>
      </c>
      <c r="D612">
        <v>25</v>
      </c>
      <c r="E612" t="s">
        <v>23</v>
      </c>
      <c r="F612" t="s">
        <v>54</v>
      </c>
      <c r="G612" t="s">
        <v>92</v>
      </c>
      <c r="H612">
        <v>1</v>
      </c>
      <c r="I612">
        <v>10100</v>
      </c>
      <c r="J612">
        <v>10</v>
      </c>
      <c r="K612" t="s">
        <v>19</v>
      </c>
      <c r="L612" t="s">
        <v>20</v>
      </c>
      <c r="M6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2">
        <v>10100</v>
      </c>
      <c r="O612" t="s">
        <v>38</v>
      </c>
      <c r="P612" t="str">
        <f>_xlfn.IFS(LEFT(indian_retail_raw_1000[[#This Row],[x]],1)="W", "West",LEFT(indian_retail_raw_1000[[#This Row],[x]],1)= "E","East",LEFT(O612,1) = "S", "South",LEFT(O612,1) = "N", "North")</f>
        <v>North</v>
      </c>
      <c r="Q612" t="s">
        <v>54</v>
      </c>
      <c r="R612" t="s">
        <v>23</v>
      </c>
      <c r="S612" t="str">
        <f>TEXT(indian_retail_raw_1000[[#This Row],[Order_Date]],"MMM")</f>
        <v>Apr</v>
      </c>
    </row>
    <row r="613" spans="1:19" x14ac:dyDescent="0.25">
      <c r="A613" t="s">
        <v>948</v>
      </c>
      <c r="B613" s="1">
        <v>45245</v>
      </c>
      <c r="C613" t="s">
        <v>165</v>
      </c>
      <c r="D613">
        <v>28</v>
      </c>
      <c r="E613" t="s">
        <v>23</v>
      </c>
      <c r="F613" t="s">
        <v>30</v>
      </c>
      <c r="G613" t="s">
        <v>224</v>
      </c>
      <c r="H613">
        <v>9</v>
      </c>
      <c r="I613">
        <v>1324</v>
      </c>
      <c r="J613">
        <v>15</v>
      </c>
      <c r="K613" t="s">
        <v>50</v>
      </c>
      <c r="L613" t="s">
        <v>20</v>
      </c>
      <c r="M6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3">
        <v>10128.6</v>
      </c>
      <c r="O613" t="s">
        <v>26</v>
      </c>
      <c r="P613" t="str">
        <f>_xlfn.IFS(LEFT(indian_retail_raw_1000[[#This Row],[x]],1)="W", "West",LEFT(indian_retail_raw_1000[[#This Row],[x]],1)= "E","East",LEFT(O613,1) = "S", "South",LEFT(O613,1) = "N", "North")</f>
        <v>West</v>
      </c>
      <c r="Q613" t="s">
        <v>30</v>
      </c>
      <c r="R613" t="s">
        <v>23</v>
      </c>
      <c r="S613" t="str">
        <f>TEXT(indian_retail_raw_1000[[#This Row],[Order_Date]],"MMM")</f>
        <v>Nov</v>
      </c>
    </row>
    <row r="614" spans="1:19" x14ac:dyDescent="0.25">
      <c r="A614" t="s">
        <v>551</v>
      </c>
      <c r="B614" s="1">
        <v>45144</v>
      </c>
      <c r="C614" t="s">
        <v>1336</v>
      </c>
      <c r="D614">
        <v>18</v>
      </c>
      <c r="E614" t="s">
        <v>443</v>
      </c>
      <c r="F614" t="s">
        <v>250</v>
      </c>
      <c r="G614" t="s">
        <v>274</v>
      </c>
      <c r="H614">
        <v>3</v>
      </c>
      <c r="I614">
        <v>4250</v>
      </c>
      <c r="J614">
        <v>20</v>
      </c>
      <c r="K614" t="s">
        <v>41</v>
      </c>
      <c r="L614" t="s">
        <v>20</v>
      </c>
      <c r="M6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4">
        <v>10200</v>
      </c>
      <c r="O614" t="s">
        <v>38</v>
      </c>
      <c r="P614" t="str">
        <f>_xlfn.IFS(LEFT(indian_retail_raw_1000[[#This Row],[x]],1)="W", "West",LEFT(indian_retail_raw_1000[[#This Row],[x]],1)= "E","East",LEFT(O614,1) = "S", "South",LEFT(O614,1) = "N", "North")</f>
        <v>North</v>
      </c>
      <c r="Q614" t="s">
        <v>17</v>
      </c>
      <c r="R614" t="s">
        <v>23</v>
      </c>
      <c r="S614" t="str">
        <f>TEXT(indian_retail_raw_1000[[#This Row],[Order_Date]],"MMM")</f>
        <v>Aug</v>
      </c>
    </row>
    <row r="615" spans="1:19" x14ac:dyDescent="0.25">
      <c r="A615" t="s">
        <v>1012</v>
      </c>
      <c r="B615" s="1">
        <v>44991</v>
      </c>
      <c r="C615" t="s">
        <v>358</v>
      </c>
      <c r="D615">
        <v>47</v>
      </c>
      <c r="E615" t="s">
        <v>443</v>
      </c>
      <c r="F615" t="s">
        <v>30</v>
      </c>
      <c r="G615" t="s">
        <v>153</v>
      </c>
      <c r="H615">
        <v>8</v>
      </c>
      <c r="I615">
        <v>1705</v>
      </c>
      <c r="J615">
        <v>25</v>
      </c>
      <c r="K615" t="s">
        <v>41</v>
      </c>
      <c r="L615" t="s">
        <v>51</v>
      </c>
      <c r="M6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15">
        <v>10230</v>
      </c>
      <c r="O615" t="s">
        <v>26</v>
      </c>
      <c r="P615" t="str">
        <f>_xlfn.IFS(LEFT(indian_retail_raw_1000[[#This Row],[x]],1)="W", "West",LEFT(indian_retail_raw_1000[[#This Row],[x]],1)= "E","East",LEFT(O615,1) = "S", "South",LEFT(O615,1) = "N", "North")</f>
        <v>West</v>
      </c>
      <c r="Q615" t="s">
        <v>30</v>
      </c>
      <c r="R615" t="s">
        <v>23</v>
      </c>
      <c r="S615" t="str">
        <f>TEXT(indian_retail_raw_1000[[#This Row],[Order_Date]],"MMM")</f>
        <v>Mar</v>
      </c>
    </row>
    <row r="616" spans="1:19" x14ac:dyDescent="0.25">
      <c r="A616" t="s">
        <v>627</v>
      </c>
      <c r="B616" s="1">
        <v>45275</v>
      </c>
      <c r="C616" t="s">
        <v>628</v>
      </c>
      <c r="D616">
        <v>65</v>
      </c>
      <c r="E616" t="s">
        <v>23</v>
      </c>
      <c r="F616" t="s">
        <v>17</v>
      </c>
      <c r="G616" t="s">
        <v>80</v>
      </c>
      <c r="H616">
        <v>3</v>
      </c>
      <c r="I616">
        <v>5700</v>
      </c>
      <c r="J616">
        <v>40</v>
      </c>
      <c r="K616" t="s">
        <v>105</v>
      </c>
      <c r="L616" t="s">
        <v>20</v>
      </c>
      <c r="M6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6">
        <v>10260</v>
      </c>
      <c r="O616" t="s">
        <v>26</v>
      </c>
      <c r="P616" t="str">
        <f>_xlfn.IFS(LEFT(indian_retail_raw_1000[[#This Row],[x]],1)="W", "West",LEFT(indian_retail_raw_1000[[#This Row],[x]],1)= "E","East",LEFT(O616,1) = "S", "South",LEFT(O616,1) = "N", "North")</f>
        <v>West</v>
      </c>
      <c r="Q616" t="s">
        <v>17</v>
      </c>
      <c r="R616" t="s">
        <v>23</v>
      </c>
      <c r="S616" t="str">
        <f>TEXT(indian_retail_raw_1000[[#This Row],[Order_Date]],"MMM")</f>
        <v>Dec</v>
      </c>
    </row>
    <row r="617" spans="1:19" x14ac:dyDescent="0.25">
      <c r="A617" t="s">
        <v>825</v>
      </c>
      <c r="B617" s="1" t="s">
        <v>1336</v>
      </c>
      <c r="C617" t="s">
        <v>170</v>
      </c>
      <c r="D617">
        <v>24</v>
      </c>
      <c r="E617" t="s">
        <v>23</v>
      </c>
      <c r="F617" t="s">
        <v>35</v>
      </c>
      <c r="G617" t="s">
        <v>63</v>
      </c>
      <c r="H617">
        <v>5</v>
      </c>
      <c r="I617">
        <v>2165</v>
      </c>
      <c r="J617">
        <v>5</v>
      </c>
      <c r="K617" t="s">
        <v>41</v>
      </c>
      <c r="L617" t="s">
        <v>51</v>
      </c>
      <c r="M6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17">
        <v>10283.75</v>
      </c>
      <c r="O617" t="s">
        <v>26</v>
      </c>
      <c r="P617" t="str">
        <f>_xlfn.IFS(LEFT(indian_retail_raw_1000[[#This Row],[x]],1)="W", "West",LEFT(indian_retail_raw_1000[[#This Row],[x]],1)= "E","East",LEFT(O617,1) = "S", "South",LEFT(O617,1) = "N", "North")</f>
        <v>West</v>
      </c>
      <c r="Q617" t="s">
        <v>35</v>
      </c>
      <c r="R617" t="s">
        <v>23</v>
      </c>
      <c r="S617" t="str">
        <f>TEXT(indian_retail_raw_1000[[#This Row],[Order_Date]],"MMM")</f>
        <v>Null</v>
      </c>
    </row>
    <row r="618" spans="1:19" x14ac:dyDescent="0.25">
      <c r="A618" t="s">
        <v>1111</v>
      </c>
      <c r="B618" s="1">
        <v>45280</v>
      </c>
      <c r="C618" t="s">
        <v>28</v>
      </c>
      <c r="D618">
        <v>46</v>
      </c>
      <c r="E618" t="s">
        <v>23</v>
      </c>
      <c r="F618" t="s">
        <v>30</v>
      </c>
      <c r="G618" t="s">
        <v>153</v>
      </c>
      <c r="H618">
        <v>7</v>
      </c>
      <c r="I618">
        <v>1737</v>
      </c>
      <c r="J618">
        <v>15</v>
      </c>
      <c r="K618" t="s">
        <v>32</v>
      </c>
      <c r="L618" t="s">
        <v>56</v>
      </c>
      <c r="M6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18">
        <v>10335.15</v>
      </c>
      <c r="O618" t="s">
        <v>38</v>
      </c>
      <c r="P618" t="str">
        <f>_xlfn.IFS(LEFT(indian_retail_raw_1000[[#This Row],[x]],1)="W", "West",LEFT(indian_retail_raw_1000[[#This Row],[x]],1)= "E","East",LEFT(O618,1) = "S", "South",LEFT(O618,1) = "N", "North")</f>
        <v>North</v>
      </c>
      <c r="Q618" t="s">
        <v>30</v>
      </c>
      <c r="R618" t="s">
        <v>23</v>
      </c>
      <c r="S618" t="str">
        <f>TEXT(indian_retail_raw_1000[[#This Row],[Order_Date]],"MMM")</f>
        <v>Dec</v>
      </c>
    </row>
    <row r="619" spans="1:19" x14ac:dyDescent="0.25">
      <c r="A619" t="s">
        <v>78</v>
      </c>
      <c r="B619" s="1">
        <v>45181</v>
      </c>
      <c r="C619" t="s">
        <v>79</v>
      </c>
      <c r="D619">
        <v>23</v>
      </c>
      <c r="E619" t="s">
        <v>73</v>
      </c>
      <c r="F619" t="s">
        <v>17</v>
      </c>
      <c r="G619" t="s">
        <v>80</v>
      </c>
      <c r="H619">
        <v>3</v>
      </c>
      <c r="I619">
        <v>5750</v>
      </c>
      <c r="J619">
        <v>40</v>
      </c>
      <c r="K619" t="s">
        <v>19</v>
      </c>
      <c r="L619" t="s">
        <v>20</v>
      </c>
      <c r="M6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9">
        <v>10350</v>
      </c>
      <c r="O619" t="s">
        <v>38</v>
      </c>
      <c r="P619" t="str">
        <f>_xlfn.IFS(LEFT(indian_retail_raw_1000[[#This Row],[x]],1)="W", "West",LEFT(indian_retail_raw_1000[[#This Row],[x]],1)= "E","East",LEFT(O619,1) = "S", "South",LEFT(O619,1) = "N", "North")</f>
        <v>North</v>
      </c>
      <c r="Q619" t="s">
        <v>17</v>
      </c>
      <c r="R619" t="s">
        <v>23</v>
      </c>
      <c r="S619" t="str">
        <f>TEXT(indian_retail_raw_1000[[#This Row],[Order_Date]],"MMM")</f>
        <v>Sep</v>
      </c>
    </row>
    <row r="620" spans="1:19" x14ac:dyDescent="0.25">
      <c r="A620" t="s">
        <v>1131</v>
      </c>
      <c r="B620" s="1">
        <v>45000</v>
      </c>
      <c r="C620" t="s">
        <v>165</v>
      </c>
      <c r="D620">
        <v>53</v>
      </c>
      <c r="E620" t="s">
        <v>23</v>
      </c>
      <c r="F620" t="s">
        <v>17</v>
      </c>
      <c r="G620" t="s">
        <v>117</v>
      </c>
      <c r="H620">
        <v>2</v>
      </c>
      <c r="I620">
        <v>6150</v>
      </c>
      <c r="J620">
        <v>15</v>
      </c>
      <c r="K620" t="s">
        <v>369</v>
      </c>
      <c r="L620" t="s">
        <v>20</v>
      </c>
      <c r="M6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0">
        <v>10455</v>
      </c>
      <c r="O620" t="s">
        <v>38</v>
      </c>
      <c r="P620" t="str">
        <f>_xlfn.IFS(LEFT(indian_retail_raw_1000[[#This Row],[x]],1)="W", "West",LEFT(indian_retail_raw_1000[[#This Row],[x]],1)= "E","East",LEFT(O620,1) = "S", "South",LEFT(O620,1) = "N", "North")</f>
        <v>North</v>
      </c>
      <c r="Q620" t="s">
        <v>17</v>
      </c>
      <c r="R620" t="s">
        <v>23</v>
      </c>
      <c r="S620" t="str">
        <f>TEXT(indian_retail_raw_1000[[#This Row],[Order_Date]],"MMM")</f>
        <v>Mar</v>
      </c>
    </row>
    <row r="621" spans="1:19" x14ac:dyDescent="0.25">
      <c r="A621" t="s">
        <v>1079</v>
      </c>
      <c r="B621" s="1">
        <v>45276</v>
      </c>
      <c r="C621" t="s">
        <v>79</v>
      </c>
      <c r="D621">
        <v>36</v>
      </c>
      <c r="E621" t="s">
        <v>16</v>
      </c>
      <c r="F621" t="s">
        <v>30</v>
      </c>
      <c r="G621" t="s">
        <v>67</v>
      </c>
      <c r="H621">
        <v>6</v>
      </c>
      <c r="I621">
        <v>2329</v>
      </c>
      <c r="J621">
        <v>25</v>
      </c>
      <c r="K621" t="s">
        <v>19</v>
      </c>
      <c r="L621" t="s">
        <v>20</v>
      </c>
      <c r="M6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1">
        <v>10480.5</v>
      </c>
      <c r="O621" t="s">
        <v>45</v>
      </c>
      <c r="P621" t="str">
        <f>_xlfn.IFS(LEFT(indian_retail_raw_1000[[#This Row],[x]],1)="W", "West",LEFT(indian_retail_raw_1000[[#This Row],[x]],1)= "E","East",LEFT(O621,1) = "S", "South",LEFT(O621,1) = "N", "North")</f>
        <v>East</v>
      </c>
      <c r="Q621" t="s">
        <v>30</v>
      </c>
      <c r="R621" t="s">
        <v>16</v>
      </c>
      <c r="S621" t="str">
        <f>TEXT(indian_retail_raw_1000[[#This Row],[Order_Date]],"MMM")</f>
        <v>Dec</v>
      </c>
    </row>
    <row r="622" spans="1:19" x14ac:dyDescent="0.25">
      <c r="A622" t="s">
        <v>359</v>
      </c>
      <c r="B622" s="1">
        <v>45201</v>
      </c>
      <c r="C622" t="s">
        <v>1336</v>
      </c>
      <c r="D622">
        <v>40</v>
      </c>
      <c r="E622" t="s">
        <v>16</v>
      </c>
      <c r="F622" t="s">
        <v>17</v>
      </c>
      <c r="G622" t="s">
        <v>117</v>
      </c>
      <c r="H622">
        <v>2</v>
      </c>
      <c r="I622">
        <v>5600</v>
      </c>
      <c r="J622">
        <v>5</v>
      </c>
      <c r="K622" t="s">
        <v>50</v>
      </c>
      <c r="L622" t="s">
        <v>20</v>
      </c>
      <c r="M6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2">
        <v>10640</v>
      </c>
      <c r="O622" t="s">
        <v>45</v>
      </c>
      <c r="P622" t="str">
        <f>_xlfn.IFS(LEFT(indian_retail_raw_1000[[#This Row],[x]],1)="W", "West",LEFT(indian_retail_raw_1000[[#This Row],[x]],1)= "E","East",LEFT(O622,1) = "S", "South",LEFT(O622,1) = "N", "North")</f>
        <v>East</v>
      </c>
      <c r="Q622" t="s">
        <v>17</v>
      </c>
      <c r="R622" t="s">
        <v>16</v>
      </c>
      <c r="S622" t="str">
        <f>TEXT(indian_retail_raw_1000[[#This Row],[Order_Date]],"MMM")</f>
        <v>Oct</v>
      </c>
    </row>
    <row r="623" spans="1:19" x14ac:dyDescent="0.25">
      <c r="A623" t="s">
        <v>1044</v>
      </c>
      <c r="B623" s="1">
        <v>44929</v>
      </c>
      <c r="C623" t="s">
        <v>170</v>
      </c>
      <c r="D623">
        <v>27</v>
      </c>
      <c r="E623" t="s">
        <v>23</v>
      </c>
      <c r="F623" t="s">
        <v>608</v>
      </c>
      <c r="G623" t="s">
        <v>77</v>
      </c>
      <c r="H623">
        <v>1</v>
      </c>
      <c r="I623">
        <v>15200</v>
      </c>
      <c r="J623">
        <v>30</v>
      </c>
      <c r="K623" t="s">
        <v>41</v>
      </c>
      <c r="L623" t="s">
        <v>20</v>
      </c>
      <c r="M6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3">
        <v>10640</v>
      </c>
      <c r="O623" t="s">
        <v>45</v>
      </c>
      <c r="P623" t="str">
        <f>_xlfn.IFS(LEFT(indian_retail_raw_1000[[#This Row],[x]],1)="W", "West",LEFT(indian_retail_raw_1000[[#This Row],[x]],1)= "E","East",LEFT(O623,1) = "S", "South",LEFT(O623,1) = "N", "North")</f>
        <v>East</v>
      </c>
      <c r="Q623" t="s">
        <v>54</v>
      </c>
      <c r="R623" t="s">
        <v>23</v>
      </c>
      <c r="S623" t="str">
        <f>TEXT(indian_retail_raw_1000[[#This Row],[Order_Date]],"MMM")</f>
        <v>Jan</v>
      </c>
    </row>
    <row r="624" spans="1:19" x14ac:dyDescent="0.25">
      <c r="A624" t="s">
        <v>292</v>
      </c>
      <c r="B624" s="1">
        <v>45218</v>
      </c>
      <c r="C624" t="s">
        <v>243</v>
      </c>
      <c r="D624">
        <v>46</v>
      </c>
      <c r="E624" t="s">
        <v>16</v>
      </c>
      <c r="F624" t="s">
        <v>30</v>
      </c>
      <c r="G624" t="s">
        <v>130</v>
      </c>
      <c r="H624">
        <v>5</v>
      </c>
      <c r="I624">
        <v>2135</v>
      </c>
      <c r="J624">
        <v>0</v>
      </c>
      <c r="K624" t="s">
        <v>50</v>
      </c>
      <c r="L624" t="s">
        <v>51</v>
      </c>
      <c r="M6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24">
        <v>10675</v>
      </c>
      <c r="O624" t="s">
        <v>45</v>
      </c>
      <c r="P624" t="str">
        <f>_xlfn.IFS(LEFT(indian_retail_raw_1000[[#This Row],[x]],1)="W", "West",LEFT(indian_retail_raw_1000[[#This Row],[x]],1)= "E","East",LEFT(O624,1) = "S", "South",LEFT(O624,1) = "N", "North")</f>
        <v>East</v>
      </c>
      <c r="Q624" t="s">
        <v>30</v>
      </c>
      <c r="R624" t="s">
        <v>16</v>
      </c>
      <c r="S624" t="str">
        <f>TEXT(indian_retail_raw_1000[[#This Row],[Order_Date]],"MMM")</f>
        <v>Oct</v>
      </c>
    </row>
    <row r="625" spans="1:19" x14ac:dyDescent="0.25">
      <c r="A625" t="s">
        <v>850</v>
      </c>
      <c r="B625" s="1" t="s">
        <v>1336</v>
      </c>
      <c r="C625" t="s">
        <v>66</v>
      </c>
      <c r="D625">
        <v>19</v>
      </c>
      <c r="E625" t="s">
        <v>475</v>
      </c>
      <c r="F625" t="s">
        <v>30</v>
      </c>
      <c r="G625" t="s">
        <v>218</v>
      </c>
      <c r="H625">
        <v>5</v>
      </c>
      <c r="I625">
        <v>2191</v>
      </c>
      <c r="J625">
        <v>0</v>
      </c>
      <c r="K625" t="s">
        <v>50</v>
      </c>
      <c r="L625" t="s">
        <v>20</v>
      </c>
      <c r="M6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5">
        <v>10955</v>
      </c>
      <c r="O625" t="s">
        <v>45</v>
      </c>
      <c r="P625" t="str">
        <f>_xlfn.IFS(LEFT(indian_retail_raw_1000[[#This Row],[x]],1)="W", "West",LEFT(indian_retail_raw_1000[[#This Row],[x]],1)= "E","East",LEFT(O625,1) = "S", "South",LEFT(O625,1) = "N", "North")</f>
        <v>East</v>
      </c>
      <c r="Q625" t="s">
        <v>30</v>
      </c>
      <c r="R625" t="s">
        <v>138</v>
      </c>
      <c r="S625" t="str">
        <f>TEXT(indian_retail_raw_1000[[#This Row],[Order_Date]],"MMM")</f>
        <v>Null</v>
      </c>
    </row>
    <row r="626" spans="1:19" x14ac:dyDescent="0.25">
      <c r="A626" t="s">
        <v>1298</v>
      </c>
      <c r="B626" s="1">
        <v>44969</v>
      </c>
      <c r="C626" t="s">
        <v>142</v>
      </c>
      <c r="D626">
        <v>20</v>
      </c>
      <c r="E626" t="s">
        <v>23</v>
      </c>
      <c r="F626" t="s">
        <v>30</v>
      </c>
      <c r="G626" t="s">
        <v>67</v>
      </c>
      <c r="H626">
        <v>5</v>
      </c>
      <c r="I626">
        <v>2318</v>
      </c>
      <c r="J626">
        <v>5</v>
      </c>
      <c r="K626" t="s">
        <v>41</v>
      </c>
      <c r="L626" t="s">
        <v>56</v>
      </c>
      <c r="M6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26">
        <v>11010.5</v>
      </c>
      <c r="O626" t="s">
        <v>33</v>
      </c>
      <c r="P626" t="str">
        <f>_xlfn.IFS(LEFT(indian_retail_raw_1000[[#This Row],[x]],1)="W", "West",LEFT(indian_retail_raw_1000[[#This Row],[x]],1)= "E","East",LEFT(O626,1) = "S", "South",LEFT(O626,1) = "N", "North")</f>
        <v>West</v>
      </c>
      <c r="Q626" t="s">
        <v>30</v>
      </c>
      <c r="R626" t="s">
        <v>23</v>
      </c>
      <c r="S626" t="str">
        <f>TEXT(indian_retail_raw_1000[[#This Row],[Order_Date]],"MMM")</f>
        <v>Feb</v>
      </c>
    </row>
    <row r="627" spans="1:19" x14ac:dyDescent="0.25">
      <c r="A627" t="s">
        <v>585</v>
      </c>
      <c r="B627" s="1" t="s">
        <v>1336</v>
      </c>
      <c r="C627" t="s">
        <v>1336</v>
      </c>
      <c r="D627">
        <v>23</v>
      </c>
      <c r="E627" t="s">
        <v>16</v>
      </c>
      <c r="F627" t="s">
        <v>91</v>
      </c>
      <c r="G627" t="s">
        <v>77</v>
      </c>
      <c r="H627">
        <v>1</v>
      </c>
      <c r="I627">
        <v>18400</v>
      </c>
      <c r="J627">
        <v>40</v>
      </c>
      <c r="K627" t="s">
        <v>41</v>
      </c>
      <c r="L627" t="s">
        <v>20</v>
      </c>
      <c r="M6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7">
        <v>11040</v>
      </c>
      <c r="O627" t="s">
        <v>26</v>
      </c>
      <c r="P627" t="str">
        <f>_xlfn.IFS(LEFT(indian_retail_raw_1000[[#This Row],[x]],1)="W", "West",LEFT(indian_retail_raw_1000[[#This Row],[x]],1)= "E","East",LEFT(O627,1) = "S", "South",LEFT(O627,1) = "N", "North")</f>
        <v>West</v>
      </c>
      <c r="Q627" t="s">
        <v>54</v>
      </c>
      <c r="R627" t="s">
        <v>16</v>
      </c>
      <c r="S627" t="str">
        <f>TEXT(indian_retail_raw_1000[[#This Row],[Order_Date]],"MMM")</f>
        <v>Null</v>
      </c>
    </row>
    <row r="628" spans="1:19" x14ac:dyDescent="0.25">
      <c r="A628" t="s">
        <v>578</v>
      </c>
      <c r="B628" s="1">
        <v>44967</v>
      </c>
      <c r="C628" t="s">
        <v>579</v>
      </c>
      <c r="D628">
        <v>53</v>
      </c>
      <c r="E628" t="s">
        <v>16</v>
      </c>
      <c r="F628" t="s">
        <v>35</v>
      </c>
      <c r="G628" t="s">
        <v>203</v>
      </c>
      <c r="H628">
        <v>9</v>
      </c>
      <c r="I628">
        <v>1242</v>
      </c>
      <c r="J628">
        <v>0</v>
      </c>
      <c r="K628" t="s">
        <v>19</v>
      </c>
      <c r="L628" t="s">
        <v>51</v>
      </c>
      <c r="M6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28">
        <v>11178</v>
      </c>
      <c r="O628" t="s">
        <v>21</v>
      </c>
      <c r="P628" t="str">
        <f>_xlfn.IFS(LEFT(indian_retail_raw_1000[[#This Row],[x]],1)="W", "West",LEFT(indian_retail_raw_1000[[#This Row],[x]],1)= "E","East",LEFT(O628,1) = "S", "South",LEFT(O628,1) = "N", "North")</f>
        <v>South</v>
      </c>
      <c r="Q628" t="s">
        <v>35</v>
      </c>
      <c r="R628" t="s">
        <v>16</v>
      </c>
      <c r="S628" t="str">
        <f>TEXT(indian_retail_raw_1000[[#This Row],[Order_Date]],"MMM")</f>
        <v>Feb</v>
      </c>
    </row>
    <row r="629" spans="1:19" x14ac:dyDescent="0.25">
      <c r="A629" t="s">
        <v>333</v>
      </c>
      <c r="B629" s="1" t="s">
        <v>1336</v>
      </c>
      <c r="C629" t="s">
        <v>53</v>
      </c>
      <c r="D629">
        <v>45</v>
      </c>
      <c r="E629" t="s">
        <v>23</v>
      </c>
      <c r="F629" t="s">
        <v>291</v>
      </c>
      <c r="G629" t="s">
        <v>259</v>
      </c>
      <c r="H629">
        <v>3</v>
      </c>
      <c r="I629">
        <v>3750</v>
      </c>
      <c r="K629" t="s">
        <v>19</v>
      </c>
      <c r="L629" t="s">
        <v>51</v>
      </c>
      <c r="M6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29">
        <v>11250</v>
      </c>
      <c r="O629" t="s">
        <v>38</v>
      </c>
      <c r="P629" t="str">
        <f>_xlfn.IFS(LEFT(indian_retail_raw_1000[[#This Row],[x]],1)="W", "West",LEFT(indian_retail_raw_1000[[#This Row],[x]],1)= "E","East",LEFT(O629,1) = "S", "South",LEFT(O629,1) = "N", "North")</f>
        <v>North</v>
      </c>
      <c r="Q629" t="s">
        <v>17</v>
      </c>
      <c r="R629" t="s">
        <v>23</v>
      </c>
      <c r="S629" t="str">
        <f>TEXT(indian_retail_raw_1000[[#This Row],[Order_Date]],"MMM")</f>
        <v>Null</v>
      </c>
    </row>
    <row r="630" spans="1:19" x14ac:dyDescent="0.25">
      <c r="A630" t="s">
        <v>296</v>
      </c>
      <c r="B630" s="1" t="s">
        <v>1336</v>
      </c>
      <c r="C630" t="s">
        <v>1336</v>
      </c>
      <c r="D630">
        <v>32</v>
      </c>
      <c r="E630" t="s">
        <v>16</v>
      </c>
      <c r="F630" t="s">
        <v>17</v>
      </c>
      <c r="G630" t="s">
        <v>297</v>
      </c>
      <c r="H630">
        <v>2</v>
      </c>
      <c r="I630">
        <v>5650</v>
      </c>
      <c r="J630">
        <v>0</v>
      </c>
      <c r="K630" t="s">
        <v>41</v>
      </c>
      <c r="L630" t="s">
        <v>20</v>
      </c>
      <c r="M6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0">
        <v>11300</v>
      </c>
      <c r="O630" t="s">
        <v>26</v>
      </c>
      <c r="P630" t="str">
        <f>_xlfn.IFS(LEFT(indian_retail_raw_1000[[#This Row],[x]],1)="W", "West",LEFT(indian_retail_raw_1000[[#This Row],[x]],1)= "E","East",LEFT(O630,1) = "S", "South",LEFT(O630,1) = "N", "North")</f>
        <v>West</v>
      </c>
      <c r="Q630" t="s">
        <v>17</v>
      </c>
      <c r="R630" t="s">
        <v>16</v>
      </c>
      <c r="S630" t="str">
        <f>TEXT(indian_retail_raw_1000[[#This Row],[Order_Date]],"MMM")</f>
        <v>Null</v>
      </c>
    </row>
    <row r="631" spans="1:19" x14ac:dyDescent="0.25">
      <c r="A631" t="s">
        <v>321</v>
      </c>
      <c r="B631" s="1">
        <v>45269</v>
      </c>
      <c r="C631" t="s">
        <v>128</v>
      </c>
      <c r="D631">
        <v>62</v>
      </c>
      <c r="E631" t="s">
        <v>138</v>
      </c>
      <c r="F631" t="s">
        <v>54</v>
      </c>
      <c r="G631" t="s">
        <v>92</v>
      </c>
      <c r="H631">
        <v>1</v>
      </c>
      <c r="I631">
        <v>13300</v>
      </c>
      <c r="J631">
        <v>15</v>
      </c>
      <c r="K631" t="s">
        <v>41</v>
      </c>
      <c r="L631" t="s">
        <v>107</v>
      </c>
      <c r="M6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1">
        <v>11305</v>
      </c>
      <c r="O631" t="s">
        <v>108</v>
      </c>
      <c r="P631" t="str">
        <f>_xlfn.IFS(LEFT(indian_retail_raw_1000[[#This Row],[x]],1)="W", "West",LEFT(indian_retail_raw_1000[[#This Row],[x]],1)= "E","East",LEFT(O631,1) = "S", "South",LEFT(O631,1) = "N", "North")</f>
        <v>East</v>
      </c>
      <c r="Q631" t="s">
        <v>54</v>
      </c>
      <c r="R631" t="s">
        <v>138</v>
      </c>
      <c r="S631" t="str">
        <f>TEXT(indian_retail_raw_1000[[#This Row],[Order_Date]],"MMM")</f>
        <v>Dec</v>
      </c>
    </row>
    <row r="632" spans="1:19" x14ac:dyDescent="0.25">
      <c r="A632" t="s">
        <v>594</v>
      </c>
      <c r="B632" s="1" t="s">
        <v>1336</v>
      </c>
      <c r="C632" t="s">
        <v>1336</v>
      </c>
      <c r="D632">
        <v>28</v>
      </c>
      <c r="E632" t="s">
        <v>16</v>
      </c>
      <c r="F632" t="s">
        <v>30</v>
      </c>
      <c r="G632" t="s">
        <v>540</v>
      </c>
      <c r="H632">
        <v>4</v>
      </c>
      <c r="I632">
        <v>2978</v>
      </c>
      <c r="J632">
        <v>5</v>
      </c>
      <c r="K632" t="s">
        <v>25</v>
      </c>
      <c r="L632" t="s">
        <v>20</v>
      </c>
      <c r="M6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2">
        <v>11316.4</v>
      </c>
      <c r="O632" t="s">
        <v>295</v>
      </c>
      <c r="P632" t="str">
        <f>_xlfn.IFS(LEFT(indian_retail_raw_1000[[#This Row],[x]],1)="W", "West",LEFT(indian_retail_raw_1000[[#This Row],[x]],1)= "E","East",LEFT(O632,1) = "S", "South",LEFT(O632,1) = "N", "North")</f>
        <v>East</v>
      </c>
      <c r="Q632" t="s">
        <v>30</v>
      </c>
      <c r="R632" t="s">
        <v>16</v>
      </c>
      <c r="S632" t="str">
        <f>TEXT(indian_retail_raw_1000[[#This Row],[Order_Date]],"MMM")</f>
        <v>Null</v>
      </c>
    </row>
    <row r="633" spans="1:19" x14ac:dyDescent="0.25">
      <c r="A633" t="s">
        <v>1149</v>
      </c>
      <c r="B633" s="1">
        <v>45062</v>
      </c>
      <c r="C633" t="s">
        <v>76</v>
      </c>
      <c r="D633">
        <v>20</v>
      </c>
      <c r="E633" t="s">
        <v>23</v>
      </c>
      <c r="F633" t="s">
        <v>17</v>
      </c>
      <c r="G633" t="s">
        <v>297</v>
      </c>
      <c r="H633">
        <v>3</v>
      </c>
      <c r="I633">
        <v>7550</v>
      </c>
      <c r="J633">
        <v>50</v>
      </c>
      <c r="K633" t="s">
        <v>19</v>
      </c>
      <c r="L633" t="s">
        <v>20</v>
      </c>
      <c r="M6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3">
        <v>11325</v>
      </c>
      <c r="O633" t="s">
        <v>21</v>
      </c>
      <c r="P633" t="str">
        <f>_xlfn.IFS(LEFT(indian_retail_raw_1000[[#This Row],[x]],1)="W", "West",LEFT(indian_retail_raw_1000[[#This Row],[x]],1)= "E","East",LEFT(O633,1) = "S", "South",LEFT(O633,1) = "N", "North")</f>
        <v>South</v>
      </c>
      <c r="Q633" t="s">
        <v>17</v>
      </c>
      <c r="R633" t="s">
        <v>23</v>
      </c>
      <c r="S633" t="str">
        <f>TEXT(indian_retail_raw_1000[[#This Row],[Order_Date]],"MMM")</f>
        <v>May</v>
      </c>
    </row>
    <row r="634" spans="1:19" x14ac:dyDescent="0.25">
      <c r="A634" t="s">
        <v>687</v>
      </c>
      <c r="B634" s="1">
        <v>45026</v>
      </c>
      <c r="C634" t="s">
        <v>1336</v>
      </c>
      <c r="D634">
        <v>48</v>
      </c>
      <c r="E634" t="s">
        <v>138</v>
      </c>
      <c r="F634" t="s">
        <v>17</v>
      </c>
      <c r="G634" t="s">
        <v>297</v>
      </c>
      <c r="H634">
        <v>2</v>
      </c>
      <c r="I634">
        <v>5700</v>
      </c>
      <c r="J634">
        <v>25</v>
      </c>
      <c r="K634" t="s">
        <v>25</v>
      </c>
      <c r="L634" t="s">
        <v>51</v>
      </c>
      <c r="M6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34">
        <v>11400</v>
      </c>
      <c r="O634" t="s">
        <v>38</v>
      </c>
      <c r="P634" t="str">
        <f>_xlfn.IFS(LEFT(indian_retail_raw_1000[[#This Row],[x]],1)="W", "West",LEFT(indian_retail_raw_1000[[#This Row],[x]],1)= "E","East",LEFT(O634,1) = "S", "South",LEFT(O634,1) = "N", "North")</f>
        <v>North</v>
      </c>
      <c r="Q634" t="s">
        <v>17</v>
      </c>
      <c r="R634" t="s">
        <v>138</v>
      </c>
      <c r="S634" t="str">
        <f>TEXT(indian_retail_raw_1000[[#This Row],[Order_Date]],"MMM")</f>
        <v>Apr</v>
      </c>
    </row>
    <row r="635" spans="1:19" x14ac:dyDescent="0.25">
      <c r="A635" t="s">
        <v>749</v>
      </c>
      <c r="B635" s="1">
        <v>45080</v>
      </c>
      <c r="C635" t="s">
        <v>156</v>
      </c>
      <c r="D635">
        <v>48</v>
      </c>
      <c r="E635" t="s">
        <v>16</v>
      </c>
      <c r="F635" t="s">
        <v>17</v>
      </c>
      <c r="G635" t="s">
        <v>124</v>
      </c>
      <c r="H635">
        <v>2</v>
      </c>
      <c r="I635">
        <v>5700</v>
      </c>
      <c r="J635">
        <v>0</v>
      </c>
      <c r="K635" t="s">
        <v>261</v>
      </c>
      <c r="L635" t="s">
        <v>20</v>
      </c>
      <c r="M6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5">
        <v>11400</v>
      </c>
      <c r="O635" t="s">
        <v>45</v>
      </c>
      <c r="P635" t="str">
        <f>_xlfn.IFS(LEFT(indian_retail_raw_1000[[#This Row],[x]],1)="W", "West",LEFT(indian_retail_raw_1000[[#This Row],[x]],1)= "E","East",LEFT(O635,1) = "S", "South",LEFT(O635,1) = "N", "North")</f>
        <v>East</v>
      </c>
      <c r="Q635" t="s">
        <v>17</v>
      </c>
      <c r="R635" t="s">
        <v>16</v>
      </c>
      <c r="S635" t="str">
        <f>TEXT(indian_retail_raw_1000[[#This Row],[Order_Date]],"MMM")</f>
        <v>Jun</v>
      </c>
    </row>
    <row r="636" spans="1:19" x14ac:dyDescent="0.25">
      <c r="A636" t="s">
        <v>1085</v>
      </c>
      <c r="B636" s="1" t="s">
        <v>1336</v>
      </c>
      <c r="C636" t="s">
        <v>217</v>
      </c>
      <c r="E636" t="s">
        <v>29</v>
      </c>
      <c r="F636" t="s">
        <v>17</v>
      </c>
      <c r="G636" t="s">
        <v>117</v>
      </c>
      <c r="H636">
        <v>2</v>
      </c>
      <c r="I636">
        <v>5700</v>
      </c>
      <c r="J636">
        <v>0</v>
      </c>
      <c r="K636" t="s">
        <v>50</v>
      </c>
      <c r="L636" t="s">
        <v>20</v>
      </c>
      <c r="M6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6">
        <v>11400</v>
      </c>
      <c r="O636" t="s">
        <v>26</v>
      </c>
      <c r="P636" t="str">
        <f>_xlfn.IFS(LEFT(indian_retail_raw_1000[[#This Row],[x]],1)="W", "West",LEFT(indian_retail_raw_1000[[#This Row],[x]],1)= "E","East",LEFT(O636,1) = "S", "South",LEFT(O636,1) = "N", "North")</f>
        <v>West</v>
      </c>
      <c r="Q636" t="s">
        <v>17</v>
      </c>
      <c r="R636" t="s">
        <v>16</v>
      </c>
      <c r="S636" t="str">
        <f>TEXT(indian_retail_raw_1000[[#This Row],[Order_Date]],"MMM")</f>
        <v>Null</v>
      </c>
    </row>
    <row r="637" spans="1:19" x14ac:dyDescent="0.25">
      <c r="A637" t="s">
        <v>457</v>
      </c>
      <c r="B637" s="1">
        <v>45179</v>
      </c>
      <c r="C637" t="s">
        <v>176</v>
      </c>
      <c r="D637">
        <v>200</v>
      </c>
      <c r="E637" t="s">
        <v>23</v>
      </c>
      <c r="F637" t="s">
        <v>254</v>
      </c>
      <c r="G637" t="s">
        <v>104</v>
      </c>
      <c r="H637">
        <v>2</v>
      </c>
      <c r="I637">
        <v>11500</v>
      </c>
      <c r="J637">
        <v>50</v>
      </c>
      <c r="K637" t="s">
        <v>50</v>
      </c>
      <c r="L637" t="s">
        <v>51</v>
      </c>
      <c r="M6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37">
        <v>11500</v>
      </c>
      <c r="O637" t="s">
        <v>45</v>
      </c>
      <c r="P637" t="str">
        <f>_xlfn.IFS(LEFT(indian_retail_raw_1000[[#This Row],[x]],1)="W", "West",LEFT(indian_retail_raw_1000[[#This Row],[x]],1)= "E","East",LEFT(O637,1) = "S", "South",LEFT(O637,1) = "N", "North")</f>
        <v>East</v>
      </c>
      <c r="Q637" t="s">
        <v>54</v>
      </c>
      <c r="R637" t="s">
        <v>23</v>
      </c>
      <c r="S637" t="str">
        <f>TEXT(indian_retail_raw_1000[[#This Row],[Order_Date]],"MMM")</f>
        <v>Sep</v>
      </c>
    </row>
    <row r="638" spans="1:19" x14ac:dyDescent="0.25">
      <c r="A638" t="s">
        <v>457</v>
      </c>
      <c r="B638" s="1">
        <v>45179</v>
      </c>
      <c r="C638" t="s">
        <v>176</v>
      </c>
      <c r="D638">
        <v>200</v>
      </c>
      <c r="E638" t="s">
        <v>23</v>
      </c>
      <c r="F638" t="s">
        <v>254</v>
      </c>
      <c r="G638" t="s">
        <v>104</v>
      </c>
      <c r="H638">
        <v>2</v>
      </c>
      <c r="I638">
        <v>11500</v>
      </c>
      <c r="J638">
        <v>50</v>
      </c>
      <c r="K638" t="s">
        <v>50</v>
      </c>
      <c r="L638" t="s">
        <v>51</v>
      </c>
      <c r="M6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38">
        <v>11500</v>
      </c>
      <c r="O638" t="s">
        <v>45</v>
      </c>
      <c r="P638" t="str">
        <f>_xlfn.IFS(LEFT(indian_retail_raw_1000[[#This Row],[x]],1)="W", "West",LEFT(indian_retail_raw_1000[[#This Row],[x]],1)= "E","East",LEFT(O638,1) = "S", "South",LEFT(O638,1) = "N", "North")</f>
        <v>East</v>
      </c>
      <c r="Q638" t="s">
        <v>54</v>
      </c>
      <c r="R638" t="s">
        <v>23</v>
      </c>
      <c r="S638" t="str">
        <f>TEXT(indian_retail_raw_1000[[#This Row],[Order_Date]],"MMM")</f>
        <v>Sep</v>
      </c>
    </row>
    <row r="639" spans="1:19" x14ac:dyDescent="0.25">
      <c r="A639" t="s">
        <v>554</v>
      </c>
      <c r="B639" s="1">
        <v>45271</v>
      </c>
      <c r="C639" t="s">
        <v>102</v>
      </c>
      <c r="D639">
        <v>56</v>
      </c>
      <c r="E639" t="s">
        <v>16</v>
      </c>
      <c r="F639" t="s">
        <v>17</v>
      </c>
      <c r="G639" t="s">
        <v>124</v>
      </c>
      <c r="H639">
        <v>3</v>
      </c>
      <c r="I639">
        <v>7700</v>
      </c>
      <c r="J639">
        <v>50</v>
      </c>
      <c r="K639" t="s">
        <v>50</v>
      </c>
      <c r="L639" t="s">
        <v>20</v>
      </c>
      <c r="M6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9">
        <v>11550</v>
      </c>
      <c r="O639" t="s">
        <v>356</v>
      </c>
      <c r="P639" t="str">
        <f>_xlfn.IFS(LEFT(indian_retail_raw_1000[[#This Row],[x]],1)="W", "West",LEFT(indian_retail_raw_1000[[#This Row],[x]],1)= "E","East",LEFT(O639,1) = "S", "South",LEFT(O639,1) = "N", "North")</f>
        <v>East</v>
      </c>
      <c r="Q639" t="s">
        <v>17</v>
      </c>
      <c r="R639" t="s">
        <v>16</v>
      </c>
      <c r="S639" t="str">
        <f>TEXT(indian_retail_raw_1000[[#This Row],[Order_Date]],"MMM")</f>
        <v>Dec</v>
      </c>
    </row>
    <row r="640" spans="1:19" x14ac:dyDescent="0.25">
      <c r="A640" t="s">
        <v>1187</v>
      </c>
      <c r="B640" s="1">
        <v>45207</v>
      </c>
      <c r="C640" t="s">
        <v>165</v>
      </c>
      <c r="D640">
        <v>44</v>
      </c>
      <c r="E640" t="s">
        <v>16</v>
      </c>
      <c r="F640" t="s">
        <v>510</v>
      </c>
      <c r="G640" t="s">
        <v>282</v>
      </c>
      <c r="H640">
        <v>1</v>
      </c>
      <c r="I640">
        <v>16500</v>
      </c>
      <c r="J640">
        <v>30</v>
      </c>
      <c r="K640" t="s">
        <v>25</v>
      </c>
      <c r="L640" t="s">
        <v>51</v>
      </c>
      <c r="M6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40">
        <v>11550</v>
      </c>
      <c r="O640" t="s">
        <v>38</v>
      </c>
      <c r="P640" t="str">
        <f>_xlfn.IFS(LEFT(indian_retail_raw_1000[[#This Row],[x]],1)="W", "West",LEFT(indian_retail_raw_1000[[#This Row],[x]],1)= "E","East",LEFT(O640,1) = "S", "South",LEFT(O640,1) = "N", "North")</f>
        <v>North</v>
      </c>
      <c r="Q640" t="s">
        <v>54</v>
      </c>
      <c r="R640" t="s">
        <v>16</v>
      </c>
      <c r="S640" t="str">
        <f>TEXT(indian_retail_raw_1000[[#This Row],[Order_Date]],"MMM")</f>
        <v>Oct</v>
      </c>
    </row>
    <row r="641" spans="1:19" x14ac:dyDescent="0.25">
      <c r="A641" t="s">
        <v>191</v>
      </c>
      <c r="B641" s="1">
        <v>45139</v>
      </c>
      <c r="C641" t="s">
        <v>192</v>
      </c>
      <c r="D641">
        <v>31</v>
      </c>
      <c r="E641" t="s">
        <v>23</v>
      </c>
      <c r="F641" t="s">
        <v>30</v>
      </c>
      <c r="G641" t="s">
        <v>130</v>
      </c>
      <c r="H641">
        <v>10</v>
      </c>
      <c r="I641">
        <v>1926</v>
      </c>
      <c r="J641">
        <v>40</v>
      </c>
      <c r="K641" t="s">
        <v>41</v>
      </c>
      <c r="L641" t="s">
        <v>20</v>
      </c>
      <c r="M6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1">
        <v>11556</v>
      </c>
      <c r="O641" t="s">
        <v>26</v>
      </c>
      <c r="P641" t="str">
        <f>_xlfn.IFS(LEFT(indian_retail_raw_1000[[#This Row],[x]],1)="W", "West",LEFT(indian_retail_raw_1000[[#This Row],[x]],1)= "E","East",LEFT(O641,1) = "S", "South",LEFT(O641,1) = "N", "North")</f>
        <v>West</v>
      </c>
      <c r="Q641" t="s">
        <v>30</v>
      </c>
      <c r="R641" t="s">
        <v>23</v>
      </c>
      <c r="S641" t="str">
        <f>TEXT(indian_retail_raw_1000[[#This Row],[Order_Date]],"MMM")</f>
        <v>Aug</v>
      </c>
    </row>
    <row r="642" spans="1:19" x14ac:dyDescent="0.25">
      <c r="A642" t="s">
        <v>781</v>
      </c>
      <c r="B642" s="1">
        <v>44995</v>
      </c>
      <c r="C642" t="s">
        <v>165</v>
      </c>
      <c r="D642">
        <v>56</v>
      </c>
      <c r="E642" t="s">
        <v>16</v>
      </c>
      <c r="F642" t="s">
        <v>220</v>
      </c>
      <c r="G642" t="s">
        <v>195</v>
      </c>
      <c r="H642">
        <v>4</v>
      </c>
      <c r="I642">
        <v>3622</v>
      </c>
      <c r="J642">
        <v>20</v>
      </c>
      <c r="K642" t="s">
        <v>41</v>
      </c>
      <c r="L642" t="s">
        <v>20</v>
      </c>
      <c r="M6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2">
        <v>11590.4</v>
      </c>
      <c r="O642" t="s">
        <v>38</v>
      </c>
      <c r="P642" t="str">
        <f>_xlfn.IFS(LEFT(indian_retail_raw_1000[[#This Row],[x]],1)="W", "West",LEFT(indian_retail_raw_1000[[#This Row],[x]],1)= "E","East",LEFT(O642,1) = "S", "South",LEFT(O642,1) = "N", "North")</f>
        <v>North</v>
      </c>
      <c r="Q642" t="s">
        <v>30</v>
      </c>
      <c r="R642" t="s">
        <v>16</v>
      </c>
      <c r="S642" t="str">
        <f>TEXT(indian_retail_raw_1000[[#This Row],[Order_Date]],"MMM")</f>
        <v>Mar</v>
      </c>
    </row>
    <row r="643" spans="1:19" x14ac:dyDescent="0.25">
      <c r="A643" t="s">
        <v>803</v>
      </c>
      <c r="B643" s="1">
        <v>45035</v>
      </c>
      <c r="C643" t="s">
        <v>142</v>
      </c>
      <c r="D643">
        <v>33</v>
      </c>
      <c r="E643" t="s">
        <v>23</v>
      </c>
      <c r="F643" t="s">
        <v>103</v>
      </c>
      <c r="G643" t="s">
        <v>199</v>
      </c>
      <c r="H643">
        <v>2</v>
      </c>
      <c r="I643">
        <v>61200</v>
      </c>
      <c r="J643">
        <v>5</v>
      </c>
      <c r="K643" t="s">
        <v>381</v>
      </c>
      <c r="L643" t="s">
        <v>20</v>
      </c>
      <c r="M6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3">
        <v>11628</v>
      </c>
      <c r="O643" t="s">
        <v>74</v>
      </c>
      <c r="P643" t="str">
        <f>_xlfn.IFS(LEFT(indian_retail_raw_1000[[#This Row],[x]],1)="W", "West",LEFT(indian_retail_raw_1000[[#This Row],[x]],1)= "E","East",LEFT(O643,1) = "S", "South",LEFT(O643,1) = "N", "North")</f>
        <v>West</v>
      </c>
      <c r="Q643" t="s">
        <v>54</v>
      </c>
      <c r="R643" t="s">
        <v>23</v>
      </c>
      <c r="S643" t="str">
        <f>TEXT(indian_retail_raw_1000[[#This Row],[Order_Date]],"MMM")</f>
        <v>Apr</v>
      </c>
    </row>
    <row r="644" spans="1:19" x14ac:dyDescent="0.25">
      <c r="A644" t="s">
        <v>374</v>
      </c>
      <c r="B644" s="1">
        <v>45059</v>
      </c>
      <c r="C644" t="s">
        <v>28</v>
      </c>
      <c r="D644">
        <v>48</v>
      </c>
      <c r="E644" t="s">
        <v>23</v>
      </c>
      <c r="F644" t="s">
        <v>30</v>
      </c>
      <c r="G644" t="s">
        <v>130</v>
      </c>
      <c r="H644">
        <v>5</v>
      </c>
      <c r="I644">
        <v>3333</v>
      </c>
      <c r="J644">
        <v>30</v>
      </c>
      <c r="K644" t="s">
        <v>41</v>
      </c>
      <c r="L644" t="s">
        <v>20</v>
      </c>
      <c r="M6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4">
        <v>11665.5</v>
      </c>
      <c r="O644" t="s">
        <v>375</v>
      </c>
      <c r="P644" t="str">
        <f>_xlfn.IFS(LEFT(indian_retail_raw_1000[[#This Row],[x]],1)="W", "West",LEFT(indian_retail_raw_1000[[#This Row],[x]],1)= "E","East",LEFT(O644,1) = "S", "South",LEFT(O644,1) = "N", "North")</f>
        <v>North</v>
      </c>
      <c r="Q644" t="s">
        <v>30</v>
      </c>
      <c r="R644" t="s">
        <v>23</v>
      </c>
      <c r="S644" t="str">
        <f>TEXT(indian_retail_raw_1000[[#This Row],[Order_Date]],"MMM")</f>
        <v>May</v>
      </c>
    </row>
    <row r="645" spans="1:19" x14ac:dyDescent="0.25">
      <c r="A645" t="s">
        <v>842</v>
      </c>
      <c r="B645" s="1">
        <v>45055</v>
      </c>
      <c r="C645" t="s">
        <v>165</v>
      </c>
      <c r="D645">
        <v>40</v>
      </c>
      <c r="E645" t="s">
        <v>73</v>
      </c>
      <c r="F645" t="s">
        <v>30</v>
      </c>
      <c r="G645" t="s">
        <v>135</v>
      </c>
      <c r="H645">
        <v>9</v>
      </c>
      <c r="I645">
        <v>14469</v>
      </c>
      <c r="J645">
        <v>10</v>
      </c>
      <c r="K645" t="s">
        <v>19</v>
      </c>
      <c r="L645" t="s">
        <v>56</v>
      </c>
      <c r="M6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45">
        <v>11719.9</v>
      </c>
      <c r="O645" t="s">
        <v>26</v>
      </c>
      <c r="P645" t="str">
        <f>_xlfn.IFS(LEFT(indian_retail_raw_1000[[#This Row],[x]],1)="W", "West",LEFT(indian_retail_raw_1000[[#This Row],[x]],1)= "E","East",LEFT(O645,1) = "S", "South",LEFT(O645,1) = "N", "North")</f>
        <v>West</v>
      </c>
      <c r="Q645" t="s">
        <v>30</v>
      </c>
      <c r="R645" t="s">
        <v>23</v>
      </c>
      <c r="S645" t="str">
        <f>TEXT(indian_retail_raw_1000[[#This Row],[Order_Date]],"MMM")</f>
        <v>May</v>
      </c>
    </row>
    <row r="646" spans="1:19" x14ac:dyDescent="0.25">
      <c r="A646" t="s">
        <v>473</v>
      </c>
      <c r="B646" s="1">
        <v>45014</v>
      </c>
      <c r="C646" t="s">
        <v>192</v>
      </c>
      <c r="D646">
        <v>38</v>
      </c>
      <c r="E646" t="s">
        <v>16</v>
      </c>
      <c r="F646" t="s">
        <v>17</v>
      </c>
      <c r="G646" t="s">
        <v>80</v>
      </c>
      <c r="H646">
        <v>3</v>
      </c>
      <c r="I646">
        <v>4350</v>
      </c>
      <c r="J646">
        <v>10</v>
      </c>
      <c r="K646" t="s">
        <v>19</v>
      </c>
      <c r="L646" t="s">
        <v>20</v>
      </c>
      <c r="M6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6">
        <v>11745</v>
      </c>
      <c r="O646" t="s">
        <v>21</v>
      </c>
      <c r="P646" t="str">
        <f>_xlfn.IFS(LEFT(indian_retail_raw_1000[[#This Row],[x]],1)="W", "West",LEFT(indian_retail_raw_1000[[#This Row],[x]],1)= "E","East",LEFT(O646,1) = "S", "South",LEFT(O646,1) = "N", "North")</f>
        <v>South</v>
      </c>
      <c r="Q646" t="s">
        <v>17</v>
      </c>
      <c r="R646" t="s">
        <v>16</v>
      </c>
      <c r="S646" t="str">
        <f>TEXT(indian_retail_raw_1000[[#This Row],[Order_Date]],"MMM")</f>
        <v>Mar</v>
      </c>
    </row>
    <row r="647" spans="1:19" x14ac:dyDescent="0.25">
      <c r="A647" t="s">
        <v>957</v>
      </c>
      <c r="B647" s="1" t="s">
        <v>1336</v>
      </c>
      <c r="C647" t="s">
        <v>411</v>
      </c>
      <c r="D647">
        <v>7</v>
      </c>
      <c r="E647" t="s">
        <v>73</v>
      </c>
      <c r="F647" t="s">
        <v>17</v>
      </c>
      <c r="G647" t="s">
        <v>117</v>
      </c>
      <c r="H647">
        <v>2</v>
      </c>
      <c r="I647">
        <v>7350</v>
      </c>
      <c r="J647">
        <v>20</v>
      </c>
      <c r="K647" t="s">
        <v>19</v>
      </c>
      <c r="L647" t="s">
        <v>20</v>
      </c>
      <c r="M6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7">
        <v>11760</v>
      </c>
      <c r="O647" t="s">
        <v>26</v>
      </c>
      <c r="P647" t="str">
        <f>_xlfn.IFS(LEFT(indian_retail_raw_1000[[#This Row],[x]],1)="W", "West",LEFT(indian_retail_raw_1000[[#This Row],[x]],1)= "E","East",LEFT(O647,1) = "S", "South",LEFT(O647,1) = "N", "North")</f>
        <v>West</v>
      </c>
      <c r="Q647" t="s">
        <v>17</v>
      </c>
      <c r="R647" t="s">
        <v>23</v>
      </c>
      <c r="S647" t="str">
        <f>TEXT(indian_retail_raw_1000[[#This Row],[Order_Date]],"MMM")</f>
        <v>Null</v>
      </c>
    </row>
    <row r="648" spans="1:19" x14ac:dyDescent="0.25">
      <c r="A648" t="s">
        <v>910</v>
      </c>
      <c r="B648" s="1">
        <v>45272</v>
      </c>
      <c r="C648" t="s">
        <v>1336</v>
      </c>
      <c r="D648">
        <v>34</v>
      </c>
      <c r="E648" t="s">
        <v>490</v>
      </c>
      <c r="F648" t="s">
        <v>35</v>
      </c>
      <c r="G648" t="s">
        <v>139</v>
      </c>
      <c r="H648">
        <v>20</v>
      </c>
      <c r="I648">
        <v>589</v>
      </c>
      <c r="J648">
        <v>0</v>
      </c>
      <c r="K648" t="s">
        <v>50</v>
      </c>
      <c r="L648" t="s">
        <v>20</v>
      </c>
      <c r="M6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8">
        <v>11780</v>
      </c>
      <c r="O648" t="s">
        <v>26</v>
      </c>
      <c r="P648" t="str">
        <f>_xlfn.IFS(LEFT(indian_retail_raw_1000[[#This Row],[x]],1)="W", "West",LEFT(indian_retail_raw_1000[[#This Row],[x]],1)= "E","East",LEFT(O648,1) = "S", "South",LEFT(O648,1) = "N", "North")</f>
        <v>West</v>
      </c>
      <c r="Q648" t="s">
        <v>35</v>
      </c>
      <c r="R648" t="s">
        <v>16</v>
      </c>
      <c r="S648" t="str">
        <f>TEXT(indian_retail_raw_1000[[#This Row],[Order_Date]],"MMM")</f>
        <v>Dec</v>
      </c>
    </row>
    <row r="649" spans="1:19" x14ac:dyDescent="0.25">
      <c r="A649" t="s">
        <v>1082</v>
      </c>
      <c r="B649" s="1">
        <v>45069</v>
      </c>
      <c r="C649" t="s">
        <v>1336</v>
      </c>
      <c r="D649">
        <v>27</v>
      </c>
      <c r="E649" t="s">
        <v>23</v>
      </c>
      <c r="F649" t="s">
        <v>30</v>
      </c>
      <c r="G649" t="s">
        <v>235</v>
      </c>
      <c r="H649">
        <v>6</v>
      </c>
      <c r="I649">
        <v>2624</v>
      </c>
      <c r="J649">
        <v>25</v>
      </c>
      <c r="K649" t="s">
        <v>50</v>
      </c>
      <c r="L649" t="s">
        <v>493</v>
      </c>
      <c r="M6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49">
        <v>11808</v>
      </c>
      <c r="O649" t="s">
        <v>26</v>
      </c>
      <c r="P649" t="str">
        <f>_xlfn.IFS(LEFT(indian_retail_raw_1000[[#This Row],[x]],1)="W", "West",LEFT(indian_retail_raw_1000[[#This Row],[x]],1)= "E","East",LEFT(O649,1) = "S", "South",LEFT(O649,1) = "N", "North")</f>
        <v>West</v>
      </c>
      <c r="Q649" t="s">
        <v>30</v>
      </c>
      <c r="R649" t="s">
        <v>23</v>
      </c>
      <c r="S649" t="str">
        <f>TEXT(indian_retail_raw_1000[[#This Row],[Order_Date]],"MMM")</f>
        <v>May</v>
      </c>
    </row>
    <row r="650" spans="1:19" x14ac:dyDescent="0.25">
      <c r="A650" t="s">
        <v>1225</v>
      </c>
      <c r="B650" s="1">
        <v>45145</v>
      </c>
      <c r="C650" t="s">
        <v>156</v>
      </c>
      <c r="D650">
        <v>60</v>
      </c>
      <c r="E650" t="s">
        <v>16</v>
      </c>
      <c r="F650" t="s">
        <v>17</v>
      </c>
      <c r="G650" t="s">
        <v>274</v>
      </c>
      <c r="H650">
        <v>3</v>
      </c>
      <c r="I650">
        <v>3950</v>
      </c>
      <c r="J650">
        <v>0</v>
      </c>
      <c r="K650" t="s">
        <v>25</v>
      </c>
      <c r="L650" t="s">
        <v>20</v>
      </c>
      <c r="M6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50">
        <v>11850</v>
      </c>
      <c r="O650" t="s">
        <v>894</v>
      </c>
      <c r="P650" t="str">
        <f>_xlfn.IFS(LEFT(indian_retail_raw_1000[[#This Row],[x]],1)="W", "West",LEFT(indian_retail_raw_1000[[#This Row],[x]],1)= "E","East",LEFT(O650,1) = "S", "South",LEFT(O650,1) = "N", "North")</f>
        <v>North</v>
      </c>
      <c r="Q650" t="s">
        <v>17</v>
      </c>
      <c r="R650" t="s">
        <v>16</v>
      </c>
      <c r="S650" t="str">
        <f>TEXT(indian_retail_raw_1000[[#This Row],[Order_Date]],"MMM")</f>
        <v>Aug</v>
      </c>
    </row>
    <row r="651" spans="1:19" x14ac:dyDescent="0.25">
      <c r="A651" t="s">
        <v>1307</v>
      </c>
      <c r="B651" s="1" t="s">
        <v>1336</v>
      </c>
      <c r="C651" t="s">
        <v>48</v>
      </c>
      <c r="D651">
        <v>47</v>
      </c>
      <c r="E651" t="s">
        <v>16</v>
      </c>
      <c r="F651" t="s">
        <v>35</v>
      </c>
      <c r="G651" t="s">
        <v>139</v>
      </c>
      <c r="H651">
        <v>20</v>
      </c>
      <c r="I651">
        <v>569</v>
      </c>
      <c r="J651">
        <v>-5</v>
      </c>
      <c r="K651" t="s">
        <v>261</v>
      </c>
      <c r="L651" t="s">
        <v>56</v>
      </c>
      <c r="M6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51">
        <v>11949</v>
      </c>
      <c r="O651" t="s">
        <v>21</v>
      </c>
      <c r="P651" t="str">
        <f>_xlfn.IFS(LEFT(indian_retail_raw_1000[[#This Row],[x]],1)="W", "West",LEFT(indian_retail_raw_1000[[#This Row],[x]],1)= "E","East",LEFT(O651,1) = "S", "South",LEFT(O651,1) = "N", "North")</f>
        <v>South</v>
      </c>
      <c r="Q651" t="s">
        <v>35</v>
      </c>
      <c r="R651" t="s">
        <v>16</v>
      </c>
      <c r="S651" t="str">
        <f>TEXT(indian_retail_raw_1000[[#This Row],[Order_Date]],"MMM")</f>
        <v>Null</v>
      </c>
    </row>
    <row r="652" spans="1:19" x14ac:dyDescent="0.25">
      <c r="A652" t="s">
        <v>500</v>
      </c>
      <c r="B652" s="1">
        <v>45027</v>
      </c>
      <c r="C652" t="s">
        <v>1336</v>
      </c>
      <c r="D652">
        <v>29</v>
      </c>
      <c r="E652" t="s">
        <v>23</v>
      </c>
      <c r="F652" t="s">
        <v>97</v>
      </c>
      <c r="G652" t="s">
        <v>235</v>
      </c>
      <c r="H652">
        <v>2</v>
      </c>
      <c r="I652">
        <v>2136</v>
      </c>
      <c r="J652">
        <v>30</v>
      </c>
      <c r="K652" t="s">
        <v>19</v>
      </c>
      <c r="L652" t="s">
        <v>20</v>
      </c>
      <c r="M6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52">
        <v>11961.6</v>
      </c>
      <c r="O652" t="s">
        <v>21</v>
      </c>
      <c r="P652" t="str">
        <f>_xlfn.IFS(LEFT(indian_retail_raw_1000[[#This Row],[x]],1)="W", "West",LEFT(indian_retail_raw_1000[[#This Row],[x]],1)= "E","East",LEFT(O652,1) = "S", "South",LEFT(O652,1) = "N", "North")</f>
        <v>South</v>
      </c>
      <c r="Q652" t="s">
        <v>30</v>
      </c>
      <c r="R652" t="s">
        <v>23</v>
      </c>
      <c r="S652" t="str">
        <f>TEXT(indian_retail_raw_1000[[#This Row],[Order_Date]],"MMM")</f>
        <v>Apr</v>
      </c>
    </row>
    <row r="653" spans="1:19" x14ac:dyDescent="0.25">
      <c r="A653" t="s">
        <v>260</v>
      </c>
      <c r="B653" s="1" t="s">
        <v>1336</v>
      </c>
      <c r="C653" t="s">
        <v>188</v>
      </c>
      <c r="E653" t="s">
        <v>16</v>
      </c>
      <c r="F653" t="s">
        <v>30</v>
      </c>
      <c r="G653" t="s">
        <v>121</v>
      </c>
      <c r="H653">
        <v>2</v>
      </c>
      <c r="I653">
        <v>6020</v>
      </c>
      <c r="J653">
        <v>0</v>
      </c>
      <c r="K653" t="s">
        <v>261</v>
      </c>
      <c r="L653" t="s">
        <v>51</v>
      </c>
      <c r="M6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53">
        <v>12040</v>
      </c>
      <c r="O653" t="s">
        <v>26</v>
      </c>
      <c r="P653" t="str">
        <f>_xlfn.IFS(LEFT(indian_retail_raw_1000[[#This Row],[x]],1)="W", "West",LEFT(indian_retail_raw_1000[[#This Row],[x]],1)= "E","East",LEFT(O653,1) = "S", "South",LEFT(O653,1) = "N", "North")</f>
        <v>West</v>
      </c>
      <c r="Q653" t="s">
        <v>30</v>
      </c>
      <c r="R653" t="s">
        <v>16</v>
      </c>
      <c r="S653" t="str">
        <f>TEXT(indian_retail_raw_1000[[#This Row],[Order_Date]],"MMM")</f>
        <v>Null</v>
      </c>
    </row>
    <row r="654" spans="1:19" x14ac:dyDescent="0.25">
      <c r="A654" t="s">
        <v>883</v>
      </c>
      <c r="B654" s="1">
        <v>45013</v>
      </c>
      <c r="C654" t="s">
        <v>62</v>
      </c>
      <c r="D654">
        <v>999</v>
      </c>
      <c r="E654" t="s">
        <v>16</v>
      </c>
      <c r="F654" t="s">
        <v>17</v>
      </c>
      <c r="G654" t="s">
        <v>124</v>
      </c>
      <c r="H654">
        <v>2</v>
      </c>
      <c r="I654">
        <v>6700</v>
      </c>
      <c r="J654">
        <v>10</v>
      </c>
      <c r="K654" t="s">
        <v>25</v>
      </c>
      <c r="L654" t="s">
        <v>20</v>
      </c>
      <c r="M6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54">
        <v>12060</v>
      </c>
      <c r="O654" t="s">
        <v>38</v>
      </c>
      <c r="P654" t="str">
        <f>_xlfn.IFS(LEFT(indian_retail_raw_1000[[#This Row],[x]],1)="W", "West",LEFT(indian_retail_raw_1000[[#This Row],[x]],1)= "E","East",LEFT(O654,1) = "S", "South",LEFT(O654,1) = "N", "North")</f>
        <v>North</v>
      </c>
      <c r="Q654" t="s">
        <v>17</v>
      </c>
      <c r="R654" t="s">
        <v>16</v>
      </c>
      <c r="S654" t="str">
        <f>TEXT(indian_retail_raw_1000[[#This Row],[Order_Date]],"MMM")</f>
        <v>Mar</v>
      </c>
    </row>
    <row r="655" spans="1:19" x14ac:dyDescent="0.25">
      <c r="A655" t="s">
        <v>856</v>
      </c>
      <c r="B655" s="1">
        <v>45258</v>
      </c>
      <c r="C655" t="s">
        <v>176</v>
      </c>
      <c r="D655">
        <v>42</v>
      </c>
      <c r="E655" t="s">
        <v>16</v>
      </c>
      <c r="F655" t="s">
        <v>54</v>
      </c>
      <c r="G655" t="s">
        <v>282</v>
      </c>
      <c r="H655">
        <v>1</v>
      </c>
      <c r="I655">
        <v>20200</v>
      </c>
      <c r="J655">
        <v>40</v>
      </c>
      <c r="K655" t="s">
        <v>19</v>
      </c>
      <c r="L655" t="s">
        <v>56</v>
      </c>
      <c r="M6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55">
        <v>12120</v>
      </c>
      <c r="O655" t="s">
        <v>38</v>
      </c>
      <c r="P655" t="str">
        <f>_xlfn.IFS(LEFT(indian_retail_raw_1000[[#This Row],[x]],1)="W", "West",LEFT(indian_retail_raw_1000[[#This Row],[x]],1)= "E","East",LEFT(O655,1) = "S", "South",LEFT(O655,1) = "N", "North")</f>
        <v>North</v>
      </c>
      <c r="Q655" t="s">
        <v>54</v>
      </c>
      <c r="R655" t="s">
        <v>16</v>
      </c>
      <c r="S655" t="str">
        <f>TEXT(indian_retail_raw_1000[[#This Row],[Order_Date]],"MMM")</f>
        <v>Nov</v>
      </c>
    </row>
    <row r="656" spans="1:19" x14ac:dyDescent="0.25">
      <c r="A656" t="s">
        <v>863</v>
      </c>
      <c r="B656" s="1">
        <v>45043</v>
      </c>
      <c r="C656" t="s">
        <v>1336</v>
      </c>
      <c r="D656">
        <v>21</v>
      </c>
      <c r="E656" t="s">
        <v>16</v>
      </c>
      <c r="F656" t="s">
        <v>30</v>
      </c>
      <c r="G656" t="s">
        <v>67</v>
      </c>
      <c r="H656">
        <v>5</v>
      </c>
      <c r="I656">
        <v>3247</v>
      </c>
      <c r="J656">
        <v>25</v>
      </c>
      <c r="K656" t="s">
        <v>105</v>
      </c>
      <c r="L656" t="s">
        <v>20</v>
      </c>
      <c r="M6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56">
        <v>12176.25</v>
      </c>
      <c r="O656" t="s">
        <v>21</v>
      </c>
      <c r="P656" t="str">
        <f>_xlfn.IFS(LEFT(indian_retail_raw_1000[[#This Row],[x]],1)="W", "West",LEFT(indian_retail_raw_1000[[#This Row],[x]],1)= "E","East",LEFT(O656,1) = "S", "South",LEFT(O656,1) = "N", "North")</f>
        <v>South</v>
      </c>
      <c r="Q656" t="s">
        <v>30</v>
      </c>
      <c r="R656" t="s">
        <v>16</v>
      </c>
      <c r="S656" t="str">
        <f>TEXT(indian_retail_raw_1000[[#This Row],[Order_Date]],"MMM")</f>
        <v>Apr</v>
      </c>
    </row>
    <row r="657" spans="1:19" x14ac:dyDescent="0.25">
      <c r="A657" t="s">
        <v>810</v>
      </c>
      <c r="B657" s="1">
        <v>45180</v>
      </c>
      <c r="C657" t="s">
        <v>1336</v>
      </c>
      <c r="D657">
        <v>42</v>
      </c>
      <c r="E657" t="s">
        <v>29</v>
      </c>
      <c r="F657" t="s">
        <v>30</v>
      </c>
      <c r="G657" t="s">
        <v>540</v>
      </c>
      <c r="H657">
        <v>4</v>
      </c>
      <c r="I657">
        <v>4391</v>
      </c>
      <c r="J657">
        <v>30</v>
      </c>
      <c r="K657" t="s">
        <v>41</v>
      </c>
      <c r="L657" t="s">
        <v>449</v>
      </c>
      <c r="M6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57">
        <v>12294.8</v>
      </c>
      <c r="O657" t="s">
        <v>38</v>
      </c>
      <c r="P657" t="str">
        <f>_xlfn.IFS(LEFT(indian_retail_raw_1000[[#This Row],[x]],1)="W", "West",LEFT(indian_retail_raw_1000[[#This Row],[x]],1)= "E","East",LEFT(O657,1) = "S", "South",LEFT(O657,1) = "N", "North")</f>
        <v>North</v>
      </c>
      <c r="Q657" t="s">
        <v>30</v>
      </c>
      <c r="R657" t="s">
        <v>16</v>
      </c>
      <c r="S657" t="str">
        <f>TEXT(indian_retail_raw_1000[[#This Row],[Order_Date]],"MMM")</f>
        <v>Sep</v>
      </c>
    </row>
    <row r="658" spans="1:19" x14ac:dyDescent="0.25">
      <c r="A658" t="s">
        <v>85</v>
      </c>
      <c r="B658" s="1" t="s">
        <v>1336</v>
      </c>
      <c r="C658" t="s">
        <v>87</v>
      </c>
      <c r="D658">
        <v>55</v>
      </c>
      <c r="E658" t="s">
        <v>23</v>
      </c>
      <c r="F658" t="s">
        <v>54</v>
      </c>
      <c r="G658" t="s">
        <v>88</v>
      </c>
      <c r="H658">
        <v>1</v>
      </c>
      <c r="I658">
        <v>49400</v>
      </c>
      <c r="J658">
        <v>75</v>
      </c>
      <c r="K658" t="s">
        <v>89</v>
      </c>
      <c r="L658" t="s">
        <v>51</v>
      </c>
      <c r="M6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58">
        <v>12350</v>
      </c>
      <c r="O658" t="s">
        <v>45</v>
      </c>
      <c r="P658" t="str">
        <f>_xlfn.IFS(LEFT(indian_retail_raw_1000[[#This Row],[x]],1)="W", "West",LEFT(indian_retail_raw_1000[[#This Row],[x]],1)= "E","East",LEFT(O658,1) = "S", "South",LEFT(O658,1) = "N", "North")</f>
        <v>East</v>
      </c>
      <c r="Q658" t="s">
        <v>54</v>
      </c>
      <c r="R658" t="s">
        <v>23</v>
      </c>
      <c r="S658" t="str">
        <f>TEXT(indian_retail_raw_1000[[#This Row],[Order_Date]],"MMM")</f>
        <v>Null</v>
      </c>
    </row>
    <row r="659" spans="1:19" x14ac:dyDescent="0.25">
      <c r="A659" t="s">
        <v>784</v>
      </c>
      <c r="B659" s="1" t="s">
        <v>1336</v>
      </c>
      <c r="C659" t="s">
        <v>128</v>
      </c>
      <c r="D659">
        <v>18</v>
      </c>
      <c r="E659" t="s">
        <v>23</v>
      </c>
      <c r="F659" t="s">
        <v>54</v>
      </c>
      <c r="G659" t="s">
        <v>338</v>
      </c>
      <c r="H659">
        <v>2</v>
      </c>
      <c r="I659">
        <v>6500</v>
      </c>
      <c r="J659">
        <v>5</v>
      </c>
      <c r="K659" t="s">
        <v>115</v>
      </c>
      <c r="L659" t="s">
        <v>51</v>
      </c>
      <c r="M6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59">
        <v>12350</v>
      </c>
      <c r="O659" t="s">
        <v>26</v>
      </c>
      <c r="P659" t="str">
        <f>_xlfn.IFS(LEFT(indian_retail_raw_1000[[#This Row],[x]],1)="W", "West",LEFT(indian_retail_raw_1000[[#This Row],[x]],1)= "E","East",LEFT(O659,1) = "S", "South",LEFT(O659,1) = "N", "North")</f>
        <v>West</v>
      </c>
      <c r="Q659" t="s">
        <v>54</v>
      </c>
      <c r="R659" t="s">
        <v>23</v>
      </c>
      <c r="S659" t="str">
        <f>TEXT(indian_retail_raw_1000[[#This Row],[Order_Date]],"MMM")</f>
        <v>Null</v>
      </c>
    </row>
    <row r="660" spans="1:19" x14ac:dyDescent="0.25">
      <c r="A660" t="s">
        <v>996</v>
      </c>
      <c r="B660" s="1">
        <v>45053</v>
      </c>
      <c r="C660" t="s">
        <v>28</v>
      </c>
      <c r="D660">
        <v>30</v>
      </c>
      <c r="E660" t="s">
        <v>490</v>
      </c>
      <c r="F660" t="s">
        <v>30</v>
      </c>
      <c r="G660" t="s">
        <v>60</v>
      </c>
      <c r="H660">
        <v>2</v>
      </c>
      <c r="I660">
        <v>6230</v>
      </c>
      <c r="J660">
        <v>0</v>
      </c>
      <c r="K660" t="s">
        <v>41</v>
      </c>
      <c r="L660" t="s">
        <v>20</v>
      </c>
      <c r="M6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0">
        <v>12460</v>
      </c>
      <c r="O660" t="s">
        <v>21</v>
      </c>
      <c r="P660" t="str">
        <f>_xlfn.IFS(LEFT(indian_retail_raw_1000[[#This Row],[x]],1)="W", "West",LEFT(indian_retail_raw_1000[[#This Row],[x]],1)= "E","East",LEFT(O660,1) = "S", "South",LEFT(O660,1) = "N", "North")</f>
        <v>South</v>
      </c>
      <c r="Q660" t="s">
        <v>30</v>
      </c>
      <c r="R660" t="s">
        <v>16</v>
      </c>
      <c r="S660" t="str">
        <f>TEXT(indian_retail_raw_1000[[#This Row],[Order_Date]],"MMM")</f>
        <v>May</v>
      </c>
    </row>
    <row r="661" spans="1:19" x14ac:dyDescent="0.25">
      <c r="A661" t="s">
        <v>924</v>
      </c>
      <c r="B661" s="1">
        <v>45279</v>
      </c>
      <c r="C661" t="s">
        <v>152</v>
      </c>
      <c r="D661">
        <v>60</v>
      </c>
      <c r="E661" t="s">
        <v>475</v>
      </c>
      <c r="F661" t="s">
        <v>17</v>
      </c>
      <c r="G661" t="s">
        <v>189</v>
      </c>
      <c r="H661">
        <v>3</v>
      </c>
      <c r="I661">
        <v>4900</v>
      </c>
      <c r="J661">
        <v>15</v>
      </c>
      <c r="K661" t="s">
        <v>222</v>
      </c>
      <c r="L661" t="s">
        <v>20</v>
      </c>
      <c r="M6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1">
        <v>12495</v>
      </c>
      <c r="O661" t="s">
        <v>38</v>
      </c>
      <c r="P661" t="str">
        <f>_xlfn.IFS(LEFT(indian_retail_raw_1000[[#This Row],[x]],1)="W", "West",LEFT(indian_retail_raw_1000[[#This Row],[x]],1)= "E","East",LEFT(O661,1) = "S", "South",LEFT(O661,1) = "N", "North")</f>
        <v>North</v>
      </c>
      <c r="Q661" t="s">
        <v>17</v>
      </c>
      <c r="R661" t="s">
        <v>138</v>
      </c>
      <c r="S661" t="str">
        <f>TEXT(indian_retail_raw_1000[[#This Row],[Order_Date]],"MMM")</f>
        <v>Dec</v>
      </c>
    </row>
    <row r="662" spans="1:19" x14ac:dyDescent="0.25">
      <c r="A662" t="s">
        <v>775</v>
      </c>
      <c r="B662" s="1">
        <v>45257</v>
      </c>
      <c r="C662" t="s">
        <v>192</v>
      </c>
      <c r="D662">
        <v>62</v>
      </c>
      <c r="E662" t="s">
        <v>23</v>
      </c>
      <c r="F662" t="s">
        <v>17</v>
      </c>
      <c r="G662" t="s">
        <v>18</v>
      </c>
      <c r="H662">
        <v>2</v>
      </c>
      <c r="I662">
        <v>1850</v>
      </c>
      <c r="J662">
        <v>15</v>
      </c>
      <c r="K662" t="s">
        <v>19</v>
      </c>
      <c r="L662" t="s">
        <v>20</v>
      </c>
      <c r="M6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2">
        <v>12580</v>
      </c>
      <c r="O662" t="s">
        <v>45</v>
      </c>
      <c r="P662" t="str">
        <f>_xlfn.IFS(LEFT(indian_retail_raw_1000[[#This Row],[x]],1)="W", "West",LEFT(indian_retail_raw_1000[[#This Row],[x]],1)= "E","East",LEFT(O662,1) = "S", "South",LEFT(O662,1) = "N", "North")</f>
        <v>East</v>
      </c>
      <c r="Q662" t="s">
        <v>17</v>
      </c>
      <c r="R662" t="s">
        <v>23</v>
      </c>
      <c r="S662" t="str">
        <f>TEXT(indian_retail_raw_1000[[#This Row],[Order_Date]],"MMM")</f>
        <v>Nov</v>
      </c>
    </row>
    <row r="663" spans="1:19" x14ac:dyDescent="0.25">
      <c r="A663" t="s">
        <v>1296</v>
      </c>
      <c r="B663" s="1">
        <v>45003</v>
      </c>
      <c r="C663" t="s">
        <v>179</v>
      </c>
      <c r="D663">
        <v>21</v>
      </c>
      <c r="E663" t="s">
        <v>16</v>
      </c>
      <c r="F663" t="s">
        <v>17</v>
      </c>
      <c r="G663" t="s">
        <v>297</v>
      </c>
      <c r="H663">
        <v>2</v>
      </c>
      <c r="I663">
        <v>6700</v>
      </c>
      <c r="J663">
        <v>5</v>
      </c>
      <c r="K663" t="s">
        <v>50</v>
      </c>
      <c r="L663" t="s">
        <v>51</v>
      </c>
      <c r="M6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63">
        <v>12730</v>
      </c>
      <c r="O663" t="s">
        <v>38</v>
      </c>
      <c r="P663" t="str">
        <f>_xlfn.IFS(LEFT(indian_retail_raw_1000[[#This Row],[x]],1)="W", "West",LEFT(indian_retail_raw_1000[[#This Row],[x]],1)= "E","East",LEFT(O663,1) = "S", "South",LEFT(O663,1) = "N", "North")</f>
        <v>North</v>
      </c>
      <c r="Q663" t="s">
        <v>17</v>
      </c>
      <c r="R663" t="s">
        <v>16</v>
      </c>
      <c r="S663" t="str">
        <f>TEXT(indian_retail_raw_1000[[#This Row],[Order_Date]],"MMM")</f>
        <v>Mar</v>
      </c>
    </row>
    <row r="664" spans="1:19" x14ac:dyDescent="0.25">
      <c r="A664" t="s">
        <v>954</v>
      </c>
      <c r="B664" s="1">
        <v>45129</v>
      </c>
      <c r="C664" t="s">
        <v>87</v>
      </c>
      <c r="D664">
        <v>58</v>
      </c>
      <c r="E664" t="s">
        <v>23</v>
      </c>
      <c r="F664" t="s">
        <v>30</v>
      </c>
      <c r="G664" t="s">
        <v>218</v>
      </c>
      <c r="H664">
        <v>6</v>
      </c>
      <c r="I664">
        <v>2238</v>
      </c>
      <c r="J664">
        <v>5</v>
      </c>
      <c r="K664" t="s">
        <v>19</v>
      </c>
      <c r="L664" t="s">
        <v>20</v>
      </c>
      <c r="M6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4">
        <v>12756.6</v>
      </c>
      <c r="O664" t="s">
        <v>38</v>
      </c>
      <c r="P664" t="str">
        <f>_xlfn.IFS(LEFT(indian_retail_raw_1000[[#This Row],[x]],1)="W", "West",LEFT(indian_retail_raw_1000[[#This Row],[x]],1)= "E","East",LEFT(O664,1) = "S", "South",LEFT(O664,1) = "N", "North")</f>
        <v>North</v>
      </c>
      <c r="Q664" t="s">
        <v>30</v>
      </c>
      <c r="R664" t="s">
        <v>23</v>
      </c>
      <c r="S664" t="str">
        <f>TEXT(indian_retail_raw_1000[[#This Row],[Order_Date]],"MMM")</f>
        <v>Jul</v>
      </c>
    </row>
    <row r="665" spans="1:19" x14ac:dyDescent="0.25">
      <c r="A665" t="s">
        <v>380</v>
      </c>
      <c r="B665" s="1">
        <v>45239</v>
      </c>
      <c r="C665" t="s">
        <v>102</v>
      </c>
      <c r="D665">
        <v>34</v>
      </c>
      <c r="E665" t="s">
        <v>146</v>
      </c>
      <c r="F665" t="s">
        <v>54</v>
      </c>
      <c r="G665" t="s">
        <v>104</v>
      </c>
      <c r="H665">
        <v>1</v>
      </c>
      <c r="I665">
        <v>12800</v>
      </c>
      <c r="K665" t="s">
        <v>381</v>
      </c>
      <c r="L665" t="s">
        <v>20</v>
      </c>
      <c r="M6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5">
        <v>12800</v>
      </c>
      <c r="O665" t="s">
        <v>26</v>
      </c>
      <c r="P665" t="str">
        <f>_xlfn.IFS(LEFT(indian_retail_raw_1000[[#This Row],[x]],1)="W", "West",LEFT(indian_retail_raw_1000[[#This Row],[x]],1)= "E","East",LEFT(O665,1) = "S", "South",LEFT(O665,1) = "N", "North")</f>
        <v>West</v>
      </c>
      <c r="Q665" t="s">
        <v>54</v>
      </c>
      <c r="R665" t="s">
        <v>16</v>
      </c>
      <c r="S665" t="str">
        <f>TEXT(indian_retail_raw_1000[[#This Row],[Order_Date]],"MMM")</f>
        <v>Nov</v>
      </c>
    </row>
    <row r="666" spans="1:19" x14ac:dyDescent="0.25">
      <c r="A666" t="s">
        <v>724</v>
      </c>
      <c r="B666" s="1">
        <v>45037</v>
      </c>
      <c r="C666" t="s">
        <v>66</v>
      </c>
      <c r="D666">
        <v>25</v>
      </c>
      <c r="E666" t="s">
        <v>710</v>
      </c>
      <c r="F666" t="s">
        <v>17</v>
      </c>
      <c r="G666" t="s">
        <v>80</v>
      </c>
      <c r="H666">
        <v>3</v>
      </c>
      <c r="I666">
        <v>4800</v>
      </c>
      <c r="J666">
        <v>10</v>
      </c>
      <c r="K666" t="s">
        <v>41</v>
      </c>
      <c r="L666" t="s">
        <v>51</v>
      </c>
      <c r="M6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66">
        <v>12960</v>
      </c>
      <c r="O666" t="s">
        <v>21</v>
      </c>
      <c r="P666" t="str">
        <f>_xlfn.IFS(LEFT(indian_retail_raw_1000[[#This Row],[x]],1)="W", "West",LEFT(indian_retail_raw_1000[[#This Row],[x]],1)= "E","East",LEFT(O666,1) = "S", "South",LEFT(O666,1) = "N", "North")</f>
        <v>South</v>
      </c>
      <c r="Q666" t="s">
        <v>17</v>
      </c>
      <c r="R666" t="s">
        <v>138</v>
      </c>
      <c r="S666" t="str">
        <f>TEXT(indian_retail_raw_1000[[#This Row],[Order_Date]],"MMM")</f>
        <v>Apr</v>
      </c>
    </row>
    <row r="667" spans="1:19" x14ac:dyDescent="0.25">
      <c r="A667" t="s">
        <v>734</v>
      </c>
      <c r="B667" s="1" t="s">
        <v>1336</v>
      </c>
      <c r="C667" t="s">
        <v>1336</v>
      </c>
      <c r="D667">
        <v>34</v>
      </c>
      <c r="E667" t="s">
        <v>23</v>
      </c>
      <c r="F667" t="s">
        <v>17</v>
      </c>
      <c r="G667" t="s">
        <v>80</v>
      </c>
      <c r="H667">
        <v>3</v>
      </c>
      <c r="I667">
        <v>7250</v>
      </c>
      <c r="J667">
        <v>40</v>
      </c>
      <c r="K667" t="s">
        <v>19</v>
      </c>
      <c r="L667" t="s">
        <v>20</v>
      </c>
      <c r="M6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7">
        <v>13050</v>
      </c>
      <c r="O667" t="s">
        <v>45</v>
      </c>
      <c r="P667" t="str">
        <f>_xlfn.IFS(LEFT(indian_retail_raw_1000[[#This Row],[x]],1)="W", "West",LEFT(indian_retail_raw_1000[[#This Row],[x]],1)= "E","East",LEFT(O667,1) = "S", "South",LEFT(O667,1) = "N", "North")</f>
        <v>East</v>
      </c>
      <c r="Q667" t="s">
        <v>17</v>
      </c>
      <c r="R667" t="s">
        <v>23</v>
      </c>
      <c r="S667" t="str">
        <f>TEXT(indian_retail_raw_1000[[#This Row],[Order_Date]],"MMM")</f>
        <v>Null</v>
      </c>
    </row>
    <row r="668" spans="1:19" x14ac:dyDescent="0.25">
      <c r="A668" t="s">
        <v>949</v>
      </c>
      <c r="B668" s="1">
        <v>45231</v>
      </c>
      <c r="C668" t="s">
        <v>1336</v>
      </c>
      <c r="D668">
        <v>18</v>
      </c>
      <c r="E668" t="s">
        <v>16</v>
      </c>
      <c r="F668" t="s">
        <v>17</v>
      </c>
      <c r="G668" t="s">
        <v>274</v>
      </c>
      <c r="H668">
        <v>3</v>
      </c>
      <c r="I668">
        <v>4400</v>
      </c>
      <c r="J668">
        <v>0</v>
      </c>
      <c r="K668" t="s">
        <v>19</v>
      </c>
      <c r="L668" t="s">
        <v>20</v>
      </c>
      <c r="M6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8">
        <v>13200</v>
      </c>
      <c r="O668" t="s">
        <v>26</v>
      </c>
      <c r="P668" t="str">
        <f>_xlfn.IFS(LEFT(indian_retail_raw_1000[[#This Row],[x]],1)="W", "West",LEFT(indian_retail_raw_1000[[#This Row],[x]],1)= "E","East",LEFT(O668,1) = "S", "South",LEFT(O668,1) = "N", "North")</f>
        <v>West</v>
      </c>
      <c r="Q668" t="s">
        <v>17</v>
      </c>
      <c r="R668" t="s">
        <v>16</v>
      </c>
      <c r="S668" t="str">
        <f>TEXT(indian_retail_raw_1000[[#This Row],[Order_Date]],"MMM")</f>
        <v>Nov</v>
      </c>
    </row>
    <row r="669" spans="1:19" x14ac:dyDescent="0.25">
      <c r="A669" t="s">
        <v>1132</v>
      </c>
      <c r="B669" s="1">
        <v>45060</v>
      </c>
      <c r="C669" t="s">
        <v>152</v>
      </c>
      <c r="D669">
        <v>42</v>
      </c>
      <c r="E669" t="s">
        <v>16</v>
      </c>
      <c r="F669" t="s">
        <v>54</v>
      </c>
      <c r="G669" t="s">
        <v>77</v>
      </c>
      <c r="H669">
        <v>2</v>
      </c>
      <c r="I669">
        <v>18400</v>
      </c>
      <c r="J669">
        <v>10</v>
      </c>
      <c r="K669" t="s">
        <v>32</v>
      </c>
      <c r="L669" t="s">
        <v>20</v>
      </c>
      <c r="M6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9">
        <v>13248</v>
      </c>
      <c r="O669" t="s">
        <v>45</v>
      </c>
      <c r="P669" t="str">
        <f>_xlfn.IFS(LEFT(indian_retail_raw_1000[[#This Row],[x]],1)="W", "West",LEFT(indian_retail_raw_1000[[#This Row],[x]],1)= "E","East",LEFT(O669,1) = "S", "South",LEFT(O669,1) = "N", "North")</f>
        <v>East</v>
      </c>
      <c r="Q669" t="s">
        <v>54</v>
      </c>
      <c r="R669" t="s">
        <v>16</v>
      </c>
      <c r="S669" t="str">
        <f>TEXT(indian_retail_raw_1000[[#This Row],[Order_Date]],"MMM")</f>
        <v>May</v>
      </c>
    </row>
    <row r="670" spans="1:19" x14ac:dyDescent="0.25">
      <c r="A670" t="s">
        <v>150</v>
      </c>
      <c r="B670" s="1">
        <v>44960</v>
      </c>
      <c r="C670" t="s">
        <v>1336</v>
      </c>
      <c r="D670">
        <v>45</v>
      </c>
      <c r="E670" t="s">
        <v>138</v>
      </c>
      <c r="F670" t="s">
        <v>30</v>
      </c>
      <c r="G670" t="s">
        <v>60</v>
      </c>
      <c r="H670">
        <v>2</v>
      </c>
      <c r="I670">
        <v>6974</v>
      </c>
      <c r="J670">
        <v>5</v>
      </c>
      <c r="K670" t="s">
        <v>50</v>
      </c>
      <c r="L670" t="s">
        <v>20</v>
      </c>
      <c r="M6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0">
        <v>13250.6</v>
      </c>
      <c r="O670" t="s">
        <v>38</v>
      </c>
      <c r="P670" t="str">
        <f>_xlfn.IFS(LEFT(indian_retail_raw_1000[[#This Row],[x]],1)="W", "West",LEFT(indian_retail_raw_1000[[#This Row],[x]],1)= "E","East",LEFT(O670,1) = "S", "South",LEFT(O670,1) = "N", "North")</f>
        <v>North</v>
      </c>
      <c r="Q670" t="s">
        <v>30</v>
      </c>
      <c r="R670" t="s">
        <v>138</v>
      </c>
      <c r="S670" t="str">
        <f>TEXT(indian_retail_raw_1000[[#This Row],[Order_Date]],"MMM")</f>
        <v>Feb</v>
      </c>
    </row>
    <row r="671" spans="1:19" x14ac:dyDescent="0.25">
      <c r="A671" t="s">
        <v>1074</v>
      </c>
      <c r="B671" s="1">
        <v>45265</v>
      </c>
      <c r="C671" t="s">
        <v>48</v>
      </c>
      <c r="D671">
        <v>47</v>
      </c>
      <c r="E671" t="s">
        <v>16</v>
      </c>
      <c r="F671" t="s">
        <v>254</v>
      </c>
      <c r="G671" t="s">
        <v>104</v>
      </c>
      <c r="H671">
        <v>1</v>
      </c>
      <c r="I671">
        <v>13300</v>
      </c>
      <c r="J671">
        <v>0</v>
      </c>
      <c r="K671" t="s">
        <v>25</v>
      </c>
      <c r="L671" t="s">
        <v>56</v>
      </c>
      <c r="M6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71">
        <v>13300</v>
      </c>
      <c r="O671" t="s">
        <v>26</v>
      </c>
      <c r="P671" t="str">
        <f>_xlfn.IFS(LEFT(indian_retail_raw_1000[[#This Row],[x]],1)="W", "West",LEFT(indian_retail_raw_1000[[#This Row],[x]],1)= "E","East",LEFT(O671,1) = "S", "South",LEFT(O671,1) = "N", "North")</f>
        <v>West</v>
      </c>
      <c r="Q671" t="s">
        <v>54</v>
      </c>
      <c r="R671" t="s">
        <v>16</v>
      </c>
      <c r="S671" t="str">
        <f>TEXT(indian_retail_raw_1000[[#This Row],[Order_Date]],"MMM")</f>
        <v>Dec</v>
      </c>
    </row>
    <row r="672" spans="1:19" x14ac:dyDescent="0.25">
      <c r="A672" t="s">
        <v>723</v>
      </c>
      <c r="B672" s="1">
        <v>45262</v>
      </c>
      <c r="C672" t="s">
        <v>156</v>
      </c>
      <c r="D672">
        <v>59</v>
      </c>
      <c r="E672" t="s">
        <v>23</v>
      </c>
      <c r="F672" t="s">
        <v>54</v>
      </c>
      <c r="G672" t="s">
        <v>280</v>
      </c>
      <c r="H672">
        <v>2</v>
      </c>
      <c r="I672">
        <v>67000</v>
      </c>
      <c r="K672" t="s">
        <v>25</v>
      </c>
      <c r="L672" t="s">
        <v>20</v>
      </c>
      <c r="M6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2">
        <v>13400</v>
      </c>
      <c r="O672" t="s">
        <v>26</v>
      </c>
      <c r="P672" t="str">
        <f>_xlfn.IFS(LEFT(indian_retail_raw_1000[[#This Row],[x]],1)="W", "West",LEFT(indian_retail_raw_1000[[#This Row],[x]],1)= "E","East",LEFT(O672,1) = "S", "South",LEFT(O672,1) = "N", "North")</f>
        <v>West</v>
      </c>
      <c r="Q672" t="s">
        <v>54</v>
      </c>
      <c r="R672" t="s">
        <v>23</v>
      </c>
      <c r="S672" t="str">
        <f>TEXT(indian_retail_raw_1000[[#This Row],[Order_Date]],"MMM")</f>
        <v>Dec</v>
      </c>
    </row>
    <row r="673" spans="1:19" x14ac:dyDescent="0.25">
      <c r="A673" t="s">
        <v>401</v>
      </c>
      <c r="B673" s="1" t="s">
        <v>1336</v>
      </c>
      <c r="C673" t="s">
        <v>87</v>
      </c>
      <c r="D673">
        <v>63</v>
      </c>
      <c r="E673" t="s">
        <v>16</v>
      </c>
      <c r="F673" t="s">
        <v>35</v>
      </c>
      <c r="G673" t="s">
        <v>99</v>
      </c>
      <c r="H673">
        <v>10</v>
      </c>
      <c r="I673">
        <v>1344</v>
      </c>
      <c r="J673">
        <v>0</v>
      </c>
      <c r="K673" t="s">
        <v>41</v>
      </c>
      <c r="L673" t="s">
        <v>20</v>
      </c>
      <c r="M6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3">
        <v>13440</v>
      </c>
      <c r="O673" t="s">
        <v>38</v>
      </c>
      <c r="P673" t="str">
        <f>_xlfn.IFS(LEFT(indian_retail_raw_1000[[#This Row],[x]],1)="W", "West",LEFT(indian_retail_raw_1000[[#This Row],[x]],1)= "E","East",LEFT(O673,1) = "S", "South",LEFT(O673,1) = "N", "North")</f>
        <v>North</v>
      </c>
      <c r="Q673" t="s">
        <v>35</v>
      </c>
      <c r="R673" t="s">
        <v>16</v>
      </c>
      <c r="S673" t="str">
        <f>TEXT(indian_retail_raw_1000[[#This Row],[Order_Date]],"MMM")</f>
        <v>Null</v>
      </c>
    </row>
    <row r="674" spans="1:19" x14ac:dyDescent="0.25">
      <c r="A674" t="s">
        <v>1251</v>
      </c>
      <c r="B674" s="1">
        <v>45147</v>
      </c>
      <c r="C674" t="s">
        <v>156</v>
      </c>
      <c r="D674">
        <v>32</v>
      </c>
      <c r="E674" t="s">
        <v>16</v>
      </c>
      <c r="F674" t="s">
        <v>30</v>
      </c>
      <c r="G674" t="s">
        <v>130</v>
      </c>
      <c r="H674">
        <v>5</v>
      </c>
      <c r="I674">
        <v>3369</v>
      </c>
      <c r="J674">
        <v>20</v>
      </c>
      <c r="K674" t="s">
        <v>19</v>
      </c>
      <c r="L674" t="s">
        <v>20</v>
      </c>
      <c r="M6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4">
        <v>13476</v>
      </c>
      <c r="O674" t="s">
        <v>375</v>
      </c>
      <c r="P674" t="str">
        <f>_xlfn.IFS(LEFT(indian_retail_raw_1000[[#This Row],[x]],1)="W", "West",LEFT(indian_retail_raw_1000[[#This Row],[x]],1)= "E","East",LEFT(O674,1) = "S", "South",LEFT(O674,1) = "N", "North")</f>
        <v>North</v>
      </c>
      <c r="Q674" t="s">
        <v>30</v>
      </c>
      <c r="R674" t="s">
        <v>16</v>
      </c>
      <c r="S674" t="str">
        <f>TEXT(indian_retail_raw_1000[[#This Row],[Order_Date]],"MMM")</f>
        <v>Aug</v>
      </c>
    </row>
    <row r="675" spans="1:19" x14ac:dyDescent="0.25">
      <c r="A675" t="s">
        <v>1099</v>
      </c>
      <c r="B675" s="1" t="s">
        <v>1336</v>
      </c>
      <c r="C675" t="s">
        <v>1336</v>
      </c>
      <c r="D675">
        <v>54</v>
      </c>
      <c r="E675" t="s">
        <v>23</v>
      </c>
      <c r="F675" t="s">
        <v>30</v>
      </c>
      <c r="G675" t="s">
        <v>235</v>
      </c>
      <c r="H675">
        <v>5</v>
      </c>
      <c r="I675">
        <v>2697</v>
      </c>
      <c r="K675" t="s">
        <v>19</v>
      </c>
      <c r="L675" t="s">
        <v>20</v>
      </c>
      <c r="M6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5">
        <v>13485</v>
      </c>
      <c r="O675" t="s">
        <v>45</v>
      </c>
      <c r="P675" t="str">
        <f>_xlfn.IFS(LEFT(indian_retail_raw_1000[[#This Row],[x]],1)="W", "West",LEFT(indian_retail_raw_1000[[#This Row],[x]],1)= "E","East",LEFT(O675,1) = "S", "South",LEFT(O675,1) = "N", "North")</f>
        <v>East</v>
      </c>
      <c r="Q675" t="s">
        <v>30</v>
      </c>
      <c r="R675" t="s">
        <v>23</v>
      </c>
      <c r="S675" t="str">
        <f>TEXT(indian_retail_raw_1000[[#This Row],[Order_Date]],"MMM")</f>
        <v>Null</v>
      </c>
    </row>
    <row r="676" spans="1:19" x14ac:dyDescent="0.25">
      <c r="A676" t="s">
        <v>463</v>
      </c>
      <c r="B676" s="1">
        <v>45044</v>
      </c>
      <c r="C676" t="s">
        <v>411</v>
      </c>
      <c r="D676">
        <v>27</v>
      </c>
      <c r="E676" t="s">
        <v>16</v>
      </c>
      <c r="F676" t="s">
        <v>17</v>
      </c>
      <c r="G676" t="s">
        <v>40</v>
      </c>
      <c r="H676">
        <v>3</v>
      </c>
      <c r="I676">
        <v>4500</v>
      </c>
      <c r="J676">
        <v>0</v>
      </c>
      <c r="K676" t="s">
        <v>89</v>
      </c>
      <c r="L676" t="s">
        <v>20</v>
      </c>
      <c r="M6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6">
        <v>13500</v>
      </c>
      <c r="O676" t="s">
        <v>21</v>
      </c>
      <c r="P676" t="str">
        <f>_xlfn.IFS(LEFT(indian_retail_raw_1000[[#This Row],[x]],1)="W", "West",LEFT(indian_retail_raw_1000[[#This Row],[x]],1)= "E","East",LEFT(O676,1) = "S", "South",LEFT(O676,1) = "N", "North")</f>
        <v>South</v>
      </c>
      <c r="Q676" t="s">
        <v>17</v>
      </c>
      <c r="R676" t="s">
        <v>16</v>
      </c>
      <c r="S676" t="str">
        <f>TEXT(indian_retail_raw_1000[[#This Row],[Order_Date]],"MMM")</f>
        <v>Apr</v>
      </c>
    </row>
    <row r="677" spans="1:19" x14ac:dyDescent="0.25">
      <c r="A677" t="s">
        <v>226</v>
      </c>
      <c r="B677" s="1">
        <v>45252</v>
      </c>
      <c r="C677" t="s">
        <v>62</v>
      </c>
      <c r="D677">
        <v>52</v>
      </c>
      <c r="E677" t="s">
        <v>143</v>
      </c>
      <c r="F677" t="s">
        <v>17</v>
      </c>
      <c r="G677" t="s">
        <v>40</v>
      </c>
      <c r="H677">
        <v>3</v>
      </c>
      <c r="I677">
        <v>5300</v>
      </c>
      <c r="J677">
        <v>15</v>
      </c>
      <c r="K677" t="s">
        <v>19</v>
      </c>
      <c r="L677" t="s">
        <v>20</v>
      </c>
      <c r="M6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7">
        <v>13515</v>
      </c>
      <c r="O677" t="s">
        <v>167</v>
      </c>
      <c r="P677" t="str">
        <f>_xlfn.IFS(LEFT(indian_retail_raw_1000[[#This Row],[x]],1)="W", "West",LEFT(indian_retail_raw_1000[[#This Row],[x]],1)= "E","East",LEFT(O677,1) = "S", "South",LEFT(O677,1) = "N", "North")</f>
        <v>North</v>
      </c>
      <c r="Q677" t="s">
        <v>17</v>
      </c>
      <c r="R677" t="s">
        <v>138</v>
      </c>
      <c r="S677" t="str">
        <f>TEXT(indian_retail_raw_1000[[#This Row],[Order_Date]],"MMM")</f>
        <v>Nov</v>
      </c>
    </row>
    <row r="678" spans="1:19" x14ac:dyDescent="0.25">
      <c r="A678" t="s">
        <v>1322</v>
      </c>
      <c r="B678" s="1" t="s">
        <v>1336</v>
      </c>
      <c r="C678" t="s">
        <v>431</v>
      </c>
      <c r="D678">
        <v>40</v>
      </c>
      <c r="E678" t="s">
        <v>143</v>
      </c>
      <c r="F678" t="s">
        <v>30</v>
      </c>
      <c r="G678" t="s">
        <v>235</v>
      </c>
      <c r="H678">
        <v>6</v>
      </c>
      <c r="I678">
        <v>2523</v>
      </c>
      <c r="J678">
        <v>10</v>
      </c>
      <c r="K678" t="s">
        <v>25</v>
      </c>
      <c r="L678" t="s">
        <v>363</v>
      </c>
      <c r="M6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78">
        <v>13624.2</v>
      </c>
      <c r="O678" t="s">
        <v>45</v>
      </c>
      <c r="P678" t="str">
        <f>_xlfn.IFS(LEFT(indian_retail_raw_1000[[#This Row],[x]],1)="W", "West",LEFT(indian_retail_raw_1000[[#This Row],[x]],1)= "E","East",LEFT(O678,1) = "S", "South",LEFT(O678,1) = "N", "North")</f>
        <v>East</v>
      </c>
      <c r="Q678" t="s">
        <v>30</v>
      </c>
      <c r="R678" t="s">
        <v>138</v>
      </c>
      <c r="S678" t="str">
        <f>TEXT(indian_retail_raw_1000[[#This Row],[Order_Date]],"MMM")</f>
        <v>Null</v>
      </c>
    </row>
    <row r="679" spans="1:19" x14ac:dyDescent="0.25">
      <c r="A679" t="s">
        <v>316</v>
      </c>
      <c r="B679" s="1">
        <v>45220</v>
      </c>
      <c r="C679" t="s">
        <v>217</v>
      </c>
      <c r="D679">
        <v>42</v>
      </c>
      <c r="E679" t="s">
        <v>16</v>
      </c>
      <c r="F679" t="s">
        <v>291</v>
      </c>
      <c r="G679" t="s">
        <v>40</v>
      </c>
      <c r="H679">
        <v>3</v>
      </c>
      <c r="I679">
        <v>4800</v>
      </c>
      <c r="J679">
        <v>5</v>
      </c>
      <c r="K679" t="s">
        <v>19</v>
      </c>
      <c r="L679" t="s">
        <v>20</v>
      </c>
      <c r="M6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9">
        <v>13680</v>
      </c>
      <c r="O679" t="s">
        <v>45</v>
      </c>
      <c r="P679" t="str">
        <f>_xlfn.IFS(LEFT(indian_retail_raw_1000[[#This Row],[x]],1)="W", "West",LEFT(indian_retail_raw_1000[[#This Row],[x]],1)= "E","East",LEFT(O679,1) = "S", "South",LEFT(O679,1) = "N", "North")</f>
        <v>East</v>
      </c>
      <c r="Q679" t="s">
        <v>17</v>
      </c>
      <c r="R679" t="s">
        <v>16</v>
      </c>
      <c r="S679" t="str">
        <f>TEXT(indian_retail_raw_1000[[#This Row],[Order_Date]],"MMM")</f>
        <v>Oct</v>
      </c>
    </row>
    <row r="680" spans="1:19" x14ac:dyDescent="0.25">
      <c r="A680" t="s">
        <v>370</v>
      </c>
      <c r="B680" s="1">
        <v>45199</v>
      </c>
      <c r="C680" t="s">
        <v>179</v>
      </c>
      <c r="D680">
        <v>31</v>
      </c>
      <c r="E680" t="s">
        <v>16</v>
      </c>
      <c r="F680" t="s">
        <v>220</v>
      </c>
      <c r="G680" t="s">
        <v>31</v>
      </c>
      <c r="H680">
        <v>7</v>
      </c>
      <c r="I680">
        <v>2173</v>
      </c>
      <c r="J680">
        <v>10</v>
      </c>
      <c r="K680" t="s">
        <v>19</v>
      </c>
      <c r="L680" t="s">
        <v>20</v>
      </c>
      <c r="M6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0">
        <v>13689.9</v>
      </c>
      <c r="O680" t="s">
        <v>38</v>
      </c>
      <c r="P680" t="str">
        <f>_xlfn.IFS(LEFT(indian_retail_raw_1000[[#This Row],[x]],1)="W", "West",LEFT(indian_retail_raw_1000[[#This Row],[x]],1)= "E","East",LEFT(O680,1) = "S", "South",LEFT(O680,1) = "N", "North")</f>
        <v>North</v>
      </c>
      <c r="Q680" t="s">
        <v>30</v>
      </c>
      <c r="R680" t="s">
        <v>16</v>
      </c>
      <c r="S680" t="str">
        <f>TEXT(indian_retail_raw_1000[[#This Row],[Order_Date]],"MMM")</f>
        <v>Sep</v>
      </c>
    </row>
    <row r="681" spans="1:19" x14ac:dyDescent="0.25">
      <c r="A681" t="s">
        <v>815</v>
      </c>
      <c r="B681" s="1">
        <v>45209</v>
      </c>
      <c r="C681" t="s">
        <v>217</v>
      </c>
      <c r="D681">
        <v>64</v>
      </c>
      <c r="E681" t="s">
        <v>23</v>
      </c>
      <c r="F681" t="s">
        <v>30</v>
      </c>
      <c r="G681" t="s">
        <v>67</v>
      </c>
      <c r="H681">
        <v>4</v>
      </c>
      <c r="I681">
        <v>3456</v>
      </c>
      <c r="K681" t="s">
        <v>25</v>
      </c>
      <c r="L681" t="s">
        <v>51</v>
      </c>
      <c r="M6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81">
        <v>13824</v>
      </c>
      <c r="O681" t="s">
        <v>45</v>
      </c>
      <c r="P681" t="str">
        <f>_xlfn.IFS(LEFT(indian_retail_raw_1000[[#This Row],[x]],1)="W", "West",LEFT(indian_retail_raw_1000[[#This Row],[x]],1)= "E","East",LEFT(O681,1) = "S", "South",LEFT(O681,1) = "N", "North")</f>
        <v>East</v>
      </c>
      <c r="Q681" t="s">
        <v>30</v>
      </c>
      <c r="R681" t="s">
        <v>23</v>
      </c>
      <c r="S681" t="str">
        <f>TEXT(indian_retail_raw_1000[[#This Row],[Order_Date]],"MMM")</f>
        <v>Oct</v>
      </c>
    </row>
    <row r="682" spans="1:19" x14ac:dyDescent="0.25">
      <c r="A682" t="s">
        <v>441</v>
      </c>
      <c r="B682" s="1">
        <v>44927</v>
      </c>
      <c r="C682" t="s">
        <v>128</v>
      </c>
      <c r="D682">
        <v>59</v>
      </c>
      <c r="E682" t="s">
        <v>16</v>
      </c>
      <c r="F682" t="s">
        <v>54</v>
      </c>
      <c r="G682" t="s">
        <v>282</v>
      </c>
      <c r="H682">
        <v>1</v>
      </c>
      <c r="I682">
        <v>18700</v>
      </c>
      <c r="J682">
        <v>25</v>
      </c>
      <c r="K682" t="s">
        <v>50</v>
      </c>
      <c r="L682" t="s">
        <v>20</v>
      </c>
      <c r="M6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2">
        <v>14025</v>
      </c>
      <c r="O682" t="s">
        <v>45</v>
      </c>
      <c r="P682" t="str">
        <f>_xlfn.IFS(LEFT(indian_retail_raw_1000[[#This Row],[x]],1)="W", "West",LEFT(indian_retail_raw_1000[[#This Row],[x]],1)= "E","East",LEFT(O682,1) = "S", "South",LEFT(O682,1) = "N", "North")</f>
        <v>East</v>
      </c>
      <c r="Q682" t="s">
        <v>54</v>
      </c>
      <c r="R682" t="s">
        <v>16</v>
      </c>
      <c r="S682" t="str">
        <f>TEXT(indian_retail_raw_1000[[#This Row],[Order_Date]],"MMM")</f>
        <v>Jan</v>
      </c>
    </row>
    <row r="683" spans="1:19" x14ac:dyDescent="0.25">
      <c r="A683" t="s">
        <v>441</v>
      </c>
      <c r="B683" s="1">
        <v>44927</v>
      </c>
      <c r="C683" t="s">
        <v>128</v>
      </c>
      <c r="D683">
        <v>59</v>
      </c>
      <c r="E683" t="s">
        <v>16</v>
      </c>
      <c r="F683" t="s">
        <v>54</v>
      </c>
      <c r="G683" t="s">
        <v>282</v>
      </c>
      <c r="H683">
        <v>1</v>
      </c>
      <c r="I683">
        <v>18700</v>
      </c>
      <c r="J683">
        <v>25</v>
      </c>
      <c r="K683" t="s">
        <v>50</v>
      </c>
      <c r="L683" t="s">
        <v>20</v>
      </c>
      <c r="M6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3">
        <v>14025</v>
      </c>
      <c r="O683" t="s">
        <v>45</v>
      </c>
      <c r="P683" t="str">
        <f>_xlfn.IFS(LEFT(indian_retail_raw_1000[[#This Row],[x]],1)="W", "West",LEFT(indian_retail_raw_1000[[#This Row],[x]],1)= "E","East",LEFT(O683,1) = "S", "South",LEFT(O683,1) = "N", "North")</f>
        <v>East</v>
      </c>
      <c r="Q683" t="s">
        <v>54</v>
      </c>
      <c r="R683" t="s">
        <v>16</v>
      </c>
      <c r="S683" t="str">
        <f>TEXT(indian_retail_raw_1000[[#This Row],[Order_Date]],"MMM")</f>
        <v>Jan</v>
      </c>
    </row>
    <row r="684" spans="1:19" x14ac:dyDescent="0.25">
      <c r="A684" t="s">
        <v>652</v>
      </c>
      <c r="B684" s="1">
        <v>44992</v>
      </c>
      <c r="C684" t="s">
        <v>152</v>
      </c>
      <c r="D684">
        <v>53</v>
      </c>
      <c r="E684" t="s">
        <v>23</v>
      </c>
      <c r="F684" t="s">
        <v>17</v>
      </c>
      <c r="G684" t="s">
        <v>80</v>
      </c>
      <c r="H684">
        <v>3</v>
      </c>
      <c r="I684">
        <v>6800</v>
      </c>
      <c r="J684">
        <v>30</v>
      </c>
      <c r="K684" t="s">
        <v>50</v>
      </c>
      <c r="L684" t="s">
        <v>20</v>
      </c>
      <c r="M6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4">
        <v>14280</v>
      </c>
      <c r="O684" t="s">
        <v>21</v>
      </c>
      <c r="P684" t="str">
        <f>_xlfn.IFS(LEFT(indian_retail_raw_1000[[#This Row],[x]],1)="W", "West",LEFT(indian_retail_raw_1000[[#This Row],[x]],1)= "E","East",LEFT(O684,1) = "S", "South",LEFT(O684,1) = "N", "North")</f>
        <v>South</v>
      </c>
      <c r="Q684" t="s">
        <v>17</v>
      </c>
      <c r="R684" t="s">
        <v>23</v>
      </c>
      <c r="S684" t="str">
        <f>TEXT(indian_retail_raw_1000[[#This Row],[Order_Date]],"MMM")</f>
        <v>Mar</v>
      </c>
    </row>
    <row r="685" spans="1:19" x14ac:dyDescent="0.25">
      <c r="A685" t="s">
        <v>219</v>
      </c>
      <c r="B685" s="1">
        <v>45139</v>
      </c>
      <c r="C685" t="s">
        <v>43</v>
      </c>
      <c r="D685">
        <v>47</v>
      </c>
      <c r="E685" t="s">
        <v>16</v>
      </c>
      <c r="F685" t="s">
        <v>220</v>
      </c>
      <c r="G685" t="s">
        <v>67</v>
      </c>
      <c r="H685">
        <v>5</v>
      </c>
      <c r="I685">
        <v>2723</v>
      </c>
      <c r="J685">
        <v>-5</v>
      </c>
      <c r="K685" t="s">
        <v>19</v>
      </c>
      <c r="L685" t="s">
        <v>51</v>
      </c>
      <c r="M6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85">
        <v>14295.75</v>
      </c>
      <c r="O685" t="s">
        <v>45</v>
      </c>
      <c r="P685" t="str">
        <f>_xlfn.IFS(LEFT(indian_retail_raw_1000[[#This Row],[x]],1)="W", "West",LEFT(indian_retail_raw_1000[[#This Row],[x]],1)= "E","East",LEFT(O685,1) = "S", "South",LEFT(O685,1) = "N", "North")</f>
        <v>East</v>
      </c>
      <c r="Q685" t="s">
        <v>30</v>
      </c>
      <c r="R685" t="s">
        <v>16</v>
      </c>
      <c r="S685" t="str">
        <f>TEXT(indian_retail_raw_1000[[#This Row],[Order_Date]],"MMM")</f>
        <v>Aug</v>
      </c>
    </row>
    <row r="686" spans="1:19" x14ac:dyDescent="0.25">
      <c r="A686" t="s">
        <v>118</v>
      </c>
      <c r="B686" s="1">
        <v>44948</v>
      </c>
      <c r="C686" t="s">
        <v>1336</v>
      </c>
      <c r="D686">
        <v>25</v>
      </c>
      <c r="E686" t="s">
        <v>16</v>
      </c>
      <c r="F686" t="s">
        <v>30</v>
      </c>
      <c r="G686" t="s">
        <v>31</v>
      </c>
      <c r="H686">
        <v>10</v>
      </c>
      <c r="I686">
        <v>1907</v>
      </c>
      <c r="J686">
        <v>25</v>
      </c>
      <c r="K686" t="s">
        <v>41</v>
      </c>
      <c r="L686" t="s">
        <v>51</v>
      </c>
      <c r="M6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86">
        <v>14302.5</v>
      </c>
      <c r="O686" t="s">
        <v>38</v>
      </c>
      <c r="P686" t="str">
        <f>_xlfn.IFS(LEFT(indian_retail_raw_1000[[#This Row],[x]],1)="W", "West",LEFT(indian_retail_raw_1000[[#This Row],[x]],1)= "E","East",LEFT(O686,1) = "S", "South",LEFT(O686,1) = "N", "North")</f>
        <v>North</v>
      </c>
      <c r="Q686" t="s">
        <v>30</v>
      </c>
      <c r="R686" t="s">
        <v>16</v>
      </c>
      <c r="S686" t="str">
        <f>TEXT(indian_retail_raw_1000[[#This Row],[Order_Date]],"MMM")</f>
        <v>Jan</v>
      </c>
    </row>
    <row r="687" spans="1:19" x14ac:dyDescent="0.25">
      <c r="A687" t="s">
        <v>61</v>
      </c>
      <c r="B687" s="1">
        <v>45262</v>
      </c>
      <c r="C687" t="s">
        <v>62</v>
      </c>
      <c r="D687">
        <v>60</v>
      </c>
      <c r="E687" t="s">
        <v>29</v>
      </c>
      <c r="F687" t="s">
        <v>35</v>
      </c>
      <c r="G687" t="s">
        <v>63</v>
      </c>
      <c r="H687">
        <v>4</v>
      </c>
      <c r="I687">
        <v>4225</v>
      </c>
      <c r="J687">
        <v>15</v>
      </c>
      <c r="K687" t="s">
        <v>64</v>
      </c>
      <c r="L687" t="s">
        <v>20</v>
      </c>
      <c r="M6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7">
        <v>14365</v>
      </c>
      <c r="O687" t="s">
        <v>45</v>
      </c>
      <c r="P687" t="str">
        <f>_xlfn.IFS(LEFT(indian_retail_raw_1000[[#This Row],[x]],1)="W", "West",LEFT(indian_retail_raw_1000[[#This Row],[x]],1)= "E","East",LEFT(O687,1) = "S", "South",LEFT(O687,1) = "N", "North")</f>
        <v>East</v>
      </c>
      <c r="Q687" t="s">
        <v>35</v>
      </c>
      <c r="R687" t="s">
        <v>16</v>
      </c>
      <c r="S687" t="str">
        <f>TEXT(indian_retail_raw_1000[[#This Row],[Order_Date]],"MMM")</f>
        <v>Dec</v>
      </c>
    </row>
    <row r="688" spans="1:19" x14ac:dyDescent="0.25">
      <c r="A688" t="s">
        <v>990</v>
      </c>
      <c r="B688" s="1" t="s">
        <v>1336</v>
      </c>
      <c r="C688" t="s">
        <v>628</v>
      </c>
      <c r="D688">
        <v>27</v>
      </c>
      <c r="E688" t="s">
        <v>23</v>
      </c>
      <c r="F688" t="s">
        <v>17</v>
      </c>
      <c r="G688" t="s">
        <v>189</v>
      </c>
      <c r="H688">
        <v>3</v>
      </c>
      <c r="I688">
        <v>4800</v>
      </c>
      <c r="J688">
        <v>0</v>
      </c>
      <c r="K688" t="s">
        <v>89</v>
      </c>
      <c r="L688" t="s">
        <v>51</v>
      </c>
      <c r="M6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88">
        <v>14400</v>
      </c>
      <c r="O688" t="s">
        <v>21</v>
      </c>
      <c r="P688" t="str">
        <f>_xlfn.IFS(LEFT(indian_retail_raw_1000[[#This Row],[x]],1)="W", "West",LEFT(indian_retail_raw_1000[[#This Row],[x]],1)= "E","East",LEFT(O688,1) = "S", "South",LEFT(O688,1) = "N", "North")</f>
        <v>South</v>
      </c>
      <c r="Q688" t="s">
        <v>17</v>
      </c>
      <c r="R688" t="s">
        <v>23</v>
      </c>
      <c r="S688" t="str">
        <f>TEXT(indian_retail_raw_1000[[#This Row],[Order_Date]],"MMM")</f>
        <v>Null</v>
      </c>
    </row>
    <row r="689" spans="1:19" x14ac:dyDescent="0.25">
      <c r="A689" t="s">
        <v>1124</v>
      </c>
      <c r="B689" s="1">
        <v>45125</v>
      </c>
      <c r="C689" t="s">
        <v>1336</v>
      </c>
      <c r="D689">
        <v>47</v>
      </c>
      <c r="E689" t="s">
        <v>23</v>
      </c>
      <c r="F689" t="s">
        <v>30</v>
      </c>
      <c r="G689" t="s">
        <v>195</v>
      </c>
      <c r="H689">
        <v>7</v>
      </c>
      <c r="I689">
        <v>2942</v>
      </c>
      <c r="J689">
        <v>30</v>
      </c>
      <c r="K689" t="s">
        <v>19</v>
      </c>
      <c r="L689" t="s">
        <v>20</v>
      </c>
      <c r="M6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9">
        <v>14415.8</v>
      </c>
      <c r="O689" t="s">
        <v>38</v>
      </c>
      <c r="P689" t="str">
        <f>_xlfn.IFS(LEFT(indian_retail_raw_1000[[#This Row],[x]],1)="W", "West",LEFT(indian_retail_raw_1000[[#This Row],[x]],1)= "E","East",LEFT(O689,1) = "S", "South",LEFT(O689,1) = "N", "North")</f>
        <v>North</v>
      </c>
      <c r="Q689" t="s">
        <v>30</v>
      </c>
      <c r="R689" t="s">
        <v>23</v>
      </c>
      <c r="S689" t="str">
        <f>TEXT(indian_retail_raw_1000[[#This Row],[Order_Date]],"MMM")</f>
        <v>Jul</v>
      </c>
    </row>
    <row r="690" spans="1:19" x14ac:dyDescent="0.25">
      <c r="A690" t="s">
        <v>154</v>
      </c>
      <c r="B690" s="1" t="s">
        <v>1336</v>
      </c>
      <c r="C690" t="s">
        <v>156</v>
      </c>
      <c r="D690">
        <v>26</v>
      </c>
      <c r="E690" t="s">
        <v>23</v>
      </c>
      <c r="F690" t="s">
        <v>30</v>
      </c>
      <c r="G690" t="s">
        <v>121</v>
      </c>
      <c r="H690">
        <v>3</v>
      </c>
      <c r="I690">
        <v>6012</v>
      </c>
      <c r="J690">
        <v>20</v>
      </c>
      <c r="K690" t="s">
        <v>41</v>
      </c>
      <c r="L690" t="s">
        <v>51</v>
      </c>
      <c r="M6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90">
        <v>14428.8</v>
      </c>
      <c r="O690" t="s">
        <v>21</v>
      </c>
      <c r="P690" t="str">
        <f>_xlfn.IFS(LEFT(indian_retail_raw_1000[[#This Row],[x]],1)="W", "West",LEFT(indian_retail_raw_1000[[#This Row],[x]],1)= "E","East",LEFT(O690,1) = "S", "South",LEFT(O690,1) = "N", "North")</f>
        <v>South</v>
      </c>
      <c r="Q690" t="s">
        <v>30</v>
      </c>
      <c r="R690" t="s">
        <v>23</v>
      </c>
      <c r="S690" t="str">
        <f>TEXT(indian_retail_raw_1000[[#This Row],[Order_Date]],"MMM")</f>
        <v>Null</v>
      </c>
    </row>
    <row r="691" spans="1:19" x14ac:dyDescent="0.25">
      <c r="A691" t="s">
        <v>998</v>
      </c>
      <c r="B691" s="1">
        <v>45285</v>
      </c>
      <c r="C691" t="s">
        <v>165</v>
      </c>
      <c r="D691">
        <v>46</v>
      </c>
      <c r="E691" t="s">
        <v>73</v>
      </c>
      <c r="F691" t="s">
        <v>54</v>
      </c>
      <c r="G691" t="s">
        <v>280</v>
      </c>
      <c r="H691">
        <v>2</v>
      </c>
      <c r="I691">
        <v>76600</v>
      </c>
      <c r="J691">
        <v>5</v>
      </c>
      <c r="K691" t="s">
        <v>222</v>
      </c>
      <c r="L691" t="s">
        <v>20</v>
      </c>
      <c r="M6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1">
        <v>14554</v>
      </c>
      <c r="O691" t="s">
        <v>26</v>
      </c>
      <c r="P691" t="str">
        <f>_xlfn.IFS(LEFT(indian_retail_raw_1000[[#This Row],[x]],1)="W", "West",LEFT(indian_retail_raw_1000[[#This Row],[x]],1)= "E","East",LEFT(O691,1) = "S", "South",LEFT(O691,1) = "N", "North")</f>
        <v>West</v>
      </c>
      <c r="Q691" t="s">
        <v>54</v>
      </c>
      <c r="R691" t="s">
        <v>23</v>
      </c>
      <c r="S691" t="str">
        <f>TEXT(indian_retail_raw_1000[[#This Row],[Order_Date]],"MMM")</f>
        <v>Dec</v>
      </c>
    </row>
    <row r="692" spans="1:19" x14ac:dyDescent="0.25">
      <c r="A692" t="s">
        <v>814</v>
      </c>
      <c r="B692" s="1">
        <v>45183</v>
      </c>
      <c r="C692" t="s">
        <v>28</v>
      </c>
      <c r="D692">
        <v>25</v>
      </c>
      <c r="E692" t="s">
        <v>23</v>
      </c>
      <c r="F692" t="s">
        <v>54</v>
      </c>
      <c r="G692" t="s">
        <v>104</v>
      </c>
      <c r="H692">
        <v>1</v>
      </c>
      <c r="I692">
        <v>14600</v>
      </c>
      <c r="J692">
        <v>20</v>
      </c>
      <c r="K692" t="s">
        <v>41</v>
      </c>
      <c r="L692" t="s">
        <v>20</v>
      </c>
      <c r="M6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2">
        <v>14600</v>
      </c>
      <c r="O692" t="s">
        <v>38</v>
      </c>
      <c r="P692" t="str">
        <f>_xlfn.IFS(LEFT(indian_retail_raw_1000[[#This Row],[x]],1)="W", "West",LEFT(indian_retail_raw_1000[[#This Row],[x]],1)= "E","East",LEFT(O692,1) = "S", "South",LEFT(O692,1) = "N", "North")</f>
        <v>North</v>
      </c>
      <c r="Q692" t="s">
        <v>54</v>
      </c>
      <c r="R692" t="s">
        <v>23</v>
      </c>
      <c r="S692" t="str">
        <f>TEXT(indian_retail_raw_1000[[#This Row],[Order_Date]],"MMM")</f>
        <v>Sep</v>
      </c>
    </row>
    <row r="693" spans="1:19" x14ac:dyDescent="0.25">
      <c r="A693" t="s">
        <v>300</v>
      </c>
      <c r="B693" s="1">
        <v>45186</v>
      </c>
      <c r="C693" t="s">
        <v>152</v>
      </c>
      <c r="D693">
        <v>40</v>
      </c>
      <c r="E693" t="s">
        <v>73</v>
      </c>
      <c r="F693" t="s">
        <v>35</v>
      </c>
      <c r="G693" t="s">
        <v>203</v>
      </c>
      <c r="H693">
        <v>10</v>
      </c>
      <c r="I693">
        <v>1540</v>
      </c>
      <c r="J693">
        <v>5</v>
      </c>
      <c r="K693" t="s">
        <v>19</v>
      </c>
      <c r="L693" t="s">
        <v>51</v>
      </c>
      <c r="M6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93">
        <v>14630</v>
      </c>
      <c r="O693" t="s">
        <v>26</v>
      </c>
      <c r="P693" t="str">
        <f>_xlfn.IFS(LEFT(indian_retail_raw_1000[[#This Row],[x]],1)="W", "West",LEFT(indian_retail_raw_1000[[#This Row],[x]],1)= "E","East",LEFT(O693,1) = "S", "South",LEFT(O693,1) = "N", "North")</f>
        <v>West</v>
      </c>
      <c r="Q693" t="s">
        <v>35</v>
      </c>
      <c r="R693" t="s">
        <v>23</v>
      </c>
      <c r="S693" t="str">
        <f>TEXT(indian_retail_raw_1000[[#This Row],[Order_Date]],"MMM")</f>
        <v>Sep</v>
      </c>
    </row>
    <row r="694" spans="1:19" x14ac:dyDescent="0.25">
      <c r="A694" t="s">
        <v>396</v>
      </c>
      <c r="B694" s="1">
        <v>45203</v>
      </c>
      <c r="C694" t="s">
        <v>165</v>
      </c>
      <c r="E694" t="s">
        <v>16</v>
      </c>
      <c r="F694" t="s">
        <v>384</v>
      </c>
      <c r="G694" t="s">
        <v>121</v>
      </c>
      <c r="H694">
        <v>4</v>
      </c>
      <c r="I694">
        <v>4083</v>
      </c>
      <c r="J694">
        <v>10</v>
      </c>
      <c r="K694" t="s">
        <v>41</v>
      </c>
      <c r="L694" t="s">
        <v>20</v>
      </c>
      <c r="M6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4">
        <v>14698.8</v>
      </c>
      <c r="O694" t="s">
        <v>38</v>
      </c>
      <c r="P694" t="str">
        <f>_xlfn.IFS(LEFT(indian_retail_raw_1000[[#This Row],[x]],1)="W", "West",LEFT(indian_retail_raw_1000[[#This Row],[x]],1)= "E","East",LEFT(O694,1) = "S", "South",LEFT(O694,1) = "N", "North")</f>
        <v>North</v>
      </c>
      <c r="Q694" t="s">
        <v>30</v>
      </c>
      <c r="R694" t="s">
        <v>16</v>
      </c>
      <c r="S694" t="str">
        <f>TEXT(indian_retail_raw_1000[[#This Row],[Order_Date]],"MMM")</f>
        <v>Oct</v>
      </c>
    </row>
    <row r="695" spans="1:19" x14ac:dyDescent="0.25">
      <c r="A695" t="s">
        <v>1063</v>
      </c>
      <c r="B695" s="1">
        <v>45035</v>
      </c>
      <c r="C695" t="s">
        <v>241</v>
      </c>
      <c r="D695">
        <v>54</v>
      </c>
      <c r="E695" t="s">
        <v>16</v>
      </c>
      <c r="F695" t="s">
        <v>54</v>
      </c>
      <c r="G695" t="s">
        <v>92</v>
      </c>
      <c r="H695">
        <v>1</v>
      </c>
      <c r="I695">
        <v>14700</v>
      </c>
      <c r="J695">
        <v>0</v>
      </c>
      <c r="K695" t="s">
        <v>19</v>
      </c>
      <c r="L695" t="s">
        <v>20</v>
      </c>
      <c r="M6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5">
        <v>14700</v>
      </c>
      <c r="O695" t="s">
        <v>45</v>
      </c>
      <c r="P695" t="str">
        <f>_xlfn.IFS(LEFT(indian_retail_raw_1000[[#This Row],[x]],1)="W", "West",LEFT(indian_retail_raw_1000[[#This Row],[x]],1)= "E","East",LEFT(O695,1) = "S", "South",LEFT(O695,1) = "N", "North")</f>
        <v>East</v>
      </c>
      <c r="Q695" t="s">
        <v>54</v>
      </c>
      <c r="R695" t="s">
        <v>16</v>
      </c>
      <c r="S695" t="str">
        <f>TEXT(indian_retail_raw_1000[[#This Row],[Order_Date]],"MMM")</f>
        <v>Apr</v>
      </c>
    </row>
    <row r="696" spans="1:19" x14ac:dyDescent="0.25">
      <c r="A696" t="s">
        <v>1062</v>
      </c>
      <c r="B696" s="1">
        <v>44989</v>
      </c>
      <c r="C696" t="s">
        <v>358</v>
      </c>
      <c r="D696">
        <v>33</v>
      </c>
      <c r="E696" t="s">
        <v>23</v>
      </c>
      <c r="F696" t="s">
        <v>54</v>
      </c>
      <c r="G696" t="s">
        <v>144</v>
      </c>
      <c r="H696">
        <v>2</v>
      </c>
      <c r="I696">
        <v>73700</v>
      </c>
      <c r="J696">
        <v>0</v>
      </c>
      <c r="K696" t="s">
        <v>487</v>
      </c>
      <c r="L696" t="s">
        <v>20</v>
      </c>
      <c r="M6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6">
        <v>14740</v>
      </c>
      <c r="O696" t="s">
        <v>349</v>
      </c>
      <c r="P696" t="str">
        <f>_xlfn.IFS(LEFT(indian_retail_raw_1000[[#This Row],[x]],1)="W", "West",LEFT(indian_retail_raw_1000[[#This Row],[x]],1)= "E","East",LEFT(O696,1) = "S", "South",LEFT(O696,1) = "N", "North")</f>
        <v>South</v>
      </c>
      <c r="Q696" t="s">
        <v>54</v>
      </c>
      <c r="R696" t="s">
        <v>23</v>
      </c>
      <c r="S696" t="str">
        <f>TEXT(indian_retail_raw_1000[[#This Row],[Order_Date]],"MMM")</f>
        <v>Mar</v>
      </c>
    </row>
    <row r="697" spans="1:19" x14ac:dyDescent="0.25">
      <c r="A697" t="s">
        <v>1068</v>
      </c>
      <c r="B697" s="1">
        <v>45210</v>
      </c>
      <c r="C697" t="s">
        <v>87</v>
      </c>
      <c r="D697">
        <v>32</v>
      </c>
      <c r="E697" t="s">
        <v>23</v>
      </c>
      <c r="F697" t="s">
        <v>17</v>
      </c>
      <c r="G697" t="s">
        <v>124</v>
      </c>
      <c r="H697">
        <v>1</v>
      </c>
      <c r="I697">
        <v>6150</v>
      </c>
      <c r="J697">
        <v>40</v>
      </c>
      <c r="K697" t="s">
        <v>19</v>
      </c>
      <c r="L697" t="s">
        <v>20</v>
      </c>
      <c r="M6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7">
        <v>14760</v>
      </c>
      <c r="O697" t="s">
        <v>167</v>
      </c>
      <c r="P697" t="str">
        <f>_xlfn.IFS(LEFT(indian_retail_raw_1000[[#This Row],[x]],1)="W", "West",LEFT(indian_retail_raw_1000[[#This Row],[x]],1)= "E","East",LEFT(O697,1) = "S", "South",LEFT(O697,1) = "N", "North")</f>
        <v>North</v>
      </c>
      <c r="Q697" t="s">
        <v>17</v>
      </c>
      <c r="R697" t="s">
        <v>23</v>
      </c>
      <c r="S697" t="str">
        <f>TEXT(indian_retail_raw_1000[[#This Row],[Order_Date]],"MMM")</f>
        <v>Oct</v>
      </c>
    </row>
    <row r="698" spans="1:19" x14ac:dyDescent="0.25">
      <c r="A698" t="s">
        <v>65</v>
      </c>
      <c r="B698" s="1">
        <v>45028</v>
      </c>
      <c r="C698" t="s">
        <v>66</v>
      </c>
      <c r="D698">
        <v>61</v>
      </c>
      <c r="E698" t="s">
        <v>16</v>
      </c>
      <c r="F698" t="s">
        <v>30</v>
      </c>
      <c r="G698" t="s">
        <v>67</v>
      </c>
      <c r="H698">
        <v>5</v>
      </c>
      <c r="I698">
        <v>4220</v>
      </c>
      <c r="J698">
        <v>30</v>
      </c>
      <c r="K698" t="s">
        <v>41</v>
      </c>
      <c r="L698" t="s">
        <v>51</v>
      </c>
      <c r="M6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98">
        <v>14770</v>
      </c>
      <c r="O698" t="s">
        <v>38</v>
      </c>
      <c r="P698" t="str">
        <f>_xlfn.IFS(LEFT(indian_retail_raw_1000[[#This Row],[x]],1)="W", "West",LEFT(indian_retail_raw_1000[[#This Row],[x]],1)= "E","East",LEFT(O698,1) = "S", "South",LEFT(O698,1) = "N", "North")</f>
        <v>North</v>
      </c>
      <c r="Q698" t="s">
        <v>30</v>
      </c>
      <c r="R698" t="s">
        <v>16</v>
      </c>
      <c r="S698" t="str">
        <f>TEXT(indian_retail_raw_1000[[#This Row],[Order_Date]],"MMM")</f>
        <v>Apr</v>
      </c>
    </row>
    <row r="699" spans="1:19" x14ac:dyDescent="0.25">
      <c r="A699" t="s">
        <v>190</v>
      </c>
      <c r="B699" s="1">
        <v>44963</v>
      </c>
      <c r="C699" t="s">
        <v>48</v>
      </c>
      <c r="D699">
        <v>61</v>
      </c>
      <c r="E699" t="s">
        <v>16</v>
      </c>
      <c r="F699" t="s">
        <v>17</v>
      </c>
      <c r="G699" t="s">
        <v>117</v>
      </c>
      <c r="H699">
        <v>2</v>
      </c>
      <c r="I699">
        <v>7800</v>
      </c>
      <c r="J699">
        <v>5</v>
      </c>
      <c r="K699" t="s">
        <v>41</v>
      </c>
      <c r="L699" t="s">
        <v>20</v>
      </c>
      <c r="M6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9">
        <v>14820</v>
      </c>
      <c r="O699" t="s">
        <v>26</v>
      </c>
      <c r="P699" t="str">
        <f>_xlfn.IFS(LEFT(indian_retail_raw_1000[[#This Row],[x]],1)="W", "West",LEFT(indian_retail_raw_1000[[#This Row],[x]],1)= "E","East",LEFT(O699,1) = "S", "South",LEFT(O699,1) = "N", "North")</f>
        <v>West</v>
      </c>
      <c r="Q699" t="s">
        <v>17</v>
      </c>
      <c r="R699" t="s">
        <v>16</v>
      </c>
      <c r="S699" t="str">
        <f>TEXT(indian_retail_raw_1000[[#This Row],[Order_Date]],"MMM")</f>
        <v>Feb</v>
      </c>
    </row>
    <row r="700" spans="1:19" x14ac:dyDescent="0.25">
      <c r="A700" t="s">
        <v>307</v>
      </c>
      <c r="B700" s="1">
        <v>45072</v>
      </c>
      <c r="C700" t="s">
        <v>1336</v>
      </c>
      <c r="D700">
        <v>62</v>
      </c>
      <c r="E700" t="s">
        <v>16</v>
      </c>
      <c r="F700" t="s">
        <v>30</v>
      </c>
      <c r="G700" t="s">
        <v>67</v>
      </c>
      <c r="H700">
        <v>10</v>
      </c>
      <c r="I700">
        <v>2968</v>
      </c>
      <c r="J700">
        <v>50</v>
      </c>
      <c r="K700" t="s">
        <v>25</v>
      </c>
      <c r="L700" t="s">
        <v>20</v>
      </c>
      <c r="M7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0">
        <v>14840</v>
      </c>
      <c r="O700" t="s">
        <v>45</v>
      </c>
      <c r="P700" t="str">
        <f>_xlfn.IFS(LEFT(indian_retail_raw_1000[[#This Row],[x]],1)="W", "West",LEFT(indian_retail_raw_1000[[#This Row],[x]],1)= "E","East",LEFT(O700,1) = "S", "South",LEFT(O700,1) = "N", "North")</f>
        <v>East</v>
      </c>
      <c r="Q700" t="s">
        <v>30</v>
      </c>
      <c r="R700" t="s">
        <v>16</v>
      </c>
      <c r="S700" t="str">
        <f>TEXT(indian_retail_raw_1000[[#This Row],[Order_Date]],"MMM")</f>
        <v>May</v>
      </c>
    </row>
    <row r="701" spans="1:19" x14ac:dyDescent="0.25">
      <c r="A701" t="s">
        <v>112</v>
      </c>
      <c r="B701" s="1">
        <v>45180</v>
      </c>
      <c r="C701" t="s">
        <v>48</v>
      </c>
      <c r="D701">
        <v>55</v>
      </c>
      <c r="E701" t="s">
        <v>16</v>
      </c>
      <c r="F701" t="s">
        <v>30</v>
      </c>
      <c r="G701" t="s">
        <v>31</v>
      </c>
      <c r="H701">
        <v>10</v>
      </c>
      <c r="I701">
        <v>1685</v>
      </c>
      <c r="J701">
        <v>10</v>
      </c>
      <c r="K701" t="s">
        <v>19</v>
      </c>
      <c r="L701" t="s">
        <v>56</v>
      </c>
      <c r="M7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01">
        <v>15165</v>
      </c>
      <c r="O701" t="s">
        <v>45</v>
      </c>
      <c r="P701" t="str">
        <f>_xlfn.IFS(LEFT(indian_retail_raw_1000[[#This Row],[x]],1)="W", "West",LEFT(indian_retail_raw_1000[[#This Row],[x]],1)= "E","East",LEFT(O701,1) = "S", "South",LEFT(O701,1) = "N", "North")</f>
        <v>East</v>
      </c>
      <c r="Q701" t="s">
        <v>30</v>
      </c>
      <c r="R701" t="s">
        <v>16</v>
      </c>
      <c r="S701" t="str">
        <f>TEXT(indian_retail_raw_1000[[#This Row],[Order_Date]],"MMM")</f>
        <v>Sep</v>
      </c>
    </row>
    <row r="702" spans="1:19" x14ac:dyDescent="0.25">
      <c r="A702" t="s">
        <v>1015</v>
      </c>
      <c r="B702" s="1">
        <v>45132</v>
      </c>
      <c r="C702" t="s">
        <v>1336</v>
      </c>
      <c r="D702">
        <v>26</v>
      </c>
      <c r="E702" t="s">
        <v>23</v>
      </c>
      <c r="F702" t="s">
        <v>54</v>
      </c>
      <c r="G702" t="s">
        <v>114</v>
      </c>
      <c r="H702">
        <v>2</v>
      </c>
      <c r="I702">
        <v>79900</v>
      </c>
      <c r="J702">
        <v>5</v>
      </c>
      <c r="K702" t="s">
        <v>487</v>
      </c>
      <c r="L702" t="s">
        <v>20</v>
      </c>
      <c r="M7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2">
        <v>15181</v>
      </c>
      <c r="O702" t="s">
        <v>332</v>
      </c>
      <c r="P702" t="str">
        <f>_xlfn.IFS(LEFT(indian_retail_raw_1000[[#This Row],[x]],1)="W", "West",LEFT(indian_retail_raw_1000[[#This Row],[x]],1)= "E","East",LEFT(O702,1) = "S", "South",LEFT(O702,1) = "N", "North")</f>
        <v>North</v>
      </c>
      <c r="Q702" t="s">
        <v>54</v>
      </c>
      <c r="R702" t="s">
        <v>23</v>
      </c>
      <c r="S702" t="str">
        <f>TEXT(indian_retail_raw_1000[[#This Row],[Order_Date]],"MMM")</f>
        <v>Jul</v>
      </c>
    </row>
    <row r="703" spans="1:19" x14ac:dyDescent="0.25">
      <c r="A703" t="s">
        <v>1262</v>
      </c>
      <c r="B703" s="1" t="s">
        <v>1336</v>
      </c>
      <c r="C703" t="s">
        <v>79</v>
      </c>
      <c r="D703">
        <v>62</v>
      </c>
      <c r="E703" t="s">
        <v>16</v>
      </c>
      <c r="F703" t="s">
        <v>30</v>
      </c>
      <c r="G703" t="s">
        <v>31</v>
      </c>
      <c r="H703">
        <v>6</v>
      </c>
      <c r="I703">
        <v>2823</v>
      </c>
      <c r="J703">
        <v>10</v>
      </c>
      <c r="K703" t="s">
        <v>50</v>
      </c>
      <c r="L703" t="s">
        <v>20</v>
      </c>
      <c r="M7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3">
        <v>15244.2</v>
      </c>
      <c r="O703" t="s">
        <v>57</v>
      </c>
      <c r="P703" t="str">
        <f>_xlfn.IFS(LEFT(indian_retail_raw_1000[[#This Row],[x]],1)="W", "West",LEFT(indian_retail_raw_1000[[#This Row],[x]],1)= "E","East",LEFT(O703,1) = "S", "South",LEFT(O703,1) = "N", "North")</f>
        <v>West</v>
      </c>
      <c r="Q703" t="s">
        <v>30</v>
      </c>
      <c r="R703" t="s">
        <v>16</v>
      </c>
      <c r="S703" t="str">
        <f>TEXT(indian_retail_raw_1000[[#This Row],[Order_Date]],"MMM")</f>
        <v>Null</v>
      </c>
    </row>
    <row r="704" spans="1:19" x14ac:dyDescent="0.25">
      <c r="A704" t="s">
        <v>113</v>
      </c>
      <c r="B704" s="1">
        <v>45244</v>
      </c>
      <c r="C704" t="s">
        <v>48</v>
      </c>
      <c r="D704">
        <v>55</v>
      </c>
      <c r="E704" t="s">
        <v>23</v>
      </c>
      <c r="F704" t="s">
        <v>54</v>
      </c>
      <c r="G704" t="s">
        <v>114</v>
      </c>
      <c r="H704">
        <v>2</v>
      </c>
      <c r="I704">
        <v>84700</v>
      </c>
      <c r="J704">
        <v>10</v>
      </c>
      <c r="K704" t="s">
        <v>115</v>
      </c>
      <c r="L704" t="s">
        <v>56</v>
      </c>
      <c r="M7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04">
        <v>15246</v>
      </c>
      <c r="O704" t="s">
        <v>21</v>
      </c>
      <c r="P704" t="str">
        <f>_xlfn.IFS(LEFT(indian_retail_raw_1000[[#This Row],[x]],1)="W", "West",LEFT(indian_retail_raw_1000[[#This Row],[x]],1)= "E","East",LEFT(O704,1) = "S", "South",LEFT(O704,1) = "N", "North")</f>
        <v>South</v>
      </c>
      <c r="Q704" t="s">
        <v>54</v>
      </c>
      <c r="R704" t="s">
        <v>23</v>
      </c>
      <c r="S704" t="str">
        <f>TEXT(indian_retail_raw_1000[[#This Row],[Order_Date]],"MMM")</f>
        <v>Nov</v>
      </c>
    </row>
    <row r="705" spans="1:19" x14ac:dyDescent="0.25">
      <c r="A705" t="s">
        <v>286</v>
      </c>
      <c r="B705" s="1">
        <v>45119</v>
      </c>
      <c r="C705" t="s">
        <v>48</v>
      </c>
      <c r="D705">
        <v>7</v>
      </c>
      <c r="E705" t="s">
        <v>23</v>
      </c>
      <c r="F705" t="s">
        <v>17</v>
      </c>
      <c r="G705" t="s">
        <v>80</v>
      </c>
      <c r="H705">
        <v>3</v>
      </c>
      <c r="I705">
        <v>5750</v>
      </c>
      <c r="J705">
        <v>10</v>
      </c>
      <c r="K705" t="s">
        <v>19</v>
      </c>
      <c r="L705" t="s">
        <v>51</v>
      </c>
      <c r="M7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05">
        <v>15525</v>
      </c>
      <c r="O705" t="s">
        <v>26</v>
      </c>
      <c r="P705" t="str">
        <f>_xlfn.IFS(LEFT(indian_retail_raw_1000[[#This Row],[x]],1)="W", "West",LEFT(indian_retail_raw_1000[[#This Row],[x]],1)= "E","East",LEFT(O705,1) = "S", "South",LEFT(O705,1) = "N", "North")</f>
        <v>West</v>
      </c>
      <c r="Q705" t="s">
        <v>17</v>
      </c>
      <c r="R705" t="s">
        <v>23</v>
      </c>
      <c r="S705" t="str">
        <f>TEXT(indian_retail_raw_1000[[#This Row],[Order_Date]],"MMM")</f>
        <v>Jul</v>
      </c>
    </row>
    <row r="706" spans="1:19" x14ac:dyDescent="0.25">
      <c r="A706" t="s">
        <v>371</v>
      </c>
      <c r="B706" s="1" t="s">
        <v>1336</v>
      </c>
      <c r="C706" t="s">
        <v>1336</v>
      </c>
      <c r="D706">
        <v>31</v>
      </c>
      <c r="E706" t="s">
        <v>16</v>
      </c>
      <c r="F706" t="s">
        <v>30</v>
      </c>
      <c r="G706" t="s">
        <v>235</v>
      </c>
      <c r="H706">
        <v>7</v>
      </c>
      <c r="I706">
        <v>2356</v>
      </c>
      <c r="J706">
        <v>5</v>
      </c>
      <c r="K706" t="s">
        <v>19</v>
      </c>
      <c r="L706" t="s">
        <v>56</v>
      </c>
      <c r="M7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06">
        <v>15667.4</v>
      </c>
      <c r="O706" t="s">
        <v>38</v>
      </c>
      <c r="P706" t="str">
        <f>_xlfn.IFS(LEFT(indian_retail_raw_1000[[#This Row],[x]],1)="W", "West",LEFT(indian_retail_raw_1000[[#This Row],[x]],1)= "E","East",LEFT(O706,1) = "S", "South",LEFT(O706,1) = "N", "North")</f>
        <v>North</v>
      </c>
      <c r="Q706" t="s">
        <v>30</v>
      </c>
      <c r="R706" t="s">
        <v>16</v>
      </c>
      <c r="S706" t="str">
        <f>TEXT(indian_retail_raw_1000[[#This Row],[Order_Date]],"MMM")</f>
        <v>Null</v>
      </c>
    </row>
    <row r="707" spans="1:19" x14ac:dyDescent="0.25">
      <c r="A707" t="s">
        <v>752</v>
      </c>
      <c r="B707" s="1">
        <v>45211</v>
      </c>
      <c r="C707" t="s">
        <v>355</v>
      </c>
      <c r="D707">
        <v>62</v>
      </c>
      <c r="E707" t="s">
        <v>23</v>
      </c>
      <c r="F707" t="s">
        <v>54</v>
      </c>
      <c r="G707" t="s">
        <v>77</v>
      </c>
      <c r="H707">
        <v>1</v>
      </c>
      <c r="I707">
        <v>15900</v>
      </c>
      <c r="J707">
        <v>0</v>
      </c>
      <c r="K707" t="s">
        <v>50</v>
      </c>
      <c r="L707" t="s">
        <v>51</v>
      </c>
      <c r="M7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07">
        <v>15900</v>
      </c>
      <c r="O707" t="s">
        <v>38</v>
      </c>
      <c r="P707" t="str">
        <f>_xlfn.IFS(LEFT(indian_retail_raw_1000[[#This Row],[x]],1)="W", "West",LEFT(indian_retail_raw_1000[[#This Row],[x]],1)= "E","East",LEFT(O707,1) = "S", "South",LEFT(O707,1) = "N", "North")</f>
        <v>North</v>
      </c>
      <c r="Q707" t="s">
        <v>54</v>
      </c>
      <c r="R707" t="s">
        <v>23</v>
      </c>
      <c r="S707" t="str">
        <f>TEXT(indian_retail_raw_1000[[#This Row],[Order_Date]],"MMM")</f>
        <v>Oct</v>
      </c>
    </row>
    <row r="708" spans="1:19" x14ac:dyDescent="0.25">
      <c r="A708" t="s">
        <v>653</v>
      </c>
      <c r="B708" s="1">
        <v>45132</v>
      </c>
      <c r="C708" t="s">
        <v>170</v>
      </c>
      <c r="D708">
        <v>61</v>
      </c>
      <c r="E708" t="s">
        <v>16</v>
      </c>
      <c r="F708" t="s">
        <v>17</v>
      </c>
      <c r="G708" t="s">
        <v>297</v>
      </c>
      <c r="H708">
        <v>3</v>
      </c>
      <c r="I708">
        <v>5950</v>
      </c>
      <c r="J708">
        <v>10</v>
      </c>
      <c r="K708" t="s">
        <v>41</v>
      </c>
      <c r="L708" t="s">
        <v>20</v>
      </c>
      <c r="M7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8">
        <v>16065</v>
      </c>
      <c r="O708" t="s">
        <v>621</v>
      </c>
      <c r="P708" t="str">
        <f>_xlfn.IFS(LEFT(indian_retail_raw_1000[[#This Row],[x]],1)="W", "West",LEFT(indian_retail_raw_1000[[#This Row],[x]],1)= "E","East",LEFT(O708,1) = "S", "South",LEFT(O708,1) = "N", "North")</f>
        <v>West</v>
      </c>
      <c r="Q708" t="s">
        <v>17</v>
      </c>
      <c r="R708" t="s">
        <v>16</v>
      </c>
      <c r="S708" t="str">
        <f>TEXT(indian_retail_raw_1000[[#This Row],[Order_Date]],"MMM")</f>
        <v>Jul</v>
      </c>
    </row>
    <row r="709" spans="1:19" x14ac:dyDescent="0.25">
      <c r="A709" t="s">
        <v>364</v>
      </c>
      <c r="B709" s="1">
        <v>45280</v>
      </c>
      <c r="C709" t="s">
        <v>82</v>
      </c>
      <c r="D709">
        <v>31</v>
      </c>
      <c r="E709" t="s">
        <v>16</v>
      </c>
      <c r="F709" t="s">
        <v>91</v>
      </c>
      <c r="G709" t="s">
        <v>114</v>
      </c>
      <c r="H709">
        <v>2</v>
      </c>
      <c r="I709">
        <v>80700</v>
      </c>
      <c r="K709" t="s">
        <v>41</v>
      </c>
      <c r="L709" t="s">
        <v>20</v>
      </c>
      <c r="M7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9">
        <v>16140</v>
      </c>
      <c r="O709" t="s">
        <v>45</v>
      </c>
      <c r="P709" t="str">
        <f>_xlfn.IFS(LEFT(indian_retail_raw_1000[[#This Row],[x]],1)="W", "West",LEFT(indian_retail_raw_1000[[#This Row],[x]],1)= "E","East",LEFT(O709,1) = "S", "South",LEFT(O709,1) = "N", "North")</f>
        <v>East</v>
      </c>
      <c r="Q709" t="s">
        <v>54</v>
      </c>
      <c r="R709" t="s">
        <v>16</v>
      </c>
      <c r="S709" t="str">
        <f>TEXT(indian_retail_raw_1000[[#This Row],[Order_Date]],"MMM")</f>
        <v>Dec</v>
      </c>
    </row>
    <row r="710" spans="1:19" x14ac:dyDescent="0.25">
      <c r="A710" t="s">
        <v>1157</v>
      </c>
      <c r="B710" s="1">
        <v>45145</v>
      </c>
      <c r="C710" t="s">
        <v>1336</v>
      </c>
      <c r="D710">
        <v>5</v>
      </c>
      <c r="E710" t="s">
        <v>16</v>
      </c>
      <c r="F710" t="s">
        <v>54</v>
      </c>
      <c r="G710" t="s">
        <v>114</v>
      </c>
      <c r="H710">
        <v>2</v>
      </c>
      <c r="I710">
        <v>80800</v>
      </c>
      <c r="J710">
        <v>0</v>
      </c>
      <c r="K710" t="s">
        <v>222</v>
      </c>
      <c r="L710" t="s">
        <v>20</v>
      </c>
      <c r="M7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0">
        <v>16160</v>
      </c>
      <c r="O710" t="s">
        <v>45</v>
      </c>
      <c r="P710" t="str">
        <f>_xlfn.IFS(LEFT(indian_retail_raw_1000[[#This Row],[x]],1)="W", "West",LEFT(indian_retail_raw_1000[[#This Row],[x]],1)= "E","East",LEFT(O710,1) = "S", "South",LEFT(O710,1) = "N", "North")</f>
        <v>East</v>
      </c>
      <c r="Q710" t="s">
        <v>54</v>
      </c>
      <c r="R710" t="s">
        <v>16</v>
      </c>
      <c r="S710" t="str">
        <f>TEXT(indian_retail_raw_1000[[#This Row],[Order_Date]],"MMM")</f>
        <v>Aug</v>
      </c>
    </row>
    <row r="711" spans="1:19" x14ac:dyDescent="0.25">
      <c r="A711" t="s">
        <v>414</v>
      </c>
      <c r="B711" s="1" t="s">
        <v>1336</v>
      </c>
      <c r="C711" t="s">
        <v>176</v>
      </c>
      <c r="D711">
        <v>38</v>
      </c>
      <c r="E711" t="s">
        <v>23</v>
      </c>
      <c r="F711" t="s">
        <v>30</v>
      </c>
      <c r="G711" t="s">
        <v>31</v>
      </c>
      <c r="H711">
        <v>8</v>
      </c>
      <c r="I711">
        <v>2700</v>
      </c>
      <c r="J711">
        <v>25</v>
      </c>
      <c r="K711" t="s">
        <v>41</v>
      </c>
      <c r="L711" t="s">
        <v>204</v>
      </c>
      <c r="M7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1">
        <v>16200</v>
      </c>
      <c r="O711" t="s">
        <v>45</v>
      </c>
      <c r="P711" t="str">
        <f>_xlfn.IFS(LEFT(indian_retail_raw_1000[[#This Row],[x]],1)="W", "West",LEFT(indian_retail_raw_1000[[#This Row],[x]],1)= "E","East",LEFT(O711,1) = "S", "South",LEFT(O711,1) = "N", "North")</f>
        <v>East</v>
      </c>
      <c r="Q711" t="s">
        <v>30</v>
      </c>
      <c r="R711" t="s">
        <v>23</v>
      </c>
      <c r="S711" t="str">
        <f>TEXT(indian_retail_raw_1000[[#This Row],[Order_Date]],"MMM")</f>
        <v>Null</v>
      </c>
    </row>
    <row r="712" spans="1:19" x14ac:dyDescent="0.25">
      <c r="A712" t="s">
        <v>1234</v>
      </c>
      <c r="B712" s="1">
        <v>45223</v>
      </c>
      <c r="C712" t="s">
        <v>87</v>
      </c>
      <c r="D712">
        <v>24</v>
      </c>
      <c r="E712" t="s">
        <v>23</v>
      </c>
      <c r="F712" t="s">
        <v>54</v>
      </c>
      <c r="G712" t="s">
        <v>77</v>
      </c>
      <c r="H712">
        <v>2</v>
      </c>
      <c r="I712">
        <v>16200</v>
      </c>
      <c r="J712">
        <v>50</v>
      </c>
      <c r="K712" t="s">
        <v>41</v>
      </c>
      <c r="L712" t="s">
        <v>20</v>
      </c>
      <c r="M7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2">
        <v>16200</v>
      </c>
      <c r="O712" t="s">
        <v>38</v>
      </c>
      <c r="P712" t="str">
        <f>_xlfn.IFS(LEFT(indian_retail_raw_1000[[#This Row],[x]],1)="W", "West",LEFT(indian_retail_raw_1000[[#This Row],[x]],1)= "E","East",LEFT(O712,1) = "S", "South",LEFT(O712,1) = "N", "North")</f>
        <v>North</v>
      </c>
      <c r="Q712" t="s">
        <v>54</v>
      </c>
      <c r="R712" t="s">
        <v>23</v>
      </c>
      <c r="S712" t="str">
        <f>TEXT(indian_retail_raw_1000[[#This Row],[Order_Date]],"MMM")</f>
        <v>Oct</v>
      </c>
    </row>
    <row r="713" spans="1:19" x14ac:dyDescent="0.25">
      <c r="A713" t="s">
        <v>1204</v>
      </c>
      <c r="B713" s="1" t="s">
        <v>1336</v>
      </c>
      <c r="C713" t="s">
        <v>1336</v>
      </c>
      <c r="E713" t="s">
        <v>23</v>
      </c>
      <c r="F713" t="s">
        <v>30</v>
      </c>
      <c r="G713" t="s">
        <v>153</v>
      </c>
      <c r="H713">
        <v>9</v>
      </c>
      <c r="I713">
        <v>2129</v>
      </c>
      <c r="J713">
        <v>15</v>
      </c>
      <c r="K713" t="s">
        <v>25</v>
      </c>
      <c r="L713" t="s">
        <v>51</v>
      </c>
      <c r="M7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13">
        <v>16286.85</v>
      </c>
      <c r="O713" t="s">
        <v>45</v>
      </c>
      <c r="P713" t="str">
        <f>_xlfn.IFS(LEFT(indian_retail_raw_1000[[#This Row],[x]],1)="W", "West",LEFT(indian_retail_raw_1000[[#This Row],[x]],1)= "E","East",LEFT(O713,1) = "S", "South",LEFT(O713,1) = "N", "North")</f>
        <v>East</v>
      </c>
      <c r="Q713" t="s">
        <v>30</v>
      </c>
      <c r="R713" t="s">
        <v>23</v>
      </c>
      <c r="S713" t="str">
        <f>TEXT(indian_retail_raw_1000[[#This Row],[Order_Date]],"MMM")</f>
        <v>Null</v>
      </c>
    </row>
    <row r="714" spans="1:19" x14ac:dyDescent="0.25">
      <c r="A714" t="s">
        <v>566</v>
      </c>
      <c r="B714" s="1" t="s">
        <v>1336</v>
      </c>
      <c r="C714" t="s">
        <v>173</v>
      </c>
      <c r="D714">
        <v>55</v>
      </c>
      <c r="E714" t="s">
        <v>23</v>
      </c>
      <c r="F714" t="s">
        <v>324</v>
      </c>
      <c r="G714" t="s">
        <v>63</v>
      </c>
      <c r="H714">
        <v>99</v>
      </c>
      <c r="I714">
        <v>3301</v>
      </c>
      <c r="J714">
        <v>50</v>
      </c>
      <c r="K714" t="s">
        <v>19</v>
      </c>
      <c r="L714" t="s">
        <v>20</v>
      </c>
      <c r="M7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4">
        <v>16339.5</v>
      </c>
      <c r="O714" t="s">
        <v>38</v>
      </c>
      <c r="P714" t="str">
        <f>_xlfn.IFS(LEFT(indian_retail_raw_1000[[#This Row],[x]],1)="W", "West",LEFT(indian_retail_raw_1000[[#This Row],[x]],1)= "E","East",LEFT(O714,1) = "S", "South",LEFT(O714,1) = "N", "North")</f>
        <v>North</v>
      </c>
      <c r="Q714" t="s">
        <v>35</v>
      </c>
      <c r="R714" t="s">
        <v>23</v>
      </c>
      <c r="S714" t="str">
        <f>TEXT(indian_retail_raw_1000[[#This Row],[Order_Date]],"MMM")</f>
        <v>Null</v>
      </c>
    </row>
    <row r="715" spans="1:19" x14ac:dyDescent="0.25">
      <c r="A715" t="s">
        <v>758</v>
      </c>
      <c r="B715" s="1">
        <v>44981</v>
      </c>
      <c r="C715" t="s">
        <v>170</v>
      </c>
      <c r="D715">
        <v>24</v>
      </c>
      <c r="E715" t="s">
        <v>146</v>
      </c>
      <c r="F715" t="s">
        <v>759</v>
      </c>
      <c r="G715" t="s">
        <v>235</v>
      </c>
      <c r="H715">
        <v>10</v>
      </c>
      <c r="I715">
        <v>1730</v>
      </c>
      <c r="J715">
        <v>5</v>
      </c>
      <c r="K715" t="s">
        <v>41</v>
      </c>
      <c r="L715" t="s">
        <v>20</v>
      </c>
      <c r="M7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5">
        <v>16435</v>
      </c>
      <c r="O715" t="s">
        <v>26</v>
      </c>
      <c r="P715" t="str">
        <f>_xlfn.IFS(LEFT(indian_retail_raw_1000[[#This Row],[x]],1)="W", "West",LEFT(indian_retail_raw_1000[[#This Row],[x]],1)= "E","East",LEFT(O715,1) = "S", "South",LEFT(O715,1) = "N", "North")</f>
        <v>West</v>
      </c>
      <c r="Q715" t="s">
        <v>30</v>
      </c>
      <c r="R715" t="s">
        <v>16</v>
      </c>
      <c r="S715" t="str">
        <f>TEXT(indian_retail_raw_1000[[#This Row],[Order_Date]],"MMM")</f>
        <v>Feb</v>
      </c>
    </row>
    <row r="716" spans="1:19" x14ac:dyDescent="0.25">
      <c r="A716" t="s">
        <v>1160</v>
      </c>
      <c r="B716" s="1">
        <v>45290</v>
      </c>
      <c r="C716" t="s">
        <v>87</v>
      </c>
      <c r="D716">
        <v>52</v>
      </c>
      <c r="E716" t="s">
        <v>23</v>
      </c>
      <c r="F716" t="s">
        <v>103</v>
      </c>
      <c r="G716" t="s">
        <v>114</v>
      </c>
      <c r="H716">
        <v>2</v>
      </c>
      <c r="I716">
        <v>82200</v>
      </c>
      <c r="J716">
        <v>0</v>
      </c>
      <c r="K716" t="s">
        <v>41</v>
      </c>
      <c r="L716" t="s">
        <v>51</v>
      </c>
      <c r="M7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16">
        <v>16440</v>
      </c>
      <c r="O716" t="s">
        <v>38</v>
      </c>
      <c r="P716" t="str">
        <f>_xlfn.IFS(LEFT(indian_retail_raw_1000[[#This Row],[x]],1)="W", "West",LEFT(indian_retail_raw_1000[[#This Row],[x]],1)= "E","East",LEFT(O716,1) = "S", "South",LEFT(O716,1) = "N", "North")</f>
        <v>North</v>
      </c>
      <c r="Q716" t="s">
        <v>54</v>
      </c>
      <c r="R716" t="s">
        <v>23</v>
      </c>
      <c r="S716" t="str">
        <f>TEXT(indian_retail_raw_1000[[#This Row],[Order_Date]],"MMM")</f>
        <v>Dec</v>
      </c>
    </row>
    <row r="717" spans="1:19" x14ac:dyDescent="0.25">
      <c r="A717" t="s">
        <v>304</v>
      </c>
      <c r="B717" s="1" t="s">
        <v>1336</v>
      </c>
      <c r="C717" t="s">
        <v>176</v>
      </c>
      <c r="D717">
        <v>64</v>
      </c>
      <c r="E717" t="s">
        <v>23</v>
      </c>
      <c r="F717" t="s">
        <v>30</v>
      </c>
      <c r="G717" t="s">
        <v>235</v>
      </c>
      <c r="H717">
        <v>10</v>
      </c>
      <c r="I717">
        <v>2394</v>
      </c>
      <c r="J717">
        <v>30</v>
      </c>
      <c r="K717" t="s">
        <v>83</v>
      </c>
      <c r="L717" t="s">
        <v>56</v>
      </c>
      <c r="M7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17">
        <v>16758</v>
      </c>
      <c r="O717" t="s">
        <v>21</v>
      </c>
      <c r="P717" t="str">
        <f>_xlfn.IFS(LEFT(indian_retail_raw_1000[[#This Row],[x]],1)="W", "West",LEFT(indian_retail_raw_1000[[#This Row],[x]],1)= "E","East",LEFT(O717,1) = "S", "South",LEFT(O717,1) = "N", "North")</f>
        <v>South</v>
      </c>
      <c r="Q717" t="s">
        <v>30</v>
      </c>
      <c r="R717" t="s">
        <v>23</v>
      </c>
      <c r="S717" t="str">
        <f>TEXT(indian_retail_raw_1000[[#This Row],[Order_Date]],"MMM")</f>
        <v>Null</v>
      </c>
    </row>
    <row r="718" spans="1:19" x14ac:dyDescent="0.25">
      <c r="A718" t="s">
        <v>485</v>
      </c>
      <c r="B718" s="1">
        <v>44988</v>
      </c>
      <c r="C718" t="s">
        <v>243</v>
      </c>
      <c r="D718">
        <v>35</v>
      </c>
      <c r="E718" t="s">
        <v>16</v>
      </c>
      <c r="F718" t="s">
        <v>30</v>
      </c>
      <c r="G718" t="s">
        <v>235</v>
      </c>
      <c r="H718">
        <v>9</v>
      </c>
      <c r="I718">
        <v>1862</v>
      </c>
      <c r="J718">
        <v>0</v>
      </c>
      <c r="K718" t="s">
        <v>19</v>
      </c>
      <c r="L718" t="s">
        <v>20</v>
      </c>
      <c r="M7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8">
        <v>16758</v>
      </c>
      <c r="O718" t="s">
        <v>21</v>
      </c>
      <c r="P718" t="str">
        <f>_xlfn.IFS(LEFT(indian_retail_raw_1000[[#This Row],[x]],1)="W", "West",LEFT(indian_retail_raw_1000[[#This Row],[x]],1)= "E","East",LEFT(O718,1) = "S", "South",LEFT(O718,1) = "N", "North")</f>
        <v>South</v>
      </c>
      <c r="Q718" t="s">
        <v>30</v>
      </c>
      <c r="R718" t="s">
        <v>16</v>
      </c>
      <c r="S718" t="str">
        <f>TEXT(indian_retail_raw_1000[[#This Row],[Order_Date]],"MMM")</f>
        <v>Mar</v>
      </c>
    </row>
    <row r="719" spans="1:19" x14ac:dyDescent="0.25">
      <c r="A719" t="s">
        <v>599</v>
      </c>
      <c r="B719" s="1">
        <v>44955</v>
      </c>
      <c r="C719" t="s">
        <v>160</v>
      </c>
      <c r="D719">
        <v>62</v>
      </c>
      <c r="E719" t="s">
        <v>23</v>
      </c>
      <c r="F719" t="s">
        <v>17</v>
      </c>
      <c r="G719" t="s">
        <v>124</v>
      </c>
      <c r="H719">
        <v>3</v>
      </c>
      <c r="I719">
        <v>7000</v>
      </c>
      <c r="J719">
        <v>20</v>
      </c>
      <c r="K719" t="s">
        <v>41</v>
      </c>
      <c r="L719" t="s">
        <v>20</v>
      </c>
      <c r="M7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9">
        <v>16800</v>
      </c>
      <c r="O719" t="s">
        <v>38</v>
      </c>
      <c r="P719" t="str">
        <f>_xlfn.IFS(LEFT(indian_retail_raw_1000[[#This Row],[x]],1)="W", "West",LEFT(indian_retail_raw_1000[[#This Row],[x]],1)= "E","East",LEFT(O719,1) = "S", "South",LEFT(O719,1) = "N", "North")</f>
        <v>North</v>
      </c>
      <c r="Q719" t="s">
        <v>17</v>
      </c>
      <c r="R719" t="s">
        <v>23</v>
      </c>
      <c r="S719" t="str">
        <f>TEXT(indian_retail_raw_1000[[#This Row],[Order_Date]],"MMM")</f>
        <v>Jan</v>
      </c>
    </row>
    <row r="720" spans="1:19" x14ac:dyDescent="0.25">
      <c r="A720" t="s">
        <v>421</v>
      </c>
      <c r="B720" s="1">
        <v>45281</v>
      </c>
      <c r="C720" t="s">
        <v>102</v>
      </c>
      <c r="D720">
        <v>62</v>
      </c>
      <c r="E720" t="s">
        <v>143</v>
      </c>
      <c r="F720" t="s">
        <v>30</v>
      </c>
      <c r="G720" t="s">
        <v>135</v>
      </c>
      <c r="H720">
        <v>2</v>
      </c>
      <c r="I720">
        <v>9426</v>
      </c>
      <c r="J720">
        <v>10</v>
      </c>
      <c r="K720" t="s">
        <v>50</v>
      </c>
      <c r="L720" t="s">
        <v>20</v>
      </c>
      <c r="M7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0">
        <v>16966.8</v>
      </c>
      <c r="O720" t="s">
        <v>295</v>
      </c>
      <c r="P720" t="str">
        <f>_xlfn.IFS(LEFT(indian_retail_raw_1000[[#This Row],[x]],1)="W", "West",LEFT(indian_retail_raw_1000[[#This Row],[x]],1)= "E","East",LEFT(O720,1) = "S", "South",LEFT(O720,1) = "N", "North")</f>
        <v>East</v>
      </c>
      <c r="Q720" t="s">
        <v>30</v>
      </c>
      <c r="R720" t="s">
        <v>138</v>
      </c>
      <c r="S720" t="str">
        <f>TEXT(indian_retail_raw_1000[[#This Row],[Order_Date]],"MMM")</f>
        <v>Dec</v>
      </c>
    </row>
    <row r="721" spans="1:19" x14ac:dyDescent="0.25">
      <c r="A721" t="s">
        <v>1071</v>
      </c>
      <c r="B721" s="1" t="s">
        <v>1336</v>
      </c>
      <c r="C721" t="s">
        <v>358</v>
      </c>
      <c r="D721">
        <v>50</v>
      </c>
      <c r="E721" t="s">
        <v>146</v>
      </c>
      <c r="F721" t="s">
        <v>54</v>
      </c>
      <c r="G721" t="s">
        <v>237</v>
      </c>
      <c r="H721">
        <v>1</v>
      </c>
      <c r="I721">
        <v>34000</v>
      </c>
      <c r="J721">
        <v>50</v>
      </c>
      <c r="K721" t="s">
        <v>41</v>
      </c>
      <c r="L721" t="s">
        <v>107</v>
      </c>
      <c r="M7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1">
        <v>17000</v>
      </c>
      <c r="O721" t="s">
        <v>26</v>
      </c>
      <c r="P721" t="str">
        <f>_xlfn.IFS(LEFT(indian_retail_raw_1000[[#This Row],[x]],1)="W", "West",LEFT(indian_retail_raw_1000[[#This Row],[x]],1)= "E","East",LEFT(O721,1) = "S", "South",LEFT(O721,1) = "N", "North")</f>
        <v>West</v>
      </c>
      <c r="Q721" t="s">
        <v>54</v>
      </c>
      <c r="R721" t="s">
        <v>16</v>
      </c>
      <c r="S721" t="str">
        <f>TEXT(indian_retail_raw_1000[[#This Row],[Order_Date]],"MMM")</f>
        <v>Null</v>
      </c>
    </row>
    <row r="722" spans="1:19" x14ac:dyDescent="0.25">
      <c r="A722" t="s">
        <v>1171</v>
      </c>
      <c r="B722" s="1">
        <v>45112</v>
      </c>
      <c r="C722" t="s">
        <v>87</v>
      </c>
      <c r="D722">
        <v>64</v>
      </c>
      <c r="E722" t="s">
        <v>16</v>
      </c>
      <c r="F722" t="s">
        <v>54</v>
      </c>
      <c r="G722" t="s">
        <v>114</v>
      </c>
      <c r="H722">
        <v>2</v>
      </c>
      <c r="I722">
        <v>89700</v>
      </c>
      <c r="J722">
        <v>5</v>
      </c>
      <c r="K722" t="s">
        <v>19</v>
      </c>
      <c r="L722" t="s">
        <v>51</v>
      </c>
      <c r="M7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22">
        <v>17043</v>
      </c>
      <c r="O722" t="s">
        <v>26</v>
      </c>
      <c r="P722" t="str">
        <f>_xlfn.IFS(LEFT(indian_retail_raw_1000[[#This Row],[x]],1)="W", "West",LEFT(indian_retail_raw_1000[[#This Row],[x]],1)= "E","East",LEFT(O722,1) = "S", "South",LEFT(O722,1) = "N", "North")</f>
        <v>West</v>
      </c>
      <c r="Q722" t="s">
        <v>54</v>
      </c>
      <c r="R722" t="s">
        <v>16</v>
      </c>
      <c r="S722" t="str">
        <f>TEXT(indian_retail_raw_1000[[#This Row],[Order_Date]],"MMM")</f>
        <v>Jul</v>
      </c>
    </row>
    <row r="723" spans="1:19" x14ac:dyDescent="0.25">
      <c r="A723" t="s">
        <v>281</v>
      </c>
      <c r="B723" s="1" t="s">
        <v>1336</v>
      </c>
      <c r="C723" t="s">
        <v>1336</v>
      </c>
      <c r="D723">
        <v>63</v>
      </c>
      <c r="E723" t="s">
        <v>16</v>
      </c>
      <c r="F723" t="s">
        <v>54</v>
      </c>
      <c r="G723" t="s">
        <v>282</v>
      </c>
      <c r="H723">
        <v>1</v>
      </c>
      <c r="I723">
        <v>18000</v>
      </c>
      <c r="J723">
        <v>5</v>
      </c>
      <c r="K723" t="s">
        <v>19</v>
      </c>
      <c r="L723" t="s">
        <v>20</v>
      </c>
      <c r="M7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3">
        <v>17100</v>
      </c>
      <c r="O723" t="s">
        <v>21</v>
      </c>
      <c r="P723" t="str">
        <f>_xlfn.IFS(LEFT(indian_retail_raw_1000[[#This Row],[x]],1)="W", "West",LEFT(indian_retail_raw_1000[[#This Row],[x]],1)= "E","East",LEFT(O723,1) = "S", "South",LEFT(O723,1) = "N", "North")</f>
        <v>South</v>
      </c>
      <c r="Q723" t="s">
        <v>54</v>
      </c>
      <c r="R723" t="s">
        <v>16</v>
      </c>
      <c r="S723" t="str">
        <f>TEXT(indian_retail_raw_1000[[#This Row],[Order_Date]],"MMM")</f>
        <v>Null</v>
      </c>
    </row>
    <row r="724" spans="1:19" x14ac:dyDescent="0.25">
      <c r="A724" t="s">
        <v>912</v>
      </c>
      <c r="B724" s="1">
        <v>45202</v>
      </c>
      <c r="C724" t="s">
        <v>152</v>
      </c>
      <c r="D724">
        <v>20</v>
      </c>
      <c r="E724" t="s">
        <v>146</v>
      </c>
      <c r="F724" t="s">
        <v>30</v>
      </c>
      <c r="G724" t="s">
        <v>540</v>
      </c>
      <c r="H724">
        <v>4</v>
      </c>
      <c r="I724">
        <v>4287</v>
      </c>
      <c r="J724">
        <v>0</v>
      </c>
      <c r="K724" t="s">
        <v>19</v>
      </c>
      <c r="L724" t="s">
        <v>37</v>
      </c>
      <c r="M7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4">
        <v>17148</v>
      </c>
      <c r="O724" t="s">
        <v>26</v>
      </c>
      <c r="P724" t="str">
        <f>_xlfn.IFS(LEFT(indian_retail_raw_1000[[#This Row],[x]],1)="W", "West",LEFT(indian_retail_raw_1000[[#This Row],[x]],1)= "E","East",LEFT(O724,1) = "S", "South",LEFT(O724,1) = "N", "North")</f>
        <v>West</v>
      </c>
      <c r="Q724" t="s">
        <v>30</v>
      </c>
      <c r="R724" t="s">
        <v>16</v>
      </c>
      <c r="S724" t="str">
        <f>TEXT(indian_retail_raw_1000[[#This Row],[Order_Date]],"MMM")</f>
        <v>Oct</v>
      </c>
    </row>
    <row r="725" spans="1:19" x14ac:dyDescent="0.25">
      <c r="A725" t="s">
        <v>823</v>
      </c>
      <c r="B725" s="1">
        <v>45191</v>
      </c>
      <c r="C725" t="s">
        <v>1336</v>
      </c>
      <c r="D725">
        <v>52</v>
      </c>
      <c r="E725" t="s">
        <v>23</v>
      </c>
      <c r="F725" t="s">
        <v>97</v>
      </c>
      <c r="G725" t="s">
        <v>60</v>
      </c>
      <c r="H725">
        <v>3</v>
      </c>
      <c r="I725">
        <v>7155</v>
      </c>
      <c r="J725">
        <v>20</v>
      </c>
      <c r="K725" t="s">
        <v>19</v>
      </c>
      <c r="L725" t="s">
        <v>51</v>
      </c>
      <c r="M7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25">
        <v>17172</v>
      </c>
      <c r="O725" t="s">
        <v>409</v>
      </c>
      <c r="P725" t="str">
        <f>_xlfn.IFS(LEFT(indian_retail_raw_1000[[#This Row],[x]],1)="W", "West",LEFT(indian_retail_raw_1000[[#This Row],[x]],1)= "E","East",LEFT(O725,1) = "S", "South",LEFT(O725,1) = "N", "North")</f>
        <v>South</v>
      </c>
      <c r="Q725" t="s">
        <v>30</v>
      </c>
      <c r="R725" t="s">
        <v>23</v>
      </c>
      <c r="S725" t="str">
        <f>TEXT(indian_retail_raw_1000[[#This Row],[Order_Date]],"MMM")</f>
        <v>Sep</v>
      </c>
    </row>
    <row r="726" spans="1:19" x14ac:dyDescent="0.25">
      <c r="A726" t="s">
        <v>1284</v>
      </c>
      <c r="B726" s="1">
        <v>45260</v>
      </c>
      <c r="C726" t="s">
        <v>76</v>
      </c>
      <c r="D726">
        <v>53</v>
      </c>
      <c r="E726" t="s">
        <v>16</v>
      </c>
      <c r="F726" t="s">
        <v>30</v>
      </c>
      <c r="G726" t="s">
        <v>268</v>
      </c>
      <c r="H726">
        <v>8</v>
      </c>
      <c r="I726">
        <v>1081</v>
      </c>
      <c r="J726">
        <v>50</v>
      </c>
      <c r="K726" t="s">
        <v>50</v>
      </c>
      <c r="L726" t="s">
        <v>51</v>
      </c>
      <c r="M7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26">
        <v>17296</v>
      </c>
      <c r="O726" t="s">
        <v>38</v>
      </c>
      <c r="P726" t="str">
        <f>_xlfn.IFS(LEFT(indian_retail_raw_1000[[#This Row],[x]],1)="W", "West",LEFT(indian_retail_raw_1000[[#This Row],[x]],1)= "E","East",LEFT(O726,1) = "S", "South",LEFT(O726,1) = "N", "North")</f>
        <v>North</v>
      </c>
      <c r="Q726" t="s">
        <v>30</v>
      </c>
      <c r="R726" t="s">
        <v>16</v>
      </c>
      <c r="S726" t="str">
        <f>TEXT(indian_retail_raw_1000[[#This Row],[Order_Date]],"MMM")</f>
        <v>Nov</v>
      </c>
    </row>
    <row r="727" spans="1:19" x14ac:dyDescent="0.25">
      <c r="A727" t="s">
        <v>342</v>
      </c>
      <c r="B727" s="1">
        <v>44927</v>
      </c>
      <c r="C727" t="s">
        <v>156</v>
      </c>
      <c r="D727">
        <v>48</v>
      </c>
      <c r="E727" t="s">
        <v>16</v>
      </c>
      <c r="F727" t="s">
        <v>17</v>
      </c>
      <c r="G727" t="s">
        <v>124</v>
      </c>
      <c r="H727">
        <v>1</v>
      </c>
      <c r="I727">
        <v>5800</v>
      </c>
      <c r="J727">
        <v>0</v>
      </c>
      <c r="K727" t="s">
        <v>25</v>
      </c>
      <c r="L727" t="s">
        <v>20</v>
      </c>
      <c r="M7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7">
        <v>17400</v>
      </c>
      <c r="O727" t="s">
        <v>45</v>
      </c>
      <c r="P727" t="str">
        <f>_xlfn.IFS(LEFT(indian_retail_raw_1000[[#This Row],[x]],1)="W", "West",LEFT(indian_retail_raw_1000[[#This Row],[x]],1)= "E","East",LEFT(O727,1) = "S", "South",LEFT(O727,1) = "N", "North")</f>
        <v>East</v>
      </c>
      <c r="Q727" t="s">
        <v>17</v>
      </c>
      <c r="R727" t="s">
        <v>16</v>
      </c>
      <c r="S727" t="str">
        <f>TEXT(indian_retail_raw_1000[[#This Row],[Order_Date]],"MMM")</f>
        <v>Jan</v>
      </c>
    </row>
    <row r="728" spans="1:19" x14ac:dyDescent="0.25">
      <c r="A728" t="s">
        <v>714</v>
      </c>
      <c r="B728" s="1">
        <v>45260</v>
      </c>
      <c r="C728" t="s">
        <v>48</v>
      </c>
      <c r="D728">
        <v>48</v>
      </c>
      <c r="E728" t="s">
        <v>23</v>
      </c>
      <c r="F728" t="s">
        <v>291</v>
      </c>
      <c r="G728" t="s">
        <v>124</v>
      </c>
      <c r="H728">
        <v>3</v>
      </c>
      <c r="I728">
        <v>6450</v>
      </c>
      <c r="J728">
        <v>10</v>
      </c>
      <c r="K728" t="s">
        <v>19</v>
      </c>
      <c r="L728" t="s">
        <v>56</v>
      </c>
      <c r="M7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28">
        <v>17415</v>
      </c>
      <c r="O728" t="s">
        <v>26</v>
      </c>
      <c r="P728" t="str">
        <f>_xlfn.IFS(LEFT(indian_retail_raw_1000[[#This Row],[x]],1)="W", "West",LEFT(indian_retail_raw_1000[[#This Row],[x]],1)= "E","East",LEFT(O728,1) = "S", "South",LEFT(O728,1) = "N", "North")</f>
        <v>West</v>
      </c>
      <c r="Q728" t="s">
        <v>17</v>
      </c>
      <c r="R728" t="s">
        <v>23</v>
      </c>
      <c r="S728" t="str">
        <f>TEXT(indian_retail_raw_1000[[#This Row],[Order_Date]],"MMM")</f>
        <v>Nov</v>
      </c>
    </row>
    <row r="729" spans="1:19" x14ac:dyDescent="0.25">
      <c r="A729" t="s">
        <v>1024</v>
      </c>
      <c r="B729" s="1" t="s">
        <v>1336</v>
      </c>
      <c r="C729" t="s">
        <v>28</v>
      </c>
      <c r="D729">
        <v>44</v>
      </c>
      <c r="E729" t="s">
        <v>16</v>
      </c>
      <c r="F729" t="s">
        <v>17</v>
      </c>
      <c r="G729" t="s">
        <v>18</v>
      </c>
      <c r="H729">
        <v>3</v>
      </c>
      <c r="I729">
        <v>2150</v>
      </c>
      <c r="J729">
        <v>10</v>
      </c>
      <c r="K729" t="s">
        <v>50</v>
      </c>
      <c r="L729" t="s">
        <v>51</v>
      </c>
      <c r="M7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29">
        <v>17415</v>
      </c>
      <c r="O729" t="s">
        <v>21</v>
      </c>
      <c r="P729" t="str">
        <f>_xlfn.IFS(LEFT(indian_retail_raw_1000[[#This Row],[x]],1)="W", "West",LEFT(indian_retail_raw_1000[[#This Row],[x]],1)= "E","East",LEFT(O729,1) = "S", "South",LEFT(O729,1) = "N", "North")</f>
        <v>South</v>
      </c>
      <c r="Q729" t="s">
        <v>17</v>
      </c>
      <c r="R729" t="s">
        <v>16</v>
      </c>
      <c r="S729" t="str">
        <f>TEXT(indian_retail_raw_1000[[#This Row],[Order_Date]],"MMM")</f>
        <v>Null</v>
      </c>
    </row>
    <row r="730" spans="1:19" x14ac:dyDescent="0.25">
      <c r="A730" t="s">
        <v>1116</v>
      </c>
      <c r="B730" s="1">
        <v>45084</v>
      </c>
      <c r="C730" t="s">
        <v>265</v>
      </c>
      <c r="D730">
        <v>60</v>
      </c>
      <c r="E730" t="s">
        <v>16</v>
      </c>
      <c r="F730" t="s">
        <v>17</v>
      </c>
      <c r="G730" t="s">
        <v>297</v>
      </c>
      <c r="H730">
        <v>3</v>
      </c>
      <c r="I730">
        <v>5900</v>
      </c>
      <c r="J730">
        <v>0</v>
      </c>
      <c r="K730" t="s">
        <v>50</v>
      </c>
      <c r="L730" t="s">
        <v>20</v>
      </c>
      <c r="M7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0">
        <v>17700</v>
      </c>
      <c r="O730" t="s">
        <v>21</v>
      </c>
      <c r="P730" t="str">
        <f>_xlfn.IFS(LEFT(indian_retail_raw_1000[[#This Row],[x]],1)="W", "West",LEFT(indian_retail_raw_1000[[#This Row],[x]],1)= "E","East",LEFT(O730,1) = "S", "South",LEFT(O730,1) = "N", "North")</f>
        <v>South</v>
      </c>
      <c r="Q730" t="s">
        <v>17</v>
      </c>
      <c r="R730" t="s">
        <v>16</v>
      </c>
      <c r="S730" t="str">
        <f>TEXT(indian_retail_raw_1000[[#This Row],[Order_Date]],"MMM")</f>
        <v>Jun</v>
      </c>
    </row>
    <row r="731" spans="1:19" x14ac:dyDescent="0.25">
      <c r="A731" t="s">
        <v>477</v>
      </c>
      <c r="B731" s="1">
        <v>45057</v>
      </c>
      <c r="C731" t="s">
        <v>43</v>
      </c>
      <c r="D731">
        <v>51</v>
      </c>
      <c r="E731" t="s">
        <v>143</v>
      </c>
      <c r="F731" t="s">
        <v>30</v>
      </c>
      <c r="G731" t="s">
        <v>218</v>
      </c>
      <c r="H731">
        <v>9</v>
      </c>
      <c r="I731">
        <v>2193</v>
      </c>
      <c r="J731">
        <v>10</v>
      </c>
      <c r="K731" t="s">
        <v>19</v>
      </c>
      <c r="L731" t="s">
        <v>20</v>
      </c>
      <c r="M7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1">
        <v>17763.3</v>
      </c>
      <c r="O731" t="s">
        <v>45</v>
      </c>
      <c r="P731" t="str">
        <f>_xlfn.IFS(LEFT(indian_retail_raw_1000[[#This Row],[x]],1)="W", "West",LEFT(indian_retail_raw_1000[[#This Row],[x]],1)= "E","East",LEFT(O731,1) = "S", "South",LEFT(O731,1) = "N", "North")</f>
        <v>East</v>
      </c>
      <c r="Q731" t="s">
        <v>30</v>
      </c>
      <c r="R731" t="s">
        <v>138</v>
      </c>
      <c r="S731" t="str">
        <f>TEXT(indian_retail_raw_1000[[#This Row],[Order_Date]],"MMM")</f>
        <v>May</v>
      </c>
    </row>
    <row r="732" spans="1:19" x14ac:dyDescent="0.25">
      <c r="A732" t="s">
        <v>1325</v>
      </c>
      <c r="B732" s="1" t="s">
        <v>1336</v>
      </c>
      <c r="C732" t="s">
        <v>66</v>
      </c>
      <c r="D732">
        <v>40</v>
      </c>
      <c r="E732" t="s">
        <v>475</v>
      </c>
      <c r="F732" t="s">
        <v>97</v>
      </c>
      <c r="G732" t="s">
        <v>67</v>
      </c>
      <c r="H732">
        <v>8</v>
      </c>
      <c r="I732">
        <v>2472</v>
      </c>
      <c r="J732">
        <v>10</v>
      </c>
      <c r="K732" t="s">
        <v>41</v>
      </c>
      <c r="L732" t="s">
        <v>20</v>
      </c>
      <c r="M7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2">
        <v>17798.400000000001</v>
      </c>
      <c r="O732" t="s">
        <v>21</v>
      </c>
      <c r="P732" t="str">
        <f>_xlfn.IFS(LEFT(indian_retail_raw_1000[[#This Row],[x]],1)="W", "West",LEFT(indian_retail_raw_1000[[#This Row],[x]],1)= "E","East",LEFT(O732,1) = "S", "South",LEFT(O732,1) = "N", "North")</f>
        <v>South</v>
      </c>
      <c r="Q732" t="s">
        <v>30</v>
      </c>
      <c r="R732" t="s">
        <v>138</v>
      </c>
      <c r="S732" t="str">
        <f>TEXT(indian_retail_raw_1000[[#This Row],[Order_Date]],"MMM")</f>
        <v>Null</v>
      </c>
    </row>
    <row r="733" spans="1:19" x14ac:dyDescent="0.25">
      <c r="A733" t="s">
        <v>1272</v>
      </c>
      <c r="B733" s="1" t="s">
        <v>1336</v>
      </c>
      <c r="C733" t="s">
        <v>102</v>
      </c>
      <c r="D733">
        <v>52</v>
      </c>
      <c r="E733" t="s">
        <v>23</v>
      </c>
      <c r="F733" t="s">
        <v>54</v>
      </c>
      <c r="G733" t="s">
        <v>55</v>
      </c>
      <c r="H733">
        <v>1</v>
      </c>
      <c r="I733">
        <v>29700</v>
      </c>
      <c r="J733">
        <v>40</v>
      </c>
      <c r="K733" t="s">
        <v>41</v>
      </c>
      <c r="L733" t="s">
        <v>20</v>
      </c>
      <c r="M7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3">
        <v>17820</v>
      </c>
      <c r="O733" t="s">
        <v>149</v>
      </c>
      <c r="P733" t="str">
        <f>_xlfn.IFS(LEFT(indian_retail_raw_1000[[#This Row],[x]],1)="W", "West",LEFT(indian_retail_raw_1000[[#This Row],[x]],1)= "E","East",LEFT(O733,1) = "S", "South",LEFT(O733,1) = "N", "North")</f>
        <v>West</v>
      </c>
      <c r="Q733" t="s">
        <v>54</v>
      </c>
      <c r="R733" t="s">
        <v>23</v>
      </c>
      <c r="S733" t="str">
        <f>TEXT(indian_retail_raw_1000[[#This Row],[Order_Date]],"MMM")</f>
        <v>Null</v>
      </c>
    </row>
    <row r="734" spans="1:19" x14ac:dyDescent="0.25">
      <c r="A734" t="s">
        <v>308</v>
      </c>
      <c r="B734" s="1">
        <v>45175</v>
      </c>
      <c r="C734" t="s">
        <v>43</v>
      </c>
      <c r="D734">
        <v>56</v>
      </c>
      <c r="E734" t="s">
        <v>23</v>
      </c>
      <c r="F734" t="s">
        <v>30</v>
      </c>
      <c r="G734" t="s">
        <v>130</v>
      </c>
      <c r="H734">
        <v>8</v>
      </c>
      <c r="I734">
        <v>2627</v>
      </c>
      <c r="J734">
        <v>15</v>
      </c>
      <c r="K734" t="s">
        <v>50</v>
      </c>
      <c r="L734" t="s">
        <v>204</v>
      </c>
      <c r="M7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4">
        <v>17863.599999999999</v>
      </c>
      <c r="O734" t="s">
        <v>45</v>
      </c>
      <c r="P734" t="str">
        <f>_xlfn.IFS(LEFT(indian_retail_raw_1000[[#This Row],[x]],1)="W", "West",LEFT(indian_retail_raw_1000[[#This Row],[x]],1)= "E","East",LEFT(O734,1) = "S", "South",LEFT(O734,1) = "N", "North")</f>
        <v>East</v>
      </c>
      <c r="Q734" t="s">
        <v>30</v>
      </c>
      <c r="R734" t="s">
        <v>23</v>
      </c>
      <c r="S734" t="str">
        <f>TEXT(indian_retail_raw_1000[[#This Row],[Order_Date]],"MMM")</f>
        <v>Sep</v>
      </c>
    </row>
    <row r="735" spans="1:19" x14ac:dyDescent="0.25">
      <c r="A735" t="s">
        <v>451</v>
      </c>
      <c r="B735" s="1">
        <v>45018</v>
      </c>
      <c r="C735" t="s">
        <v>452</v>
      </c>
      <c r="D735">
        <v>58</v>
      </c>
      <c r="E735" t="s">
        <v>16</v>
      </c>
      <c r="F735" t="s">
        <v>30</v>
      </c>
      <c r="G735" t="s">
        <v>60</v>
      </c>
      <c r="H735">
        <v>3</v>
      </c>
      <c r="I735">
        <v>5414</v>
      </c>
      <c r="J735">
        <v>-10</v>
      </c>
      <c r="K735" t="s">
        <v>41</v>
      </c>
      <c r="L735" t="s">
        <v>20</v>
      </c>
      <c r="M7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5">
        <v>17866.2</v>
      </c>
      <c r="O735" t="s">
        <v>276</v>
      </c>
      <c r="P735" t="str">
        <f>_xlfn.IFS(LEFT(indian_retail_raw_1000[[#This Row],[x]],1)="W", "West",LEFT(indian_retail_raw_1000[[#This Row],[x]],1)= "E","East",LEFT(O735,1) = "S", "South",LEFT(O735,1) = "N", "North")</f>
        <v>North</v>
      </c>
      <c r="Q735" t="s">
        <v>30</v>
      </c>
      <c r="R735" t="s">
        <v>16</v>
      </c>
      <c r="S735" t="str">
        <f>TEXT(indian_retail_raw_1000[[#This Row],[Order_Date]],"MMM")</f>
        <v>Apr</v>
      </c>
    </row>
    <row r="736" spans="1:19" x14ac:dyDescent="0.25">
      <c r="A736" t="s">
        <v>442</v>
      </c>
      <c r="B736" s="1">
        <v>45271</v>
      </c>
      <c r="C736" t="s">
        <v>28</v>
      </c>
      <c r="D736">
        <v>18</v>
      </c>
      <c r="E736" t="s">
        <v>443</v>
      </c>
      <c r="F736" t="s">
        <v>30</v>
      </c>
      <c r="G736" t="s">
        <v>218</v>
      </c>
      <c r="H736">
        <v>9</v>
      </c>
      <c r="I736">
        <v>2206</v>
      </c>
      <c r="J736">
        <v>10</v>
      </c>
      <c r="K736" t="s">
        <v>25</v>
      </c>
      <c r="L736" t="s">
        <v>20</v>
      </c>
      <c r="M7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6">
        <v>17868.599999999999</v>
      </c>
      <c r="O736" t="s">
        <v>45</v>
      </c>
      <c r="P736" t="str">
        <f>_xlfn.IFS(LEFT(indian_retail_raw_1000[[#This Row],[x]],1)="W", "West",LEFT(indian_retail_raw_1000[[#This Row],[x]],1)= "E","East",LEFT(O736,1) = "S", "South",LEFT(O736,1) = "N", "North")</f>
        <v>East</v>
      </c>
      <c r="Q736" t="s">
        <v>30</v>
      </c>
      <c r="R736" t="s">
        <v>23</v>
      </c>
      <c r="S736" t="str">
        <f>TEXT(indian_retail_raw_1000[[#This Row],[Order_Date]],"MMM")</f>
        <v>Dec</v>
      </c>
    </row>
    <row r="737" spans="1:19" x14ac:dyDescent="0.25">
      <c r="A737" t="s">
        <v>860</v>
      </c>
      <c r="B737" s="1">
        <v>45007</v>
      </c>
      <c r="C737" t="s">
        <v>1336</v>
      </c>
      <c r="D737">
        <v>62</v>
      </c>
      <c r="E737" t="s">
        <v>16</v>
      </c>
      <c r="F737" t="s">
        <v>35</v>
      </c>
      <c r="G737" t="s">
        <v>63</v>
      </c>
      <c r="H737">
        <v>5</v>
      </c>
      <c r="I737">
        <v>3762</v>
      </c>
      <c r="J737">
        <v>5</v>
      </c>
      <c r="K737" t="s">
        <v>19</v>
      </c>
      <c r="L737" t="s">
        <v>51</v>
      </c>
      <c r="M7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37">
        <v>17869.5</v>
      </c>
      <c r="O737" t="s">
        <v>21</v>
      </c>
      <c r="P737" t="str">
        <f>_xlfn.IFS(LEFT(indian_retail_raw_1000[[#This Row],[x]],1)="W", "West",LEFT(indian_retail_raw_1000[[#This Row],[x]],1)= "E","East",LEFT(O737,1) = "S", "South",LEFT(O737,1) = "N", "North")</f>
        <v>South</v>
      </c>
      <c r="Q737" t="s">
        <v>35</v>
      </c>
      <c r="R737" t="s">
        <v>16</v>
      </c>
      <c r="S737" t="str">
        <f>TEXT(indian_retail_raw_1000[[#This Row],[Order_Date]],"MMM")</f>
        <v>Mar</v>
      </c>
    </row>
    <row r="738" spans="1:19" x14ac:dyDescent="0.25">
      <c r="A738" t="s">
        <v>1231</v>
      </c>
      <c r="B738" s="1">
        <v>45265</v>
      </c>
      <c r="C738" t="s">
        <v>1336</v>
      </c>
      <c r="D738">
        <v>27</v>
      </c>
      <c r="E738" t="s">
        <v>23</v>
      </c>
      <c r="F738" t="s">
        <v>30</v>
      </c>
      <c r="G738" t="s">
        <v>540</v>
      </c>
      <c r="H738">
        <v>8</v>
      </c>
      <c r="I738">
        <v>2670</v>
      </c>
      <c r="J738">
        <v>15</v>
      </c>
      <c r="K738" t="s">
        <v>19</v>
      </c>
      <c r="L738" t="s">
        <v>51</v>
      </c>
      <c r="M7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38">
        <v>18156</v>
      </c>
      <c r="O738" t="s">
        <v>21</v>
      </c>
      <c r="P738" t="str">
        <f>_xlfn.IFS(LEFT(indian_retail_raw_1000[[#This Row],[x]],1)="W", "West",LEFT(indian_retail_raw_1000[[#This Row],[x]],1)= "E","East",LEFT(O738,1) = "S", "South",LEFT(O738,1) = "N", "North")</f>
        <v>South</v>
      </c>
      <c r="Q738" t="s">
        <v>30</v>
      </c>
      <c r="R738" t="s">
        <v>23</v>
      </c>
      <c r="S738" t="str">
        <f>TEXT(indian_retail_raw_1000[[#This Row],[Order_Date]],"MMM")</f>
        <v>Dec</v>
      </c>
    </row>
    <row r="739" spans="1:19" x14ac:dyDescent="0.25">
      <c r="A739" t="s">
        <v>275</v>
      </c>
      <c r="B739" s="1">
        <v>45116</v>
      </c>
      <c r="C739" t="s">
        <v>66</v>
      </c>
      <c r="D739">
        <v>50</v>
      </c>
      <c r="E739" t="s">
        <v>23</v>
      </c>
      <c r="F739" t="s">
        <v>54</v>
      </c>
      <c r="G739" t="s">
        <v>77</v>
      </c>
      <c r="H739">
        <v>1</v>
      </c>
      <c r="I739">
        <v>18300</v>
      </c>
      <c r="J739">
        <v>0</v>
      </c>
      <c r="K739" t="s">
        <v>25</v>
      </c>
      <c r="L739" t="s">
        <v>20</v>
      </c>
      <c r="M7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9">
        <v>18300</v>
      </c>
      <c r="O739" t="s">
        <v>276</v>
      </c>
      <c r="P739" t="str">
        <f>_xlfn.IFS(LEFT(indian_retail_raw_1000[[#This Row],[x]],1)="W", "West",LEFT(indian_retail_raw_1000[[#This Row],[x]],1)= "E","East",LEFT(O739,1) = "S", "South",LEFT(O739,1) = "N", "North")</f>
        <v>North</v>
      </c>
      <c r="Q739" t="s">
        <v>54</v>
      </c>
      <c r="R739" t="s">
        <v>23</v>
      </c>
      <c r="S739" t="str">
        <f>TEXT(indian_retail_raw_1000[[#This Row],[Order_Date]],"MMM")</f>
        <v>Jul</v>
      </c>
    </row>
    <row r="740" spans="1:19" x14ac:dyDescent="0.25">
      <c r="A740" t="s">
        <v>1136</v>
      </c>
      <c r="B740" s="1">
        <v>44939</v>
      </c>
      <c r="C740" t="s">
        <v>156</v>
      </c>
      <c r="D740">
        <v>38</v>
      </c>
      <c r="E740" t="s">
        <v>143</v>
      </c>
      <c r="F740" t="s">
        <v>30</v>
      </c>
      <c r="G740" t="s">
        <v>31</v>
      </c>
      <c r="H740">
        <v>9</v>
      </c>
      <c r="I740">
        <v>2040</v>
      </c>
      <c r="J740">
        <v>0</v>
      </c>
      <c r="K740" t="s">
        <v>19</v>
      </c>
      <c r="L740" t="s">
        <v>20</v>
      </c>
      <c r="M7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0">
        <v>18360</v>
      </c>
      <c r="O740" t="s">
        <v>45</v>
      </c>
      <c r="P740" t="str">
        <f>_xlfn.IFS(LEFT(indian_retail_raw_1000[[#This Row],[x]],1)="W", "West",LEFT(indian_retail_raw_1000[[#This Row],[x]],1)= "E","East",LEFT(O740,1) = "S", "South",LEFT(O740,1) = "N", "North")</f>
        <v>East</v>
      </c>
      <c r="Q740" t="s">
        <v>30</v>
      </c>
      <c r="R740" t="s">
        <v>138</v>
      </c>
      <c r="S740" t="str">
        <f>TEXT(indian_retail_raw_1000[[#This Row],[Order_Date]],"MMM")</f>
        <v>Jan</v>
      </c>
    </row>
    <row r="741" spans="1:19" x14ac:dyDescent="0.25">
      <c r="A741" t="s">
        <v>854</v>
      </c>
      <c r="B741" s="1">
        <v>45263</v>
      </c>
      <c r="C741" t="s">
        <v>1336</v>
      </c>
      <c r="D741">
        <v>47</v>
      </c>
      <c r="E741" t="s">
        <v>16</v>
      </c>
      <c r="F741" t="s">
        <v>30</v>
      </c>
      <c r="G741" t="s">
        <v>31</v>
      </c>
      <c r="H741">
        <v>8</v>
      </c>
      <c r="I741">
        <v>2311</v>
      </c>
      <c r="J741">
        <v>40</v>
      </c>
      <c r="K741" t="s">
        <v>41</v>
      </c>
      <c r="L741" t="s">
        <v>51</v>
      </c>
      <c r="M7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41">
        <v>18488</v>
      </c>
      <c r="O741" t="s">
        <v>38</v>
      </c>
      <c r="P741" t="str">
        <f>_xlfn.IFS(LEFT(indian_retail_raw_1000[[#This Row],[x]],1)="W", "West",LEFT(indian_retail_raw_1000[[#This Row],[x]],1)= "E","East",LEFT(O741,1) = "S", "South",LEFT(O741,1) = "N", "North")</f>
        <v>North</v>
      </c>
      <c r="Q741" t="s">
        <v>30</v>
      </c>
      <c r="R741" t="s">
        <v>16</v>
      </c>
      <c r="S741" t="str">
        <f>TEXT(indian_retail_raw_1000[[#This Row],[Order_Date]],"MMM")</f>
        <v>Dec</v>
      </c>
    </row>
    <row r="742" spans="1:19" x14ac:dyDescent="0.25">
      <c r="A742" t="s">
        <v>966</v>
      </c>
      <c r="B742" s="1">
        <v>45131</v>
      </c>
      <c r="C742" t="s">
        <v>1336</v>
      </c>
      <c r="D742">
        <v>56</v>
      </c>
      <c r="E742" t="s">
        <v>138</v>
      </c>
      <c r="F742" t="s">
        <v>30</v>
      </c>
      <c r="G742" t="s">
        <v>67</v>
      </c>
      <c r="H742">
        <v>5</v>
      </c>
      <c r="I742">
        <v>3913</v>
      </c>
      <c r="J742">
        <v>5</v>
      </c>
      <c r="K742" t="s">
        <v>19</v>
      </c>
      <c r="L742" t="s">
        <v>20</v>
      </c>
      <c r="M7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2">
        <v>18586.75</v>
      </c>
      <c r="O742" t="s">
        <v>74</v>
      </c>
      <c r="P742" t="str">
        <f>_xlfn.IFS(LEFT(indian_retail_raw_1000[[#This Row],[x]],1)="W", "West",LEFT(indian_retail_raw_1000[[#This Row],[x]],1)= "E","East",LEFT(O742,1) = "S", "South",LEFT(O742,1) = "N", "North")</f>
        <v>West</v>
      </c>
      <c r="Q742" t="s">
        <v>30</v>
      </c>
      <c r="R742" t="s">
        <v>138</v>
      </c>
      <c r="S742" t="str">
        <f>TEXT(indian_retail_raw_1000[[#This Row],[Order_Date]],"MMM")</f>
        <v>Jul</v>
      </c>
    </row>
    <row r="743" spans="1:19" x14ac:dyDescent="0.25">
      <c r="A743" t="s">
        <v>677</v>
      </c>
      <c r="B743" s="1">
        <v>45248</v>
      </c>
      <c r="C743" t="s">
        <v>1336</v>
      </c>
      <c r="D743">
        <v>28</v>
      </c>
      <c r="E743" t="s">
        <v>16</v>
      </c>
      <c r="F743" t="s">
        <v>30</v>
      </c>
      <c r="G743" t="s">
        <v>121</v>
      </c>
      <c r="H743">
        <v>5</v>
      </c>
      <c r="I743">
        <v>4994</v>
      </c>
      <c r="J743">
        <v>25</v>
      </c>
      <c r="K743" t="s">
        <v>50</v>
      </c>
      <c r="L743" t="s">
        <v>20</v>
      </c>
      <c r="M7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3">
        <v>18727.5</v>
      </c>
      <c r="O743" t="s">
        <v>21</v>
      </c>
      <c r="P743" t="str">
        <f>_xlfn.IFS(LEFT(indian_retail_raw_1000[[#This Row],[x]],1)="W", "West",LEFT(indian_retail_raw_1000[[#This Row],[x]],1)= "E","East",LEFT(O743,1) = "S", "South",LEFT(O743,1) = "N", "North")</f>
        <v>South</v>
      </c>
      <c r="Q743" t="s">
        <v>30</v>
      </c>
      <c r="R743" t="s">
        <v>16</v>
      </c>
      <c r="S743" t="str">
        <f>TEXT(indian_retail_raw_1000[[#This Row],[Order_Date]],"MMM")</f>
        <v>Nov</v>
      </c>
    </row>
    <row r="744" spans="1:19" x14ac:dyDescent="0.25">
      <c r="A744" t="s">
        <v>1104</v>
      </c>
      <c r="B744" s="1">
        <v>45241</v>
      </c>
      <c r="C744" t="s">
        <v>28</v>
      </c>
      <c r="D744">
        <v>28</v>
      </c>
      <c r="E744" t="s">
        <v>23</v>
      </c>
      <c r="F744" t="s">
        <v>30</v>
      </c>
      <c r="G744" t="s">
        <v>540</v>
      </c>
      <c r="H744">
        <v>99</v>
      </c>
      <c r="I744">
        <v>3814</v>
      </c>
      <c r="J744">
        <v>50</v>
      </c>
      <c r="K744" t="s">
        <v>19</v>
      </c>
      <c r="L744" t="s">
        <v>20</v>
      </c>
      <c r="M7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4">
        <v>18793</v>
      </c>
      <c r="O744" t="s">
        <v>21</v>
      </c>
      <c r="P744" t="str">
        <f>_xlfn.IFS(LEFT(indian_retail_raw_1000[[#This Row],[x]],1)="W", "West",LEFT(indian_retail_raw_1000[[#This Row],[x]],1)= "E","East",LEFT(O744,1) = "S", "South",LEFT(O744,1) = "N", "North")</f>
        <v>South</v>
      </c>
      <c r="Q744" t="s">
        <v>30</v>
      </c>
      <c r="R744" t="s">
        <v>23</v>
      </c>
      <c r="S744" t="str">
        <f>TEXT(indian_retail_raw_1000[[#This Row],[Order_Date]],"MMM")</f>
        <v>Nov</v>
      </c>
    </row>
    <row r="745" spans="1:19" x14ac:dyDescent="0.25">
      <c r="A745" t="s">
        <v>630</v>
      </c>
      <c r="B745" s="1">
        <v>45079</v>
      </c>
      <c r="C745" t="s">
        <v>102</v>
      </c>
      <c r="D745">
        <v>51</v>
      </c>
      <c r="E745" t="s">
        <v>23</v>
      </c>
      <c r="F745" t="s">
        <v>103</v>
      </c>
      <c r="G745" t="s">
        <v>77</v>
      </c>
      <c r="H745">
        <v>1</v>
      </c>
      <c r="I745">
        <v>18900</v>
      </c>
      <c r="J745">
        <v>0</v>
      </c>
      <c r="K745" t="s">
        <v>19</v>
      </c>
      <c r="L745" t="s">
        <v>37</v>
      </c>
      <c r="M7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5">
        <v>18900</v>
      </c>
      <c r="O745" t="s">
        <v>621</v>
      </c>
      <c r="P745" t="str">
        <f>_xlfn.IFS(LEFT(indian_retail_raw_1000[[#This Row],[x]],1)="W", "West",LEFT(indian_retail_raw_1000[[#This Row],[x]],1)= "E","East",LEFT(O745,1) = "S", "South",LEFT(O745,1) = "N", "North")</f>
        <v>West</v>
      </c>
      <c r="Q745" t="s">
        <v>54</v>
      </c>
      <c r="R745" t="s">
        <v>23</v>
      </c>
      <c r="S745" t="str">
        <f>TEXT(indian_retail_raw_1000[[#This Row],[Order_Date]],"MMM")</f>
        <v>Jun</v>
      </c>
    </row>
    <row r="746" spans="1:19" x14ac:dyDescent="0.25">
      <c r="A746" t="s">
        <v>101</v>
      </c>
      <c r="B746" s="1">
        <v>44949</v>
      </c>
      <c r="C746" t="s">
        <v>102</v>
      </c>
      <c r="D746">
        <v>51</v>
      </c>
      <c r="E746" t="s">
        <v>23</v>
      </c>
      <c r="F746" t="s">
        <v>103</v>
      </c>
      <c r="G746" t="s">
        <v>104</v>
      </c>
      <c r="H746">
        <v>2</v>
      </c>
      <c r="I746">
        <v>12700</v>
      </c>
      <c r="J746">
        <v>25</v>
      </c>
      <c r="K746" t="s">
        <v>105</v>
      </c>
      <c r="L746" t="s">
        <v>20</v>
      </c>
      <c r="M7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6">
        <v>19050</v>
      </c>
      <c r="O746" t="s">
        <v>26</v>
      </c>
      <c r="P746" t="str">
        <f>_xlfn.IFS(LEFT(indian_retail_raw_1000[[#This Row],[x]],1)="W", "West",LEFT(indian_retail_raw_1000[[#This Row],[x]],1)= "E","East",LEFT(O746,1) = "S", "South",LEFT(O746,1) = "N", "North")</f>
        <v>West</v>
      </c>
      <c r="Q746" t="s">
        <v>54</v>
      </c>
      <c r="R746" t="s">
        <v>23</v>
      </c>
      <c r="S746" t="str">
        <f>TEXT(indian_retail_raw_1000[[#This Row],[Order_Date]],"MMM")</f>
        <v>Jan</v>
      </c>
    </row>
    <row r="747" spans="1:19" x14ac:dyDescent="0.25">
      <c r="A747" t="s">
        <v>460</v>
      </c>
      <c r="B747" s="1">
        <v>44993</v>
      </c>
      <c r="C747" t="s">
        <v>160</v>
      </c>
      <c r="D747">
        <v>23</v>
      </c>
      <c r="E747" t="s">
        <v>23</v>
      </c>
      <c r="F747" t="s">
        <v>30</v>
      </c>
      <c r="G747" t="s">
        <v>195</v>
      </c>
      <c r="H747">
        <v>5</v>
      </c>
      <c r="I747">
        <v>4281</v>
      </c>
      <c r="J747">
        <v>10</v>
      </c>
      <c r="K747" t="s">
        <v>41</v>
      </c>
      <c r="L747" t="s">
        <v>20</v>
      </c>
      <c r="M7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7">
        <v>19264.5</v>
      </c>
      <c r="O747" t="s">
        <v>45</v>
      </c>
      <c r="P747" t="str">
        <f>_xlfn.IFS(LEFT(indian_retail_raw_1000[[#This Row],[x]],1)="W", "West",LEFT(indian_retail_raw_1000[[#This Row],[x]],1)= "E","East",LEFT(O747,1) = "S", "South",LEFT(O747,1) = "N", "North")</f>
        <v>East</v>
      </c>
      <c r="Q747" t="s">
        <v>30</v>
      </c>
      <c r="R747" t="s">
        <v>23</v>
      </c>
      <c r="S747" t="str">
        <f>TEXT(indian_retail_raw_1000[[#This Row],[Order_Date]],"MMM")</f>
        <v>Mar</v>
      </c>
    </row>
    <row r="748" spans="1:19" x14ac:dyDescent="0.25">
      <c r="A748" t="s">
        <v>201</v>
      </c>
      <c r="B748" s="1">
        <v>45231</v>
      </c>
      <c r="C748" t="s">
        <v>1336</v>
      </c>
      <c r="D748">
        <v>63</v>
      </c>
      <c r="E748" t="s">
        <v>23</v>
      </c>
      <c r="F748" t="s">
        <v>30</v>
      </c>
      <c r="G748" t="s">
        <v>130</v>
      </c>
      <c r="H748">
        <v>10</v>
      </c>
      <c r="I748">
        <v>1938</v>
      </c>
      <c r="J748">
        <v>0</v>
      </c>
      <c r="K748" t="s">
        <v>50</v>
      </c>
      <c r="L748" t="s">
        <v>56</v>
      </c>
      <c r="M7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48">
        <v>19380</v>
      </c>
      <c r="O748" t="s">
        <v>38</v>
      </c>
      <c r="P748" t="str">
        <f>_xlfn.IFS(LEFT(indian_retail_raw_1000[[#This Row],[x]],1)="W", "West",LEFT(indian_retail_raw_1000[[#This Row],[x]],1)= "E","East",LEFT(O748,1) = "S", "South",LEFT(O748,1) = "N", "North")</f>
        <v>North</v>
      </c>
      <c r="Q748" t="s">
        <v>30</v>
      </c>
      <c r="R748" t="s">
        <v>23</v>
      </c>
      <c r="S748" t="str">
        <f>TEXT(indian_retail_raw_1000[[#This Row],[Order_Date]],"MMM")</f>
        <v>Nov</v>
      </c>
    </row>
    <row r="749" spans="1:19" x14ac:dyDescent="0.25">
      <c r="A749" t="s">
        <v>242</v>
      </c>
      <c r="B749" s="1" t="s">
        <v>1336</v>
      </c>
      <c r="C749" t="s">
        <v>243</v>
      </c>
      <c r="D749">
        <v>42</v>
      </c>
      <c r="E749" t="s">
        <v>16</v>
      </c>
      <c r="F749" t="s">
        <v>54</v>
      </c>
      <c r="G749" t="s">
        <v>104</v>
      </c>
      <c r="H749">
        <v>2</v>
      </c>
      <c r="I749">
        <v>9800</v>
      </c>
      <c r="J749">
        <v>0</v>
      </c>
      <c r="K749" t="s">
        <v>19</v>
      </c>
      <c r="L749" t="s">
        <v>56</v>
      </c>
      <c r="M7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49">
        <v>19600</v>
      </c>
      <c r="O749" t="s">
        <v>21</v>
      </c>
      <c r="P749" t="str">
        <f>_xlfn.IFS(LEFT(indian_retail_raw_1000[[#This Row],[x]],1)="W", "West",LEFT(indian_retail_raw_1000[[#This Row],[x]],1)= "E","East",LEFT(O749,1) = "S", "South",LEFT(O749,1) = "N", "North")</f>
        <v>South</v>
      </c>
      <c r="Q749" t="s">
        <v>54</v>
      </c>
      <c r="R749" t="s">
        <v>16</v>
      </c>
      <c r="S749" t="str">
        <f>TEXT(indian_retail_raw_1000[[#This Row],[Order_Date]],"MMM")</f>
        <v>Null</v>
      </c>
    </row>
    <row r="750" spans="1:19" x14ac:dyDescent="0.25">
      <c r="A750" t="s">
        <v>890</v>
      </c>
      <c r="B750" s="1" t="s">
        <v>1336</v>
      </c>
      <c r="C750" t="s">
        <v>152</v>
      </c>
      <c r="E750" t="s">
        <v>23</v>
      </c>
      <c r="F750" t="s">
        <v>30</v>
      </c>
      <c r="G750" t="s">
        <v>31</v>
      </c>
      <c r="H750">
        <v>7</v>
      </c>
      <c r="I750">
        <v>2805</v>
      </c>
      <c r="J750">
        <v>30</v>
      </c>
      <c r="K750" t="s">
        <v>50</v>
      </c>
      <c r="L750" t="s">
        <v>20</v>
      </c>
      <c r="M7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0">
        <v>19635</v>
      </c>
      <c r="O750" t="s">
        <v>26</v>
      </c>
      <c r="P750" t="str">
        <f>_xlfn.IFS(LEFT(indian_retail_raw_1000[[#This Row],[x]],1)="W", "West",LEFT(indian_retail_raw_1000[[#This Row],[x]],1)= "E","East",LEFT(O750,1) = "S", "South",LEFT(O750,1) = "N", "North")</f>
        <v>West</v>
      </c>
      <c r="Q750" t="s">
        <v>30</v>
      </c>
      <c r="R750" t="s">
        <v>23</v>
      </c>
      <c r="S750" t="str">
        <f>TEXT(indian_retail_raw_1000[[#This Row],[Order_Date]],"MMM")</f>
        <v>Null</v>
      </c>
    </row>
    <row r="751" spans="1:19" x14ac:dyDescent="0.25">
      <c r="A751" t="s">
        <v>991</v>
      </c>
      <c r="B751" s="1" t="s">
        <v>1336</v>
      </c>
      <c r="C751" t="s">
        <v>152</v>
      </c>
      <c r="D751">
        <v>53</v>
      </c>
      <c r="E751" t="s">
        <v>16</v>
      </c>
      <c r="F751" t="s">
        <v>30</v>
      </c>
      <c r="G751" t="s">
        <v>195</v>
      </c>
      <c r="H751">
        <v>4</v>
      </c>
      <c r="I751">
        <v>4941</v>
      </c>
      <c r="J751">
        <v>0</v>
      </c>
      <c r="K751" t="s">
        <v>19</v>
      </c>
      <c r="L751" t="s">
        <v>20</v>
      </c>
      <c r="M7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1">
        <v>19764</v>
      </c>
      <c r="O751" t="s">
        <v>26</v>
      </c>
      <c r="P751" t="str">
        <f>_xlfn.IFS(LEFT(indian_retail_raw_1000[[#This Row],[x]],1)="W", "West",LEFT(indian_retail_raw_1000[[#This Row],[x]],1)= "E","East",LEFT(O751,1) = "S", "South",LEFT(O751,1) = "N", "North")</f>
        <v>West</v>
      </c>
      <c r="Q751" t="s">
        <v>30</v>
      </c>
      <c r="R751" t="s">
        <v>16</v>
      </c>
      <c r="S751" t="str">
        <f>TEXT(indian_retail_raw_1000[[#This Row],[Order_Date]],"MMM")</f>
        <v>Null</v>
      </c>
    </row>
    <row r="752" spans="1:19" x14ac:dyDescent="0.25">
      <c r="A752" t="s">
        <v>589</v>
      </c>
      <c r="B752" s="1">
        <v>45164</v>
      </c>
      <c r="C752" t="s">
        <v>53</v>
      </c>
      <c r="D752">
        <v>59</v>
      </c>
      <c r="E752" t="s">
        <v>16</v>
      </c>
      <c r="F752" t="s">
        <v>30</v>
      </c>
      <c r="G752" t="s">
        <v>195</v>
      </c>
      <c r="H752">
        <v>6</v>
      </c>
      <c r="I752">
        <v>3472</v>
      </c>
      <c r="J752">
        <v>5</v>
      </c>
      <c r="K752" t="s">
        <v>50</v>
      </c>
      <c r="L752" t="s">
        <v>20</v>
      </c>
      <c r="M7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2">
        <v>19790.400000000001</v>
      </c>
      <c r="O752" t="s">
        <v>26</v>
      </c>
      <c r="P752" t="str">
        <f>_xlfn.IFS(LEFT(indian_retail_raw_1000[[#This Row],[x]],1)="W", "West",LEFT(indian_retail_raw_1000[[#This Row],[x]],1)= "E","East",LEFT(O752,1) = "S", "South",LEFT(O752,1) = "N", "North")</f>
        <v>West</v>
      </c>
      <c r="Q752" t="s">
        <v>30</v>
      </c>
      <c r="R752" t="s">
        <v>16</v>
      </c>
      <c r="S752" t="str">
        <f>TEXT(indian_retail_raw_1000[[#This Row],[Order_Date]],"MMM")</f>
        <v>Aug</v>
      </c>
    </row>
    <row r="753" spans="1:19" x14ac:dyDescent="0.25">
      <c r="A753" t="s">
        <v>1259</v>
      </c>
      <c r="B753" s="1">
        <v>45247</v>
      </c>
      <c r="C753" t="s">
        <v>170</v>
      </c>
      <c r="D753">
        <v>60</v>
      </c>
      <c r="E753" t="s">
        <v>16</v>
      </c>
      <c r="F753" t="s">
        <v>291</v>
      </c>
      <c r="G753" t="s">
        <v>124</v>
      </c>
      <c r="H753">
        <v>1</v>
      </c>
      <c r="I753">
        <v>5250</v>
      </c>
      <c r="J753">
        <v>5</v>
      </c>
      <c r="K753" t="s">
        <v>64</v>
      </c>
      <c r="L753" t="s">
        <v>56</v>
      </c>
      <c r="M7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53">
        <v>19950</v>
      </c>
      <c r="O753" t="s">
        <v>276</v>
      </c>
      <c r="P753" t="str">
        <f>_xlfn.IFS(LEFT(indian_retail_raw_1000[[#This Row],[x]],1)="W", "West",LEFT(indian_retail_raw_1000[[#This Row],[x]],1)= "E","East",LEFT(O753,1) = "S", "South",LEFT(O753,1) = "N", "North")</f>
        <v>North</v>
      </c>
      <c r="Q753" t="s">
        <v>17</v>
      </c>
      <c r="R753" t="s">
        <v>16</v>
      </c>
      <c r="S753" t="str">
        <f>TEXT(indian_retail_raw_1000[[#This Row],[Order_Date]],"MMM")</f>
        <v>Nov</v>
      </c>
    </row>
    <row r="754" spans="1:19" x14ac:dyDescent="0.25">
      <c r="A754" t="s">
        <v>1113</v>
      </c>
      <c r="B754" s="1" t="s">
        <v>1336</v>
      </c>
      <c r="C754" t="s">
        <v>152</v>
      </c>
      <c r="E754" t="s">
        <v>16</v>
      </c>
      <c r="F754" t="s">
        <v>54</v>
      </c>
      <c r="G754" t="s">
        <v>114</v>
      </c>
      <c r="H754">
        <v>2</v>
      </c>
      <c r="I754">
        <v>90700</v>
      </c>
      <c r="J754">
        <v>-10</v>
      </c>
      <c r="K754" t="s">
        <v>50</v>
      </c>
      <c r="L754" t="s">
        <v>20</v>
      </c>
      <c r="M7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4">
        <v>19954</v>
      </c>
      <c r="O754" t="s">
        <v>26</v>
      </c>
      <c r="P754" t="str">
        <f>_xlfn.IFS(LEFT(indian_retail_raw_1000[[#This Row],[x]],1)="W", "West",LEFT(indian_retail_raw_1000[[#This Row],[x]],1)= "E","East",LEFT(O754,1) = "S", "South",LEFT(O754,1) = "N", "North")</f>
        <v>West</v>
      </c>
      <c r="Q754" t="s">
        <v>54</v>
      </c>
      <c r="R754" t="s">
        <v>16</v>
      </c>
      <c r="S754" t="str">
        <f>TEXT(indian_retail_raw_1000[[#This Row],[Order_Date]],"MMM")</f>
        <v>Null</v>
      </c>
    </row>
    <row r="755" spans="1:19" x14ac:dyDescent="0.25">
      <c r="A755" t="s">
        <v>849</v>
      </c>
      <c r="B755" s="1">
        <v>44988</v>
      </c>
      <c r="C755" t="s">
        <v>672</v>
      </c>
      <c r="D755">
        <v>28</v>
      </c>
      <c r="E755" t="s">
        <v>23</v>
      </c>
      <c r="F755" t="s">
        <v>30</v>
      </c>
      <c r="G755" t="s">
        <v>235</v>
      </c>
      <c r="H755">
        <v>9</v>
      </c>
      <c r="I755">
        <v>2221</v>
      </c>
      <c r="K755" t="s">
        <v>19</v>
      </c>
      <c r="L755" t="s">
        <v>51</v>
      </c>
      <c r="M7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55">
        <v>19989</v>
      </c>
      <c r="O755" t="s">
        <v>621</v>
      </c>
      <c r="P755" t="str">
        <f>_xlfn.IFS(LEFT(indian_retail_raw_1000[[#This Row],[x]],1)="W", "West",LEFT(indian_retail_raw_1000[[#This Row],[x]],1)= "E","East",LEFT(O755,1) = "S", "South",LEFT(O755,1) = "N", "North")</f>
        <v>West</v>
      </c>
      <c r="Q755" t="s">
        <v>30</v>
      </c>
      <c r="R755" t="s">
        <v>23</v>
      </c>
      <c r="S755" t="str">
        <f>TEXT(indian_retail_raw_1000[[#This Row],[Order_Date]],"MMM")</f>
        <v>Mar</v>
      </c>
    </row>
    <row r="756" spans="1:19" x14ac:dyDescent="0.25">
      <c r="A756" t="s">
        <v>1301</v>
      </c>
      <c r="B756" s="1">
        <v>45197</v>
      </c>
      <c r="C756" t="s">
        <v>102</v>
      </c>
      <c r="D756">
        <v>29</v>
      </c>
      <c r="E756" t="s">
        <v>23</v>
      </c>
      <c r="F756" t="s">
        <v>30</v>
      </c>
      <c r="G756" t="s">
        <v>121</v>
      </c>
      <c r="H756">
        <v>4</v>
      </c>
      <c r="I756">
        <v>6663</v>
      </c>
      <c r="J756">
        <v>25</v>
      </c>
      <c r="K756" t="s">
        <v>50</v>
      </c>
      <c r="L756" t="s">
        <v>56</v>
      </c>
      <c r="M7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56">
        <v>19989</v>
      </c>
      <c r="O756" t="s">
        <v>21</v>
      </c>
      <c r="P756" t="str">
        <f>_xlfn.IFS(LEFT(indian_retail_raw_1000[[#This Row],[x]],1)="W", "West",LEFT(indian_retail_raw_1000[[#This Row],[x]],1)= "E","East",LEFT(O756,1) = "S", "South",LEFT(O756,1) = "N", "North")</f>
        <v>South</v>
      </c>
      <c r="Q756" t="s">
        <v>30</v>
      </c>
      <c r="R756" t="s">
        <v>23</v>
      </c>
      <c r="S756" t="str">
        <f>TEXT(indian_retail_raw_1000[[#This Row],[Order_Date]],"MMM")</f>
        <v>Sep</v>
      </c>
    </row>
    <row r="757" spans="1:19" x14ac:dyDescent="0.25">
      <c r="A757" t="s">
        <v>1278</v>
      </c>
      <c r="B757" s="1">
        <v>45053</v>
      </c>
      <c r="C757" t="s">
        <v>87</v>
      </c>
      <c r="D757">
        <v>18</v>
      </c>
      <c r="E757" t="s">
        <v>16</v>
      </c>
      <c r="F757" t="s">
        <v>384</v>
      </c>
      <c r="G757" t="s">
        <v>31</v>
      </c>
      <c r="H757">
        <v>9</v>
      </c>
      <c r="I757">
        <v>2477</v>
      </c>
      <c r="J757">
        <v>10</v>
      </c>
      <c r="K757" t="s">
        <v>41</v>
      </c>
      <c r="L757" t="s">
        <v>20</v>
      </c>
      <c r="M7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7">
        <v>20063.7</v>
      </c>
      <c r="O757" t="s">
        <v>33</v>
      </c>
      <c r="P757" t="str">
        <f>_xlfn.IFS(LEFT(indian_retail_raw_1000[[#This Row],[x]],1)="W", "West",LEFT(indian_retail_raw_1000[[#This Row],[x]],1)= "E","East",LEFT(O757,1) = "S", "South",LEFT(O757,1) = "N", "North")</f>
        <v>West</v>
      </c>
      <c r="Q757" t="s">
        <v>30</v>
      </c>
      <c r="R757" t="s">
        <v>16</v>
      </c>
      <c r="S757" t="str">
        <f>TEXT(indian_retail_raw_1000[[#This Row],[Order_Date]],"MMM")</f>
        <v>May</v>
      </c>
    </row>
    <row r="758" spans="1:19" x14ac:dyDescent="0.25">
      <c r="A758" t="s">
        <v>1033</v>
      </c>
      <c r="B758" s="1" t="s">
        <v>1336</v>
      </c>
      <c r="C758" t="s">
        <v>43</v>
      </c>
      <c r="D758">
        <v>50</v>
      </c>
      <c r="E758" t="s">
        <v>23</v>
      </c>
      <c r="F758" t="s">
        <v>17</v>
      </c>
      <c r="G758" t="s">
        <v>124</v>
      </c>
      <c r="H758">
        <v>3</v>
      </c>
      <c r="I758">
        <v>6750</v>
      </c>
      <c r="J758">
        <v>0</v>
      </c>
      <c r="K758" t="s">
        <v>41</v>
      </c>
      <c r="L758" t="s">
        <v>493</v>
      </c>
      <c r="M7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58">
        <v>20250</v>
      </c>
      <c r="O758" t="s">
        <v>38</v>
      </c>
      <c r="P758" t="str">
        <f>_xlfn.IFS(LEFT(indian_retail_raw_1000[[#This Row],[x]],1)="W", "West",LEFT(indian_retail_raw_1000[[#This Row],[x]],1)= "E","East",LEFT(O758,1) = "S", "South",LEFT(O758,1) = "N", "North")</f>
        <v>North</v>
      </c>
      <c r="Q758" t="s">
        <v>17</v>
      </c>
      <c r="R758" t="s">
        <v>23</v>
      </c>
      <c r="S758" t="str">
        <f>TEXT(indian_retail_raw_1000[[#This Row],[Order_Date]],"MMM")</f>
        <v>Null</v>
      </c>
    </row>
    <row r="759" spans="1:19" x14ac:dyDescent="0.25">
      <c r="A759" t="s">
        <v>252</v>
      </c>
      <c r="B759" s="1" t="s">
        <v>1336</v>
      </c>
      <c r="C759" t="s">
        <v>48</v>
      </c>
      <c r="D759">
        <v>50</v>
      </c>
      <c r="E759" t="s">
        <v>23</v>
      </c>
      <c r="F759" t="s">
        <v>254</v>
      </c>
      <c r="G759" t="s">
        <v>180</v>
      </c>
      <c r="H759">
        <v>1</v>
      </c>
      <c r="I759">
        <v>24100</v>
      </c>
      <c r="J759">
        <v>15</v>
      </c>
      <c r="K759" t="s">
        <v>25</v>
      </c>
      <c r="L759" t="s">
        <v>20</v>
      </c>
      <c r="M7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9">
        <v>20485</v>
      </c>
      <c r="O759" t="s">
        <v>38</v>
      </c>
      <c r="P759" t="str">
        <f>_xlfn.IFS(LEFT(indian_retail_raw_1000[[#This Row],[x]],1)="W", "West",LEFT(indian_retail_raw_1000[[#This Row],[x]],1)= "E","East",LEFT(O759,1) = "S", "South",LEFT(O759,1) = "N", "North")</f>
        <v>North</v>
      </c>
      <c r="Q759" t="s">
        <v>54</v>
      </c>
      <c r="R759" t="s">
        <v>23</v>
      </c>
      <c r="S759" t="str">
        <f>TEXT(indian_retail_raw_1000[[#This Row],[Order_Date]],"MMM")</f>
        <v>Null</v>
      </c>
    </row>
    <row r="760" spans="1:19" x14ac:dyDescent="0.25">
      <c r="A760" t="s">
        <v>1048</v>
      </c>
      <c r="B760" s="1">
        <v>45250</v>
      </c>
      <c r="C760" t="s">
        <v>110</v>
      </c>
      <c r="D760">
        <v>25</v>
      </c>
      <c r="E760" t="s">
        <v>16</v>
      </c>
      <c r="F760" t="s">
        <v>54</v>
      </c>
      <c r="G760" t="s">
        <v>104</v>
      </c>
      <c r="H760">
        <v>2</v>
      </c>
      <c r="I760">
        <v>11400</v>
      </c>
      <c r="J760">
        <v>10</v>
      </c>
      <c r="K760" t="s">
        <v>50</v>
      </c>
      <c r="L760" t="s">
        <v>20</v>
      </c>
      <c r="M7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0">
        <v>20520</v>
      </c>
      <c r="O760" t="s">
        <v>21</v>
      </c>
      <c r="P760" t="str">
        <f>_xlfn.IFS(LEFT(indian_retail_raw_1000[[#This Row],[x]],1)="W", "West",LEFT(indian_retail_raw_1000[[#This Row],[x]],1)= "E","East",LEFT(O760,1) = "S", "South",LEFT(O760,1) = "N", "North")</f>
        <v>South</v>
      </c>
      <c r="Q760" t="s">
        <v>54</v>
      </c>
      <c r="R760" t="s">
        <v>16</v>
      </c>
      <c r="S760" t="str">
        <f>TEXT(indian_retail_raw_1000[[#This Row],[Order_Date]],"MMM")</f>
        <v>Nov</v>
      </c>
    </row>
    <row r="761" spans="1:19" x14ac:dyDescent="0.25">
      <c r="A761" t="s">
        <v>1105</v>
      </c>
      <c r="B761" s="1" t="s">
        <v>1336</v>
      </c>
      <c r="C761" t="s">
        <v>62</v>
      </c>
      <c r="D761">
        <v>54</v>
      </c>
      <c r="E761" t="s">
        <v>23</v>
      </c>
      <c r="F761" t="s">
        <v>30</v>
      </c>
      <c r="G761" t="s">
        <v>67</v>
      </c>
      <c r="H761">
        <v>6</v>
      </c>
      <c r="I761">
        <v>4358</v>
      </c>
      <c r="J761">
        <v>20</v>
      </c>
      <c r="K761" t="s">
        <v>41</v>
      </c>
      <c r="L761" t="s">
        <v>20</v>
      </c>
      <c r="M7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1">
        <v>20918.400000000001</v>
      </c>
      <c r="O761" t="s">
        <v>21</v>
      </c>
      <c r="P761" t="str">
        <f>_xlfn.IFS(LEFT(indian_retail_raw_1000[[#This Row],[x]],1)="W", "West",LEFT(indian_retail_raw_1000[[#This Row],[x]],1)= "E","East",LEFT(O761,1) = "S", "South",LEFT(O761,1) = "N", "North")</f>
        <v>South</v>
      </c>
      <c r="Q761" t="s">
        <v>30</v>
      </c>
      <c r="R761" t="s">
        <v>23</v>
      </c>
      <c r="S761" t="str">
        <f>TEXT(indian_retail_raw_1000[[#This Row],[Order_Date]],"MMM")</f>
        <v>Null</v>
      </c>
    </row>
    <row r="762" spans="1:19" x14ac:dyDescent="0.25">
      <c r="A762" t="s">
        <v>898</v>
      </c>
      <c r="B762" s="1" t="s">
        <v>1336</v>
      </c>
      <c r="C762" t="s">
        <v>243</v>
      </c>
      <c r="D762">
        <v>42</v>
      </c>
      <c r="E762" t="s">
        <v>475</v>
      </c>
      <c r="F762" t="s">
        <v>30</v>
      </c>
      <c r="G762" t="s">
        <v>195</v>
      </c>
      <c r="H762">
        <v>6</v>
      </c>
      <c r="I762">
        <v>3496</v>
      </c>
      <c r="J762">
        <v>0</v>
      </c>
      <c r="K762" t="s">
        <v>41</v>
      </c>
      <c r="L762" t="s">
        <v>37</v>
      </c>
      <c r="M7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2">
        <v>20976</v>
      </c>
      <c r="O762" t="s">
        <v>26</v>
      </c>
      <c r="P762" t="str">
        <f>_xlfn.IFS(LEFT(indian_retail_raw_1000[[#This Row],[x]],1)="W", "West",LEFT(indian_retail_raw_1000[[#This Row],[x]],1)= "E","East",LEFT(O762,1) = "S", "South",LEFT(O762,1) = "N", "North")</f>
        <v>West</v>
      </c>
      <c r="Q762" t="s">
        <v>30</v>
      </c>
      <c r="R762" t="s">
        <v>138</v>
      </c>
      <c r="S762" t="str">
        <f>TEXT(indian_retail_raw_1000[[#This Row],[Order_Date]],"MMM")</f>
        <v>Null</v>
      </c>
    </row>
    <row r="763" spans="1:19" x14ac:dyDescent="0.25">
      <c r="A763" t="s">
        <v>987</v>
      </c>
      <c r="B763" s="1">
        <v>44939</v>
      </c>
      <c r="C763" t="s">
        <v>1336</v>
      </c>
      <c r="D763">
        <v>55</v>
      </c>
      <c r="E763" t="s">
        <v>23</v>
      </c>
      <c r="F763" t="s">
        <v>17</v>
      </c>
      <c r="G763" t="s">
        <v>117</v>
      </c>
      <c r="H763">
        <v>3</v>
      </c>
      <c r="I763">
        <v>7000</v>
      </c>
      <c r="J763">
        <v>0</v>
      </c>
      <c r="K763" t="s">
        <v>19</v>
      </c>
      <c r="L763" t="s">
        <v>51</v>
      </c>
      <c r="M7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63">
        <v>21000</v>
      </c>
      <c r="O763" t="s">
        <v>685</v>
      </c>
      <c r="P763" t="str">
        <f>_xlfn.IFS(LEFT(indian_retail_raw_1000[[#This Row],[x]],1)="W", "West",LEFT(indian_retail_raw_1000[[#This Row],[x]],1)= "E","East",LEFT(O763,1) = "S", "South",LEFT(O763,1) = "N", "North")</f>
        <v>South</v>
      </c>
      <c r="Q763" t="s">
        <v>17</v>
      </c>
      <c r="R763" t="s">
        <v>23</v>
      </c>
      <c r="S763" t="str">
        <f>TEXT(indian_retail_raw_1000[[#This Row],[Order_Date]],"MMM")</f>
        <v>Jan</v>
      </c>
    </row>
    <row r="764" spans="1:19" x14ac:dyDescent="0.25">
      <c r="A764" t="s">
        <v>317</v>
      </c>
      <c r="B764" s="1">
        <v>45208</v>
      </c>
      <c r="C764" t="s">
        <v>318</v>
      </c>
      <c r="D764">
        <v>30</v>
      </c>
      <c r="E764" t="s">
        <v>23</v>
      </c>
      <c r="F764" t="s">
        <v>103</v>
      </c>
      <c r="G764" t="s">
        <v>282</v>
      </c>
      <c r="H764">
        <v>2</v>
      </c>
      <c r="I764">
        <v>17600</v>
      </c>
      <c r="J764">
        <v>40</v>
      </c>
      <c r="K764" t="s">
        <v>50</v>
      </c>
      <c r="L764" t="s">
        <v>20</v>
      </c>
      <c r="M7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4">
        <v>21120</v>
      </c>
      <c r="O764" t="s">
        <v>45</v>
      </c>
      <c r="P764" t="str">
        <f>_xlfn.IFS(LEFT(indian_retail_raw_1000[[#This Row],[x]],1)="W", "West",LEFT(indian_retail_raw_1000[[#This Row],[x]],1)= "E","East",LEFT(O764,1) = "S", "South",LEFT(O764,1) = "N", "North")</f>
        <v>East</v>
      </c>
      <c r="Q764" t="s">
        <v>54</v>
      </c>
      <c r="R764" t="s">
        <v>23</v>
      </c>
      <c r="S764" t="str">
        <f>TEXT(indian_retail_raw_1000[[#This Row],[Order_Date]],"MMM")</f>
        <v>Oct</v>
      </c>
    </row>
    <row r="765" spans="1:19" x14ac:dyDescent="0.25">
      <c r="A765" t="s">
        <v>214</v>
      </c>
      <c r="B765" s="1">
        <v>45204</v>
      </c>
      <c r="C765" t="s">
        <v>1336</v>
      </c>
      <c r="D765">
        <v>19</v>
      </c>
      <c r="E765" t="s">
        <v>73</v>
      </c>
      <c r="F765" t="s">
        <v>30</v>
      </c>
      <c r="G765" t="s">
        <v>67</v>
      </c>
      <c r="H765">
        <v>8</v>
      </c>
      <c r="I765">
        <v>2650</v>
      </c>
      <c r="J765">
        <v>0</v>
      </c>
      <c r="K765" t="s">
        <v>95</v>
      </c>
      <c r="L765" t="s">
        <v>20</v>
      </c>
      <c r="M7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5">
        <v>21200</v>
      </c>
      <c r="O765" t="s">
        <v>45</v>
      </c>
      <c r="P765" t="str">
        <f>_xlfn.IFS(LEFT(indian_retail_raw_1000[[#This Row],[x]],1)="W", "West",LEFT(indian_retail_raw_1000[[#This Row],[x]],1)= "E","East",LEFT(O765,1) = "S", "South",LEFT(O765,1) = "N", "North")</f>
        <v>East</v>
      </c>
      <c r="Q765" t="s">
        <v>30</v>
      </c>
      <c r="R765" t="s">
        <v>23</v>
      </c>
      <c r="S765" t="str">
        <f>TEXT(indian_retail_raw_1000[[#This Row],[Order_Date]],"MMM")</f>
        <v>Oct</v>
      </c>
    </row>
    <row r="766" spans="1:19" x14ac:dyDescent="0.25">
      <c r="A766" t="s">
        <v>736</v>
      </c>
      <c r="B766" s="1">
        <v>45233</v>
      </c>
      <c r="C766" t="s">
        <v>1336</v>
      </c>
      <c r="D766">
        <v>44</v>
      </c>
      <c r="E766" t="s">
        <v>16</v>
      </c>
      <c r="F766" t="s">
        <v>54</v>
      </c>
      <c r="G766" t="s">
        <v>104</v>
      </c>
      <c r="H766">
        <v>2</v>
      </c>
      <c r="I766">
        <v>13300</v>
      </c>
      <c r="J766">
        <v>20</v>
      </c>
      <c r="K766" t="s">
        <v>19</v>
      </c>
      <c r="L766" t="s">
        <v>449</v>
      </c>
      <c r="M7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6">
        <v>21280</v>
      </c>
      <c r="O766" t="s">
        <v>332</v>
      </c>
      <c r="P766" t="str">
        <f>_xlfn.IFS(LEFT(indian_retail_raw_1000[[#This Row],[x]],1)="W", "West",LEFT(indian_retail_raw_1000[[#This Row],[x]],1)= "E","East",LEFT(O766,1) = "S", "South",LEFT(O766,1) = "N", "North")</f>
        <v>North</v>
      </c>
      <c r="Q766" t="s">
        <v>54</v>
      </c>
      <c r="R766" t="s">
        <v>16</v>
      </c>
      <c r="S766" t="str">
        <f>TEXT(indian_retail_raw_1000[[#This Row],[Order_Date]],"MMM")</f>
        <v>Nov</v>
      </c>
    </row>
    <row r="767" spans="1:19" x14ac:dyDescent="0.25">
      <c r="A767" t="s">
        <v>454</v>
      </c>
      <c r="B767" s="1">
        <v>45264</v>
      </c>
      <c r="C767" t="s">
        <v>265</v>
      </c>
      <c r="D767">
        <v>59</v>
      </c>
      <c r="E767" t="s">
        <v>16</v>
      </c>
      <c r="F767" t="s">
        <v>35</v>
      </c>
      <c r="G767" t="s">
        <v>63</v>
      </c>
      <c r="H767">
        <v>8</v>
      </c>
      <c r="I767">
        <v>3352</v>
      </c>
      <c r="J767">
        <v>20</v>
      </c>
      <c r="K767" t="s">
        <v>41</v>
      </c>
      <c r="L767" t="s">
        <v>417</v>
      </c>
      <c r="M7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67">
        <v>21452.799999999999</v>
      </c>
      <c r="O767" t="s">
        <v>45</v>
      </c>
      <c r="P767" t="str">
        <f>_xlfn.IFS(LEFT(indian_retail_raw_1000[[#This Row],[x]],1)="W", "West",LEFT(indian_retail_raw_1000[[#This Row],[x]],1)= "E","East",LEFT(O767,1) = "S", "South",LEFT(O767,1) = "N", "North")</f>
        <v>East</v>
      </c>
      <c r="Q767" t="s">
        <v>35</v>
      </c>
      <c r="R767" t="s">
        <v>16</v>
      </c>
      <c r="S767" t="str">
        <f>TEXT(indian_retail_raw_1000[[#This Row],[Order_Date]],"MMM")</f>
        <v>Dec</v>
      </c>
    </row>
    <row r="768" spans="1:19" x14ac:dyDescent="0.25">
      <c r="A768" t="s">
        <v>354</v>
      </c>
      <c r="B768" s="1">
        <v>45175</v>
      </c>
      <c r="C768" t="s">
        <v>355</v>
      </c>
      <c r="D768">
        <v>20</v>
      </c>
      <c r="E768" t="s">
        <v>23</v>
      </c>
      <c r="F768" t="s">
        <v>30</v>
      </c>
      <c r="G768" t="s">
        <v>235</v>
      </c>
      <c r="H768">
        <v>8</v>
      </c>
      <c r="I768">
        <v>2831</v>
      </c>
      <c r="J768">
        <v>5</v>
      </c>
      <c r="K768" t="s">
        <v>64</v>
      </c>
      <c r="L768" t="s">
        <v>20</v>
      </c>
      <c r="M7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8">
        <v>21515.599999999999</v>
      </c>
      <c r="O768" t="s">
        <v>356</v>
      </c>
      <c r="P768" t="str">
        <f>_xlfn.IFS(LEFT(indian_retail_raw_1000[[#This Row],[x]],1)="W", "West",LEFT(indian_retail_raw_1000[[#This Row],[x]],1)= "E","East",LEFT(O768,1) = "S", "South",LEFT(O768,1) = "N", "North")</f>
        <v>East</v>
      </c>
      <c r="Q768" t="s">
        <v>30</v>
      </c>
      <c r="R768" t="s">
        <v>23</v>
      </c>
      <c r="S768" t="str">
        <f>TEXT(indian_retail_raw_1000[[#This Row],[Order_Date]],"MMM")</f>
        <v>Sep</v>
      </c>
    </row>
    <row r="769" spans="1:19" x14ac:dyDescent="0.25">
      <c r="A769" t="s">
        <v>647</v>
      </c>
      <c r="B769" s="1">
        <v>44960</v>
      </c>
      <c r="C769" t="s">
        <v>48</v>
      </c>
      <c r="D769">
        <v>22</v>
      </c>
      <c r="E769" t="s">
        <v>23</v>
      </c>
      <c r="F769" t="s">
        <v>54</v>
      </c>
      <c r="G769" t="s">
        <v>237</v>
      </c>
      <c r="H769">
        <v>1</v>
      </c>
      <c r="I769">
        <v>43200</v>
      </c>
      <c r="J769">
        <v>50</v>
      </c>
      <c r="K769" t="s">
        <v>41</v>
      </c>
      <c r="L769" t="s">
        <v>20</v>
      </c>
      <c r="M7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9">
        <v>21600</v>
      </c>
      <c r="O769" t="s">
        <v>38</v>
      </c>
      <c r="P769" t="str">
        <f>_xlfn.IFS(LEFT(indian_retail_raw_1000[[#This Row],[x]],1)="W", "West",LEFT(indian_retail_raw_1000[[#This Row],[x]],1)= "E","East",LEFT(O769,1) = "S", "South",LEFT(O769,1) = "N", "North")</f>
        <v>North</v>
      </c>
      <c r="Q769" t="s">
        <v>54</v>
      </c>
      <c r="R769" t="s">
        <v>23</v>
      </c>
      <c r="S769" t="str">
        <f>TEXT(indian_retail_raw_1000[[#This Row],[Order_Date]],"MMM")</f>
        <v>Feb</v>
      </c>
    </row>
    <row r="770" spans="1:19" x14ac:dyDescent="0.25">
      <c r="A770" t="s">
        <v>562</v>
      </c>
      <c r="B770" s="1">
        <v>45005</v>
      </c>
      <c r="C770" t="s">
        <v>43</v>
      </c>
      <c r="D770">
        <v>5</v>
      </c>
      <c r="E770" t="s">
        <v>44</v>
      </c>
      <c r="F770" t="s">
        <v>17</v>
      </c>
      <c r="G770" t="s">
        <v>80</v>
      </c>
      <c r="H770">
        <v>3</v>
      </c>
      <c r="I770">
        <v>6550</v>
      </c>
      <c r="J770">
        <v>-10</v>
      </c>
      <c r="K770" t="s">
        <v>50</v>
      </c>
      <c r="L770" t="s">
        <v>20</v>
      </c>
      <c r="M7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0">
        <v>21615</v>
      </c>
      <c r="O770" t="s">
        <v>26</v>
      </c>
      <c r="P770" t="str">
        <f>_xlfn.IFS(LEFT(indian_retail_raw_1000[[#This Row],[x]],1)="W", "West",LEFT(indian_retail_raw_1000[[#This Row],[x]],1)= "E","East",LEFT(O770,1) = "S", "South",LEFT(O770,1) = "N", "North")</f>
        <v>West</v>
      </c>
      <c r="Q770" t="s">
        <v>17</v>
      </c>
      <c r="R770" t="s">
        <v>23</v>
      </c>
      <c r="S770" t="str">
        <f>TEXT(indian_retail_raw_1000[[#This Row],[Order_Date]],"MMM")</f>
        <v>Mar</v>
      </c>
    </row>
    <row r="771" spans="1:19" x14ac:dyDescent="0.25">
      <c r="A771" t="s">
        <v>467</v>
      </c>
      <c r="B771" s="1" t="s">
        <v>1336</v>
      </c>
      <c r="C771" t="s">
        <v>411</v>
      </c>
      <c r="D771">
        <v>35</v>
      </c>
      <c r="E771" t="s">
        <v>16</v>
      </c>
      <c r="F771" t="s">
        <v>17</v>
      </c>
      <c r="G771" t="s">
        <v>297</v>
      </c>
      <c r="H771">
        <v>3</v>
      </c>
      <c r="I771">
        <v>7600</v>
      </c>
      <c r="J771">
        <v>5</v>
      </c>
      <c r="K771" t="s">
        <v>41</v>
      </c>
      <c r="L771" t="s">
        <v>20</v>
      </c>
      <c r="M7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1">
        <v>21660</v>
      </c>
      <c r="O771" t="s">
        <v>167</v>
      </c>
      <c r="P771" t="str">
        <f>_xlfn.IFS(LEFT(indian_retail_raw_1000[[#This Row],[x]],1)="W", "West",LEFT(indian_retail_raw_1000[[#This Row],[x]],1)= "E","East",LEFT(O771,1) = "S", "South",LEFT(O771,1) = "N", "North")</f>
        <v>North</v>
      </c>
      <c r="Q771" t="s">
        <v>17</v>
      </c>
      <c r="R771" t="s">
        <v>16</v>
      </c>
      <c r="S771" t="str">
        <f>TEXT(indian_retail_raw_1000[[#This Row],[Order_Date]],"MMM")</f>
        <v>Null</v>
      </c>
    </row>
    <row r="772" spans="1:19" x14ac:dyDescent="0.25">
      <c r="A772" t="s">
        <v>459</v>
      </c>
      <c r="B772" s="1">
        <v>45229</v>
      </c>
      <c r="C772" t="s">
        <v>176</v>
      </c>
      <c r="D772">
        <v>50</v>
      </c>
      <c r="E772" t="s">
        <v>23</v>
      </c>
      <c r="F772" t="s">
        <v>54</v>
      </c>
      <c r="G772" t="s">
        <v>282</v>
      </c>
      <c r="H772">
        <v>2</v>
      </c>
      <c r="I772">
        <v>18100</v>
      </c>
      <c r="J772">
        <v>40</v>
      </c>
      <c r="K772" t="s">
        <v>19</v>
      </c>
      <c r="L772" t="s">
        <v>107</v>
      </c>
      <c r="M7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2">
        <v>21720</v>
      </c>
      <c r="O772" t="s">
        <v>26</v>
      </c>
      <c r="P772" t="str">
        <f>_xlfn.IFS(LEFT(indian_retail_raw_1000[[#This Row],[x]],1)="W", "West",LEFT(indian_retail_raw_1000[[#This Row],[x]],1)= "E","East",LEFT(O772,1) = "S", "South",LEFT(O772,1) = "N", "North")</f>
        <v>West</v>
      </c>
      <c r="Q772" t="s">
        <v>54</v>
      </c>
      <c r="R772" t="s">
        <v>23</v>
      </c>
      <c r="S772" t="str">
        <f>TEXT(indian_retail_raw_1000[[#This Row],[Order_Date]],"MMM")</f>
        <v>Oct</v>
      </c>
    </row>
    <row r="773" spans="1:19" x14ac:dyDescent="0.25">
      <c r="A773" t="s">
        <v>1255</v>
      </c>
      <c r="B773" s="1">
        <v>45034</v>
      </c>
      <c r="C773" t="s">
        <v>43</v>
      </c>
      <c r="D773">
        <v>21</v>
      </c>
      <c r="E773" t="s">
        <v>16</v>
      </c>
      <c r="F773" t="s">
        <v>17</v>
      </c>
      <c r="G773" t="s">
        <v>117</v>
      </c>
      <c r="H773">
        <v>3</v>
      </c>
      <c r="I773">
        <v>7250</v>
      </c>
      <c r="J773">
        <v>5</v>
      </c>
      <c r="K773" t="s">
        <v>50</v>
      </c>
      <c r="L773" t="s">
        <v>20</v>
      </c>
      <c r="M7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3">
        <v>21750</v>
      </c>
      <c r="O773" t="s">
        <v>33</v>
      </c>
      <c r="P773" t="str">
        <f>_xlfn.IFS(LEFT(indian_retail_raw_1000[[#This Row],[x]],1)="W", "West",LEFT(indian_retail_raw_1000[[#This Row],[x]],1)= "E","East",LEFT(O773,1) = "S", "South",LEFT(O773,1) = "N", "North")</f>
        <v>West</v>
      </c>
      <c r="Q773" t="s">
        <v>17</v>
      </c>
      <c r="R773" t="s">
        <v>16</v>
      </c>
      <c r="S773" t="str">
        <f>TEXT(indian_retail_raw_1000[[#This Row],[Order_Date]],"MMM")</f>
        <v>Apr</v>
      </c>
    </row>
    <row r="774" spans="1:19" x14ac:dyDescent="0.25">
      <c r="A774" t="s">
        <v>1088</v>
      </c>
      <c r="B774" s="1">
        <v>45139</v>
      </c>
      <c r="C774" t="s">
        <v>207</v>
      </c>
      <c r="D774">
        <v>60</v>
      </c>
      <c r="E774" t="s">
        <v>138</v>
      </c>
      <c r="F774" t="s">
        <v>30</v>
      </c>
      <c r="G774" t="s">
        <v>218</v>
      </c>
      <c r="H774">
        <v>9</v>
      </c>
      <c r="I774">
        <v>3028</v>
      </c>
      <c r="J774">
        <v>20</v>
      </c>
      <c r="K774" t="s">
        <v>381</v>
      </c>
      <c r="L774" t="s">
        <v>363</v>
      </c>
      <c r="M7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74">
        <v>21801.599999999999</v>
      </c>
      <c r="O774" t="s">
        <v>21</v>
      </c>
      <c r="P774" t="str">
        <f>_xlfn.IFS(LEFT(indian_retail_raw_1000[[#This Row],[x]],1)="W", "West",LEFT(indian_retail_raw_1000[[#This Row],[x]],1)= "E","East",LEFT(O774,1) = "S", "South",LEFT(O774,1) = "N", "North")</f>
        <v>South</v>
      </c>
      <c r="Q774" t="s">
        <v>30</v>
      </c>
      <c r="R774" t="s">
        <v>138</v>
      </c>
      <c r="S774" t="str">
        <f>TEXT(indian_retail_raw_1000[[#This Row],[Order_Date]],"MMM")</f>
        <v>Aug</v>
      </c>
    </row>
    <row r="775" spans="1:19" x14ac:dyDescent="0.25">
      <c r="A775" t="s">
        <v>402</v>
      </c>
      <c r="B775" s="1">
        <v>44929</v>
      </c>
      <c r="C775" t="s">
        <v>1336</v>
      </c>
      <c r="D775">
        <v>59</v>
      </c>
      <c r="E775" t="s">
        <v>23</v>
      </c>
      <c r="F775" t="s">
        <v>30</v>
      </c>
      <c r="G775" t="s">
        <v>195</v>
      </c>
      <c r="H775">
        <v>8</v>
      </c>
      <c r="I775">
        <v>4606</v>
      </c>
      <c r="J775">
        <v>40</v>
      </c>
      <c r="K775" t="s">
        <v>50</v>
      </c>
      <c r="L775" t="s">
        <v>20</v>
      </c>
      <c r="M7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5">
        <v>22108.799999999999</v>
      </c>
      <c r="O775" t="s">
        <v>26</v>
      </c>
      <c r="P775" t="str">
        <f>_xlfn.IFS(LEFT(indian_retail_raw_1000[[#This Row],[x]],1)="W", "West",LEFT(indian_retail_raw_1000[[#This Row],[x]],1)= "E","East",LEFT(O775,1) = "S", "South",LEFT(O775,1) = "N", "North")</f>
        <v>West</v>
      </c>
      <c r="Q775" t="s">
        <v>30</v>
      </c>
      <c r="R775" t="s">
        <v>23</v>
      </c>
      <c r="S775" t="str">
        <f>TEXT(indian_retail_raw_1000[[#This Row],[Order_Date]],"MMM")</f>
        <v>Jan</v>
      </c>
    </row>
    <row r="776" spans="1:19" x14ac:dyDescent="0.25">
      <c r="A776" t="s">
        <v>800</v>
      </c>
      <c r="B776" s="1">
        <v>45168</v>
      </c>
      <c r="C776" t="s">
        <v>53</v>
      </c>
      <c r="D776">
        <v>38</v>
      </c>
      <c r="E776" t="s">
        <v>171</v>
      </c>
      <c r="F776" t="s">
        <v>54</v>
      </c>
      <c r="G776" t="s">
        <v>282</v>
      </c>
      <c r="H776">
        <v>2</v>
      </c>
      <c r="I776">
        <v>13100</v>
      </c>
      <c r="J776">
        <v>15</v>
      </c>
      <c r="K776" t="s">
        <v>41</v>
      </c>
      <c r="L776" t="s">
        <v>20</v>
      </c>
      <c r="M7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6">
        <v>22270</v>
      </c>
      <c r="O776" t="s">
        <v>21</v>
      </c>
      <c r="P776" t="str">
        <f>_xlfn.IFS(LEFT(indian_retail_raw_1000[[#This Row],[x]],1)="W", "West",LEFT(indian_retail_raw_1000[[#This Row],[x]],1)= "E","East",LEFT(O776,1) = "S", "South",LEFT(O776,1) = "N", "North")</f>
        <v>South</v>
      </c>
      <c r="Q776" t="s">
        <v>54</v>
      </c>
      <c r="R776" t="s">
        <v>138</v>
      </c>
      <c r="S776" t="str">
        <f>TEXT(indian_retail_raw_1000[[#This Row],[Order_Date]],"MMM")</f>
        <v>Aug</v>
      </c>
    </row>
    <row r="777" spans="1:19" x14ac:dyDescent="0.25">
      <c r="A777" t="s">
        <v>944</v>
      </c>
      <c r="B777" s="1">
        <v>45284</v>
      </c>
      <c r="C777" t="s">
        <v>43</v>
      </c>
      <c r="D777">
        <v>21</v>
      </c>
      <c r="E777" t="s">
        <v>23</v>
      </c>
      <c r="F777" t="s">
        <v>54</v>
      </c>
      <c r="G777" t="s">
        <v>180</v>
      </c>
      <c r="H777">
        <v>1</v>
      </c>
      <c r="I777">
        <v>26200</v>
      </c>
      <c r="J777">
        <v>15</v>
      </c>
      <c r="K777" t="s">
        <v>19</v>
      </c>
      <c r="L777" t="s">
        <v>51</v>
      </c>
      <c r="M7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77">
        <v>22270</v>
      </c>
      <c r="O777" t="s">
        <v>38</v>
      </c>
      <c r="P777" t="str">
        <f>_xlfn.IFS(LEFT(indian_retail_raw_1000[[#This Row],[x]],1)="W", "West",LEFT(indian_retail_raw_1000[[#This Row],[x]],1)= "E","East",LEFT(O777,1) = "S", "South",LEFT(O777,1) = "N", "North")</f>
        <v>North</v>
      </c>
      <c r="Q777" t="s">
        <v>54</v>
      </c>
      <c r="R777" t="s">
        <v>23</v>
      </c>
      <c r="S777" t="str">
        <f>TEXT(indian_retail_raw_1000[[#This Row],[Order_Date]],"MMM")</f>
        <v>Dec</v>
      </c>
    </row>
    <row r="778" spans="1:19" x14ac:dyDescent="0.25">
      <c r="A778" t="s">
        <v>703</v>
      </c>
      <c r="B778" s="1">
        <v>45235</v>
      </c>
      <c r="C778" t="s">
        <v>217</v>
      </c>
      <c r="D778">
        <v>42</v>
      </c>
      <c r="E778" t="s">
        <v>16</v>
      </c>
      <c r="F778" t="s">
        <v>30</v>
      </c>
      <c r="G778" t="s">
        <v>60</v>
      </c>
      <c r="H778">
        <v>3</v>
      </c>
      <c r="I778">
        <v>9941</v>
      </c>
      <c r="J778">
        <v>25</v>
      </c>
      <c r="K778" t="s">
        <v>25</v>
      </c>
      <c r="L778" t="s">
        <v>20</v>
      </c>
      <c r="M7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8">
        <v>22367.25</v>
      </c>
      <c r="O778" t="s">
        <v>74</v>
      </c>
      <c r="P778" t="str">
        <f>_xlfn.IFS(LEFT(indian_retail_raw_1000[[#This Row],[x]],1)="W", "West",LEFT(indian_retail_raw_1000[[#This Row],[x]],1)= "E","East",LEFT(O778,1) = "S", "South",LEFT(O778,1) = "N", "North")</f>
        <v>West</v>
      </c>
      <c r="Q778" t="s">
        <v>30</v>
      </c>
      <c r="R778" t="s">
        <v>16</v>
      </c>
      <c r="S778" t="str">
        <f>TEXT(indian_retail_raw_1000[[#This Row],[Order_Date]],"MMM")</f>
        <v>Nov</v>
      </c>
    </row>
    <row r="779" spans="1:19" x14ac:dyDescent="0.25">
      <c r="A779" t="s">
        <v>555</v>
      </c>
      <c r="B779" s="1">
        <v>45132</v>
      </c>
      <c r="C779" t="s">
        <v>28</v>
      </c>
      <c r="D779">
        <v>25</v>
      </c>
      <c r="E779" t="s">
        <v>29</v>
      </c>
      <c r="F779" t="s">
        <v>17</v>
      </c>
      <c r="G779" t="s">
        <v>117</v>
      </c>
      <c r="H779">
        <v>3</v>
      </c>
      <c r="I779">
        <v>7850</v>
      </c>
      <c r="J779">
        <v>5</v>
      </c>
      <c r="K779" t="s">
        <v>50</v>
      </c>
      <c r="L779" t="s">
        <v>20</v>
      </c>
      <c r="M7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9">
        <v>22372.5</v>
      </c>
      <c r="O779" t="s">
        <v>26</v>
      </c>
      <c r="P779" t="str">
        <f>_xlfn.IFS(LEFT(indian_retail_raw_1000[[#This Row],[x]],1)="W", "West",LEFT(indian_retail_raw_1000[[#This Row],[x]],1)= "E","East",LEFT(O779,1) = "S", "South",LEFT(O779,1) = "N", "North")</f>
        <v>West</v>
      </c>
      <c r="Q779" t="s">
        <v>17</v>
      </c>
      <c r="R779" t="s">
        <v>16</v>
      </c>
      <c r="S779" t="str">
        <f>TEXT(indian_retail_raw_1000[[#This Row],[Order_Date]],"MMM")</f>
        <v>Jul</v>
      </c>
    </row>
    <row r="780" spans="1:19" x14ac:dyDescent="0.25">
      <c r="A780" t="s">
        <v>1266</v>
      </c>
      <c r="B780" s="1">
        <v>45084</v>
      </c>
      <c r="C780" t="s">
        <v>156</v>
      </c>
      <c r="D780">
        <v>65</v>
      </c>
      <c r="E780" t="s">
        <v>73</v>
      </c>
      <c r="F780" t="s">
        <v>30</v>
      </c>
      <c r="G780" t="s">
        <v>540</v>
      </c>
      <c r="H780">
        <v>5</v>
      </c>
      <c r="I780">
        <v>4487</v>
      </c>
      <c r="J780">
        <v>0</v>
      </c>
      <c r="K780" t="s">
        <v>25</v>
      </c>
      <c r="L780" t="s">
        <v>56</v>
      </c>
      <c r="M7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80">
        <v>22435</v>
      </c>
      <c r="O780" t="s">
        <v>45</v>
      </c>
      <c r="P780" t="str">
        <f>_xlfn.IFS(LEFT(indian_retail_raw_1000[[#This Row],[x]],1)="W", "West",LEFT(indian_retail_raw_1000[[#This Row],[x]],1)= "E","East",LEFT(O780,1) = "S", "South",LEFT(O780,1) = "N", "North")</f>
        <v>East</v>
      </c>
      <c r="Q780" t="s">
        <v>30</v>
      </c>
      <c r="R780" t="s">
        <v>23</v>
      </c>
      <c r="S780" t="str">
        <f>TEXT(indian_retail_raw_1000[[#This Row],[Order_Date]],"MMM")</f>
        <v>Jun</v>
      </c>
    </row>
    <row r="781" spans="1:19" x14ac:dyDescent="0.25">
      <c r="A781" t="s">
        <v>309</v>
      </c>
      <c r="B781" s="1">
        <v>45202</v>
      </c>
      <c r="C781" t="s">
        <v>1336</v>
      </c>
      <c r="D781">
        <v>27</v>
      </c>
      <c r="E781" t="s">
        <v>16</v>
      </c>
      <c r="F781" t="s">
        <v>54</v>
      </c>
      <c r="G781" t="s">
        <v>77</v>
      </c>
      <c r="H781">
        <v>1</v>
      </c>
      <c r="I781">
        <v>25000</v>
      </c>
      <c r="J781">
        <v>10</v>
      </c>
      <c r="K781" t="s">
        <v>41</v>
      </c>
      <c r="L781" t="s">
        <v>20</v>
      </c>
      <c r="M7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1">
        <v>22500</v>
      </c>
      <c r="O781" t="s">
        <v>167</v>
      </c>
      <c r="P781" t="str">
        <f>_xlfn.IFS(LEFT(indian_retail_raw_1000[[#This Row],[x]],1)="W", "West",LEFT(indian_retail_raw_1000[[#This Row],[x]],1)= "E","East",LEFT(O781,1) = "S", "South",LEFT(O781,1) = "N", "North")</f>
        <v>North</v>
      </c>
      <c r="Q781" t="s">
        <v>54</v>
      </c>
      <c r="R781" t="s">
        <v>16</v>
      </c>
      <c r="S781" t="str">
        <f>TEXT(indian_retail_raw_1000[[#This Row],[Order_Date]],"MMM")</f>
        <v>Oct</v>
      </c>
    </row>
    <row r="782" spans="1:19" x14ac:dyDescent="0.25">
      <c r="A782" t="s">
        <v>1028</v>
      </c>
      <c r="B782" s="1">
        <v>45241</v>
      </c>
      <c r="C782" t="s">
        <v>170</v>
      </c>
      <c r="D782">
        <v>41</v>
      </c>
      <c r="E782" t="s">
        <v>16</v>
      </c>
      <c r="F782" t="s">
        <v>17</v>
      </c>
      <c r="G782" t="s">
        <v>124</v>
      </c>
      <c r="H782">
        <v>3</v>
      </c>
      <c r="I782">
        <v>7950</v>
      </c>
      <c r="J782">
        <v>5</v>
      </c>
      <c r="K782" t="s">
        <v>19</v>
      </c>
      <c r="L782" t="s">
        <v>20</v>
      </c>
      <c r="M7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2">
        <v>22657.5</v>
      </c>
      <c r="O782" t="s">
        <v>26</v>
      </c>
      <c r="P782" t="str">
        <f>_xlfn.IFS(LEFT(indian_retail_raw_1000[[#This Row],[x]],1)="W", "West",LEFT(indian_retail_raw_1000[[#This Row],[x]],1)= "E","East",LEFT(O782,1) = "S", "South",LEFT(O782,1) = "N", "North")</f>
        <v>West</v>
      </c>
      <c r="Q782" t="s">
        <v>17</v>
      </c>
      <c r="R782" t="s">
        <v>16</v>
      </c>
      <c r="S782" t="str">
        <f>TEXT(indian_retail_raw_1000[[#This Row],[Order_Date]],"MMM")</f>
        <v>Nov</v>
      </c>
    </row>
    <row r="783" spans="1:19" x14ac:dyDescent="0.25">
      <c r="A783" t="s">
        <v>238</v>
      </c>
      <c r="B783" s="1" t="s">
        <v>1336</v>
      </c>
      <c r="C783" t="s">
        <v>1336</v>
      </c>
      <c r="D783">
        <v>48</v>
      </c>
      <c r="E783" t="s">
        <v>16</v>
      </c>
      <c r="F783" t="s">
        <v>54</v>
      </c>
      <c r="G783" t="s">
        <v>77</v>
      </c>
      <c r="H783">
        <v>1</v>
      </c>
      <c r="I783">
        <v>24000</v>
      </c>
      <c r="J783">
        <v>5</v>
      </c>
      <c r="K783" t="s">
        <v>41</v>
      </c>
      <c r="L783" t="s">
        <v>20</v>
      </c>
      <c r="M7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3">
        <v>22800</v>
      </c>
      <c r="O783" t="s">
        <v>33</v>
      </c>
      <c r="P783" t="str">
        <f>_xlfn.IFS(LEFT(indian_retail_raw_1000[[#This Row],[x]],1)="W", "West",LEFT(indian_retail_raw_1000[[#This Row],[x]],1)= "E","East",LEFT(O783,1) = "S", "South",LEFT(O783,1) = "N", "North")</f>
        <v>West</v>
      </c>
      <c r="Q783" t="s">
        <v>54</v>
      </c>
      <c r="R783" t="s">
        <v>16</v>
      </c>
      <c r="S783" t="str">
        <f>TEXT(indian_retail_raw_1000[[#This Row],[Order_Date]],"MMM")</f>
        <v>Null</v>
      </c>
    </row>
    <row r="784" spans="1:19" x14ac:dyDescent="0.25">
      <c r="A784" t="s">
        <v>1216</v>
      </c>
      <c r="B784" s="1">
        <v>45149</v>
      </c>
      <c r="C784" t="s">
        <v>207</v>
      </c>
      <c r="D784">
        <v>27</v>
      </c>
      <c r="E784" t="s">
        <v>23</v>
      </c>
      <c r="F784" t="s">
        <v>54</v>
      </c>
      <c r="G784" t="s">
        <v>180</v>
      </c>
      <c r="H784">
        <v>2</v>
      </c>
      <c r="I784">
        <v>23000</v>
      </c>
      <c r="J784">
        <v>50</v>
      </c>
      <c r="K784" t="s">
        <v>19</v>
      </c>
      <c r="L784" t="s">
        <v>20</v>
      </c>
      <c r="M7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4">
        <v>23000</v>
      </c>
      <c r="O784" t="s">
        <v>45</v>
      </c>
      <c r="P784" t="str">
        <f>_xlfn.IFS(LEFT(indian_retail_raw_1000[[#This Row],[x]],1)="W", "West",LEFT(indian_retail_raw_1000[[#This Row],[x]],1)= "E","East",LEFT(O784,1) = "S", "South",LEFT(O784,1) = "N", "North")</f>
        <v>East</v>
      </c>
      <c r="Q784" t="s">
        <v>54</v>
      </c>
      <c r="R784" t="s">
        <v>23</v>
      </c>
      <c r="S784" t="str">
        <f>TEXT(indian_retail_raw_1000[[#This Row],[Order_Date]],"MMM")</f>
        <v>Aug</v>
      </c>
    </row>
    <row r="785" spans="1:19" x14ac:dyDescent="0.25">
      <c r="A785" t="s">
        <v>753</v>
      </c>
      <c r="B785" s="1">
        <v>44992</v>
      </c>
      <c r="C785" t="s">
        <v>66</v>
      </c>
      <c r="D785">
        <v>34</v>
      </c>
      <c r="E785" t="s">
        <v>23</v>
      </c>
      <c r="F785" t="s">
        <v>30</v>
      </c>
      <c r="G785" t="s">
        <v>31</v>
      </c>
      <c r="H785">
        <v>10</v>
      </c>
      <c r="I785">
        <v>2320</v>
      </c>
      <c r="J785">
        <v>0</v>
      </c>
      <c r="K785" t="s">
        <v>41</v>
      </c>
      <c r="L785" t="s">
        <v>20</v>
      </c>
      <c r="M7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5">
        <v>23200</v>
      </c>
      <c r="O785" t="s">
        <v>74</v>
      </c>
      <c r="P785" t="str">
        <f>_xlfn.IFS(LEFT(indian_retail_raw_1000[[#This Row],[x]],1)="W", "West",LEFT(indian_retail_raw_1000[[#This Row],[x]],1)= "E","East",LEFT(O785,1) = "S", "South",LEFT(O785,1) = "N", "North")</f>
        <v>West</v>
      </c>
      <c r="Q785" t="s">
        <v>30</v>
      </c>
      <c r="R785" t="s">
        <v>23</v>
      </c>
      <c r="S785" t="str">
        <f>TEXT(indian_retail_raw_1000[[#This Row],[Order_Date]],"MMM")</f>
        <v>Mar</v>
      </c>
    </row>
    <row r="786" spans="1:19" x14ac:dyDescent="0.25">
      <c r="A786" t="s">
        <v>961</v>
      </c>
      <c r="B786" s="1">
        <v>45063</v>
      </c>
      <c r="C786" t="s">
        <v>160</v>
      </c>
      <c r="D786">
        <v>43</v>
      </c>
      <c r="E786" t="s">
        <v>16</v>
      </c>
      <c r="F786" t="s">
        <v>30</v>
      </c>
      <c r="G786" t="s">
        <v>540</v>
      </c>
      <c r="H786">
        <v>10</v>
      </c>
      <c r="I786">
        <v>3331</v>
      </c>
      <c r="J786">
        <v>30</v>
      </c>
      <c r="K786" t="s">
        <v>50</v>
      </c>
      <c r="L786" t="s">
        <v>20</v>
      </c>
      <c r="M7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6">
        <v>23317</v>
      </c>
      <c r="O786" t="s">
        <v>45</v>
      </c>
      <c r="P786" t="str">
        <f>_xlfn.IFS(LEFT(indian_retail_raw_1000[[#This Row],[x]],1)="W", "West",LEFT(indian_retail_raw_1000[[#This Row],[x]],1)= "E","East",LEFT(O786,1) = "S", "South",LEFT(O786,1) = "N", "North")</f>
        <v>East</v>
      </c>
      <c r="Q786" t="s">
        <v>30</v>
      </c>
      <c r="R786" t="s">
        <v>16</v>
      </c>
      <c r="S786" t="str">
        <f>TEXT(indian_retail_raw_1000[[#This Row],[Order_Date]],"MMM")</f>
        <v>May</v>
      </c>
    </row>
    <row r="787" spans="1:19" x14ac:dyDescent="0.25">
      <c r="A787" t="s">
        <v>1328</v>
      </c>
      <c r="B787" s="1">
        <v>44944</v>
      </c>
      <c r="C787" t="s">
        <v>1336</v>
      </c>
      <c r="D787">
        <v>31</v>
      </c>
      <c r="E787" t="s">
        <v>23</v>
      </c>
      <c r="F787" t="s">
        <v>384</v>
      </c>
      <c r="G787" t="s">
        <v>235</v>
      </c>
      <c r="H787">
        <v>9</v>
      </c>
      <c r="I787">
        <v>2606</v>
      </c>
      <c r="J787">
        <v>0</v>
      </c>
      <c r="K787" t="s">
        <v>19</v>
      </c>
      <c r="L787" t="s">
        <v>51</v>
      </c>
      <c r="M7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87">
        <v>23454</v>
      </c>
      <c r="O787" t="s">
        <v>45</v>
      </c>
      <c r="P787" t="str">
        <f>_xlfn.IFS(LEFT(indian_retail_raw_1000[[#This Row],[x]],1)="W", "West",LEFT(indian_retail_raw_1000[[#This Row],[x]],1)= "E","East",LEFT(O787,1) = "S", "South",LEFT(O787,1) = "N", "North")</f>
        <v>East</v>
      </c>
      <c r="Q787" t="s">
        <v>30</v>
      </c>
      <c r="R787" t="s">
        <v>23</v>
      </c>
      <c r="S787" t="str">
        <f>TEXT(indian_retail_raw_1000[[#This Row],[Order_Date]],"MMM")</f>
        <v>Jan</v>
      </c>
    </row>
    <row r="788" spans="1:19" x14ac:dyDescent="0.25">
      <c r="A788" t="s">
        <v>801</v>
      </c>
      <c r="B788" s="1">
        <v>45205</v>
      </c>
      <c r="C788" t="s">
        <v>1336</v>
      </c>
      <c r="D788">
        <v>54</v>
      </c>
      <c r="E788" t="s">
        <v>16</v>
      </c>
      <c r="F788" t="s">
        <v>30</v>
      </c>
      <c r="G788" t="s">
        <v>195</v>
      </c>
      <c r="H788">
        <v>7</v>
      </c>
      <c r="I788">
        <v>4470</v>
      </c>
      <c r="J788">
        <v>25</v>
      </c>
      <c r="K788" t="s">
        <v>41</v>
      </c>
      <c r="L788" t="s">
        <v>51</v>
      </c>
      <c r="M7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88">
        <v>23467.5</v>
      </c>
      <c r="O788" t="s">
        <v>57</v>
      </c>
      <c r="P788" t="str">
        <f>_xlfn.IFS(LEFT(indian_retail_raw_1000[[#This Row],[x]],1)="W", "West",LEFT(indian_retail_raw_1000[[#This Row],[x]],1)= "E","East",LEFT(O788,1) = "S", "South",LEFT(O788,1) = "N", "North")</f>
        <v>West</v>
      </c>
      <c r="Q788" t="s">
        <v>30</v>
      </c>
      <c r="R788" t="s">
        <v>16</v>
      </c>
      <c r="S788" t="str">
        <f>TEXT(indian_retail_raw_1000[[#This Row],[Order_Date]],"MMM")</f>
        <v>Oct</v>
      </c>
    </row>
    <row r="789" spans="1:19" x14ac:dyDescent="0.25">
      <c r="A789" t="s">
        <v>845</v>
      </c>
      <c r="B789" s="1">
        <v>45217</v>
      </c>
      <c r="C789" t="s">
        <v>393</v>
      </c>
      <c r="D789">
        <v>31</v>
      </c>
      <c r="E789" t="s">
        <v>23</v>
      </c>
      <c r="F789" t="s">
        <v>30</v>
      </c>
      <c r="G789" t="s">
        <v>218</v>
      </c>
      <c r="H789">
        <v>10</v>
      </c>
      <c r="I789">
        <v>2498</v>
      </c>
      <c r="J789">
        <v>5</v>
      </c>
      <c r="K789" t="s">
        <v>41</v>
      </c>
      <c r="L789" t="s">
        <v>51</v>
      </c>
      <c r="M7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89">
        <v>23731</v>
      </c>
      <c r="O789" t="s">
        <v>38</v>
      </c>
      <c r="P789" t="str">
        <f>_xlfn.IFS(LEFT(indian_retail_raw_1000[[#This Row],[x]],1)="W", "West",LEFT(indian_retail_raw_1000[[#This Row],[x]],1)= "E","East",LEFT(O789,1) = "S", "South",LEFT(O789,1) = "N", "North")</f>
        <v>North</v>
      </c>
      <c r="Q789" t="s">
        <v>30</v>
      </c>
      <c r="R789" t="s">
        <v>23</v>
      </c>
      <c r="S789" t="str">
        <f>TEXT(indian_retail_raw_1000[[#This Row],[Order_Date]],"MMM")</f>
        <v>Oct</v>
      </c>
    </row>
    <row r="790" spans="1:19" x14ac:dyDescent="0.25">
      <c r="A790" t="s">
        <v>846</v>
      </c>
      <c r="B790" s="1" t="s">
        <v>1336</v>
      </c>
      <c r="C790" t="s">
        <v>152</v>
      </c>
      <c r="D790">
        <v>23</v>
      </c>
      <c r="E790" t="s">
        <v>23</v>
      </c>
      <c r="F790" t="s">
        <v>384</v>
      </c>
      <c r="G790" t="s">
        <v>130</v>
      </c>
      <c r="H790">
        <v>10</v>
      </c>
      <c r="I790">
        <v>2665</v>
      </c>
      <c r="J790">
        <v>10</v>
      </c>
      <c r="K790" t="s">
        <v>50</v>
      </c>
      <c r="L790" t="s">
        <v>20</v>
      </c>
      <c r="M7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0">
        <v>23985</v>
      </c>
      <c r="O790" t="s">
        <v>26</v>
      </c>
      <c r="P790" t="str">
        <f>_xlfn.IFS(LEFT(indian_retail_raw_1000[[#This Row],[x]],1)="W", "West",LEFT(indian_retail_raw_1000[[#This Row],[x]],1)= "E","East",LEFT(O790,1) = "S", "South",LEFT(O790,1) = "N", "North")</f>
        <v>West</v>
      </c>
      <c r="Q790" t="s">
        <v>30</v>
      </c>
      <c r="R790" t="s">
        <v>23</v>
      </c>
      <c r="S790" t="str">
        <f>TEXT(indian_retail_raw_1000[[#This Row],[Order_Date]],"MMM")</f>
        <v>Null</v>
      </c>
    </row>
    <row r="791" spans="1:19" x14ac:dyDescent="0.25">
      <c r="A791" t="s">
        <v>601</v>
      </c>
      <c r="B791" s="1">
        <v>45125</v>
      </c>
      <c r="C791" t="s">
        <v>48</v>
      </c>
      <c r="D791">
        <v>58</v>
      </c>
      <c r="E791" t="s">
        <v>23</v>
      </c>
      <c r="F791" t="s">
        <v>54</v>
      </c>
      <c r="G791" t="s">
        <v>92</v>
      </c>
      <c r="H791">
        <v>2</v>
      </c>
      <c r="I791">
        <v>15000</v>
      </c>
      <c r="J791">
        <v>20</v>
      </c>
      <c r="K791" t="s">
        <v>25</v>
      </c>
      <c r="L791" t="s">
        <v>20</v>
      </c>
      <c r="M7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1">
        <v>24000</v>
      </c>
      <c r="O791" t="s">
        <v>26</v>
      </c>
      <c r="P791" t="str">
        <f>_xlfn.IFS(LEFT(indian_retail_raw_1000[[#This Row],[x]],1)="W", "West",LEFT(indian_retail_raw_1000[[#This Row],[x]],1)= "E","East",LEFT(O791,1) = "S", "South",LEFT(O791,1) = "N", "North")</f>
        <v>West</v>
      </c>
      <c r="Q791" t="s">
        <v>54</v>
      </c>
      <c r="R791" t="s">
        <v>23</v>
      </c>
      <c r="S791" t="str">
        <f>TEXT(indian_retail_raw_1000[[#This Row],[Order_Date]],"MMM")</f>
        <v>Jul</v>
      </c>
    </row>
    <row r="792" spans="1:19" x14ac:dyDescent="0.25">
      <c r="A792" t="s">
        <v>1283</v>
      </c>
      <c r="B792" s="1">
        <v>44982</v>
      </c>
      <c r="C792" t="s">
        <v>128</v>
      </c>
      <c r="D792">
        <v>58</v>
      </c>
      <c r="E792" t="s">
        <v>23</v>
      </c>
      <c r="F792" t="s">
        <v>17</v>
      </c>
      <c r="G792" t="s">
        <v>124</v>
      </c>
      <c r="H792">
        <v>3</v>
      </c>
      <c r="I792">
        <v>8000</v>
      </c>
      <c r="J792">
        <v>0</v>
      </c>
      <c r="K792" t="s">
        <v>50</v>
      </c>
      <c r="L792" t="s">
        <v>20</v>
      </c>
      <c r="M7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2">
        <v>24000</v>
      </c>
      <c r="O792" t="s">
        <v>38</v>
      </c>
      <c r="P792" t="str">
        <f>_xlfn.IFS(LEFT(indian_retail_raw_1000[[#This Row],[x]],1)="W", "West",LEFT(indian_retail_raw_1000[[#This Row],[x]],1)= "E","East",LEFT(O792,1) = "S", "South",LEFT(O792,1) = "N", "North")</f>
        <v>North</v>
      </c>
      <c r="Q792" t="s">
        <v>17</v>
      </c>
      <c r="R792" t="s">
        <v>23</v>
      </c>
      <c r="S792" t="str">
        <f>TEXT(indian_retail_raw_1000[[#This Row],[Order_Date]],"MMM")</f>
        <v>Feb</v>
      </c>
    </row>
    <row r="793" spans="1:19" x14ac:dyDescent="0.25">
      <c r="A793" t="s">
        <v>159</v>
      </c>
      <c r="B793" s="1" t="s">
        <v>1336</v>
      </c>
      <c r="C793" t="s">
        <v>160</v>
      </c>
      <c r="D793">
        <v>64</v>
      </c>
      <c r="E793" t="s">
        <v>138</v>
      </c>
      <c r="F793" t="s">
        <v>30</v>
      </c>
      <c r="G793" t="s">
        <v>60</v>
      </c>
      <c r="H793">
        <v>4</v>
      </c>
      <c r="I793">
        <v>8636</v>
      </c>
      <c r="J793">
        <v>30</v>
      </c>
      <c r="K793" t="s">
        <v>41</v>
      </c>
      <c r="L793" t="s">
        <v>20</v>
      </c>
      <c r="M7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3">
        <v>24180.799999999999</v>
      </c>
      <c r="O793" t="s">
        <v>45</v>
      </c>
      <c r="P793" t="str">
        <f>_xlfn.IFS(LEFT(indian_retail_raw_1000[[#This Row],[x]],1)="W", "West",LEFT(indian_retail_raw_1000[[#This Row],[x]],1)= "E","East",LEFT(O793,1) = "S", "South",LEFT(O793,1) = "N", "North")</f>
        <v>East</v>
      </c>
      <c r="Q793" t="s">
        <v>30</v>
      </c>
      <c r="R793" t="s">
        <v>138</v>
      </c>
      <c r="S793" t="str">
        <f>TEXT(indian_retail_raw_1000[[#This Row],[Order_Date]],"MMM")</f>
        <v>Null</v>
      </c>
    </row>
    <row r="794" spans="1:19" x14ac:dyDescent="0.25">
      <c r="A794" t="s">
        <v>605</v>
      </c>
      <c r="B794" s="1">
        <v>45261</v>
      </c>
      <c r="C794" t="s">
        <v>156</v>
      </c>
      <c r="D794">
        <v>42</v>
      </c>
      <c r="E794" t="s">
        <v>23</v>
      </c>
      <c r="F794" t="s">
        <v>30</v>
      </c>
      <c r="G794" t="s">
        <v>218</v>
      </c>
      <c r="H794">
        <v>10</v>
      </c>
      <c r="I794">
        <v>2547</v>
      </c>
      <c r="J794">
        <v>5</v>
      </c>
      <c r="K794" t="s">
        <v>50</v>
      </c>
      <c r="L794" t="s">
        <v>20</v>
      </c>
      <c r="M7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4">
        <v>24196.5</v>
      </c>
      <c r="O794" t="s">
        <v>26</v>
      </c>
      <c r="P794" t="str">
        <f>_xlfn.IFS(LEFT(indian_retail_raw_1000[[#This Row],[x]],1)="W", "West",LEFT(indian_retail_raw_1000[[#This Row],[x]],1)= "E","East",LEFT(O794,1) = "S", "South",LEFT(O794,1) = "N", "North")</f>
        <v>West</v>
      </c>
      <c r="Q794" t="s">
        <v>30</v>
      </c>
      <c r="R794" t="s">
        <v>23</v>
      </c>
      <c r="S794" t="str">
        <f>TEXT(indian_retail_raw_1000[[#This Row],[Order_Date]],"MMM")</f>
        <v>Dec</v>
      </c>
    </row>
    <row r="795" spans="1:19" x14ac:dyDescent="0.25">
      <c r="A795" t="s">
        <v>688</v>
      </c>
      <c r="B795" s="1">
        <v>45191</v>
      </c>
      <c r="C795" t="s">
        <v>1336</v>
      </c>
      <c r="D795">
        <v>64</v>
      </c>
      <c r="E795" t="s">
        <v>16</v>
      </c>
      <c r="F795" t="s">
        <v>30</v>
      </c>
      <c r="G795" t="s">
        <v>235</v>
      </c>
      <c r="H795">
        <v>10</v>
      </c>
      <c r="I795">
        <v>2432</v>
      </c>
      <c r="J795">
        <v>0</v>
      </c>
      <c r="K795" t="s">
        <v>487</v>
      </c>
      <c r="L795" t="s">
        <v>20</v>
      </c>
      <c r="M7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5">
        <v>24320</v>
      </c>
      <c r="O795" t="s">
        <v>45</v>
      </c>
      <c r="P795" t="str">
        <f>_xlfn.IFS(LEFT(indian_retail_raw_1000[[#This Row],[x]],1)="W", "West",LEFT(indian_retail_raw_1000[[#This Row],[x]],1)= "E","East",LEFT(O795,1) = "S", "South",LEFT(O795,1) = "N", "North")</f>
        <v>East</v>
      </c>
      <c r="Q795" t="s">
        <v>30</v>
      </c>
      <c r="R795" t="s">
        <v>16</v>
      </c>
      <c r="S795" t="str">
        <f>TEXT(indian_retail_raw_1000[[#This Row],[Order_Date]],"MMM")</f>
        <v>Sep</v>
      </c>
    </row>
    <row r="796" spans="1:19" x14ac:dyDescent="0.25">
      <c r="A796" t="s">
        <v>688</v>
      </c>
      <c r="B796" s="1">
        <v>45191</v>
      </c>
      <c r="C796" t="s">
        <v>1336</v>
      </c>
      <c r="D796">
        <v>64</v>
      </c>
      <c r="E796" t="s">
        <v>16</v>
      </c>
      <c r="F796" t="s">
        <v>30</v>
      </c>
      <c r="G796" t="s">
        <v>235</v>
      </c>
      <c r="H796">
        <v>10</v>
      </c>
      <c r="I796">
        <v>2432</v>
      </c>
      <c r="J796">
        <v>0</v>
      </c>
      <c r="K796" t="s">
        <v>487</v>
      </c>
      <c r="L796" t="s">
        <v>20</v>
      </c>
      <c r="M7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6">
        <v>24320</v>
      </c>
      <c r="O796" t="s">
        <v>45</v>
      </c>
      <c r="P796" t="str">
        <f>_xlfn.IFS(LEFT(indian_retail_raw_1000[[#This Row],[x]],1)="W", "West",LEFT(indian_retail_raw_1000[[#This Row],[x]],1)= "E","East",LEFT(O796,1) = "S", "South",LEFT(O796,1) = "N", "North")</f>
        <v>East</v>
      </c>
      <c r="Q796" t="s">
        <v>30</v>
      </c>
      <c r="R796" t="s">
        <v>16</v>
      </c>
      <c r="S796" t="str">
        <f>TEXT(indian_retail_raw_1000[[#This Row],[Order_Date]],"MMM")</f>
        <v>Sep</v>
      </c>
    </row>
    <row r="797" spans="1:19" x14ac:dyDescent="0.25">
      <c r="A797" t="s">
        <v>1121</v>
      </c>
      <c r="B797" s="1">
        <v>45038</v>
      </c>
      <c r="C797" t="s">
        <v>152</v>
      </c>
      <c r="D797">
        <v>26</v>
      </c>
      <c r="E797" t="s">
        <v>73</v>
      </c>
      <c r="F797" t="s">
        <v>54</v>
      </c>
      <c r="G797" t="s">
        <v>282</v>
      </c>
      <c r="H797">
        <v>2</v>
      </c>
      <c r="I797">
        <v>14500</v>
      </c>
      <c r="J797">
        <v>15</v>
      </c>
      <c r="K797" t="s">
        <v>41</v>
      </c>
      <c r="L797" t="s">
        <v>51</v>
      </c>
      <c r="M7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97">
        <v>24650</v>
      </c>
      <c r="O797" t="s">
        <v>26</v>
      </c>
      <c r="P797" t="str">
        <f>_xlfn.IFS(LEFT(indian_retail_raw_1000[[#This Row],[x]],1)="W", "West",LEFT(indian_retail_raw_1000[[#This Row],[x]],1)= "E","East",LEFT(O797,1) = "S", "South",LEFT(O797,1) = "N", "North")</f>
        <v>West</v>
      </c>
      <c r="Q797" t="s">
        <v>54</v>
      </c>
      <c r="R797" t="s">
        <v>23</v>
      </c>
      <c r="S797" t="str">
        <f>TEXT(indian_retail_raw_1000[[#This Row],[Order_Date]],"MMM")</f>
        <v>Apr</v>
      </c>
    </row>
    <row r="798" spans="1:19" x14ac:dyDescent="0.25">
      <c r="A798" t="s">
        <v>1282</v>
      </c>
      <c r="B798" s="1">
        <v>45260</v>
      </c>
      <c r="C798" t="s">
        <v>79</v>
      </c>
      <c r="D798">
        <v>56</v>
      </c>
      <c r="E798" t="s">
        <v>29</v>
      </c>
      <c r="F798" t="s">
        <v>30</v>
      </c>
      <c r="G798" t="s">
        <v>67</v>
      </c>
      <c r="H798">
        <v>7</v>
      </c>
      <c r="I798">
        <v>3708</v>
      </c>
      <c r="J798">
        <v>5</v>
      </c>
      <c r="K798" t="s">
        <v>41</v>
      </c>
      <c r="L798" t="s">
        <v>20</v>
      </c>
      <c r="M7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8">
        <v>24658.2</v>
      </c>
      <c r="O798" t="s">
        <v>45</v>
      </c>
      <c r="P798" t="str">
        <f>_xlfn.IFS(LEFT(indian_retail_raw_1000[[#This Row],[x]],1)="W", "West",LEFT(indian_retail_raw_1000[[#This Row],[x]],1)= "E","East",LEFT(O798,1) = "S", "South",LEFT(O798,1) = "N", "North")</f>
        <v>East</v>
      </c>
      <c r="Q798" t="s">
        <v>30</v>
      </c>
      <c r="R798" t="s">
        <v>16</v>
      </c>
      <c r="S798" t="str">
        <f>TEXT(indian_retail_raw_1000[[#This Row],[Order_Date]],"MMM")</f>
        <v>Nov</v>
      </c>
    </row>
    <row r="799" spans="1:19" x14ac:dyDescent="0.25">
      <c r="A799" t="s">
        <v>1047</v>
      </c>
      <c r="B799" s="1">
        <v>45092</v>
      </c>
      <c r="C799" t="s">
        <v>1336</v>
      </c>
      <c r="D799">
        <v>45</v>
      </c>
      <c r="E799" t="s">
        <v>23</v>
      </c>
      <c r="F799" t="s">
        <v>30</v>
      </c>
      <c r="G799" t="s">
        <v>195</v>
      </c>
      <c r="H799">
        <v>6</v>
      </c>
      <c r="I799">
        <v>4336</v>
      </c>
      <c r="J799">
        <v>5</v>
      </c>
      <c r="K799" t="s">
        <v>50</v>
      </c>
      <c r="L799" t="s">
        <v>20</v>
      </c>
      <c r="M7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9">
        <v>24715.200000000001</v>
      </c>
      <c r="O799" t="s">
        <v>26</v>
      </c>
      <c r="P799" t="str">
        <f>_xlfn.IFS(LEFT(indian_retail_raw_1000[[#This Row],[x]],1)="W", "West",LEFT(indian_retail_raw_1000[[#This Row],[x]],1)= "E","East",LEFT(O799,1) = "S", "South",LEFT(O799,1) = "N", "North")</f>
        <v>West</v>
      </c>
      <c r="Q799" t="s">
        <v>30</v>
      </c>
      <c r="R799" t="s">
        <v>23</v>
      </c>
      <c r="S799" t="str">
        <f>TEXT(indian_retail_raw_1000[[#This Row],[Order_Date]],"MMM")</f>
        <v>Jun</v>
      </c>
    </row>
    <row r="800" spans="1:19" x14ac:dyDescent="0.25">
      <c r="A800" t="s">
        <v>955</v>
      </c>
      <c r="B800" s="1">
        <v>45280</v>
      </c>
      <c r="C800" t="s">
        <v>110</v>
      </c>
      <c r="D800">
        <v>34</v>
      </c>
      <c r="E800" t="s">
        <v>16</v>
      </c>
      <c r="F800" t="s">
        <v>30</v>
      </c>
      <c r="G800" t="s">
        <v>540</v>
      </c>
      <c r="H800">
        <v>7</v>
      </c>
      <c r="I800">
        <v>3537</v>
      </c>
      <c r="J800">
        <v>0</v>
      </c>
      <c r="K800" t="s">
        <v>41</v>
      </c>
      <c r="L800" t="s">
        <v>51</v>
      </c>
      <c r="M8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00">
        <v>24759</v>
      </c>
      <c r="O800" t="s">
        <v>38</v>
      </c>
      <c r="P800" t="str">
        <f>_xlfn.IFS(LEFT(indian_retail_raw_1000[[#This Row],[x]],1)="W", "West",LEFT(indian_retail_raw_1000[[#This Row],[x]],1)= "E","East",LEFT(O800,1) = "S", "South",LEFT(O800,1) = "N", "North")</f>
        <v>North</v>
      </c>
      <c r="Q800" t="s">
        <v>30</v>
      </c>
      <c r="R800" t="s">
        <v>16</v>
      </c>
      <c r="S800" t="str">
        <f>TEXT(indian_retail_raw_1000[[#This Row],[Order_Date]],"MMM")</f>
        <v>Dec</v>
      </c>
    </row>
    <row r="801" spans="1:19" x14ac:dyDescent="0.25">
      <c r="A801" t="s">
        <v>838</v>
      </c>
      <c r="B801" s="1">
        <v>44943</v>
      </c>
      <c r="C801" t="s">
        <v>243</v>
      </c>
      <c r="D801">
        <v>30</v>
      </c>
      <c r="E801" t="s">
        <v>23</v>
      </c>
      <c r="F801" t="s">
        <v>220</v>
      </c>
      <c r="G801" t="s">
        <v>195</v>
      </c>
      <c r="H801">
        <v>8</v>
      </c>
      <c r="I801">
        <v>3115</v>
      </c>
      <c r="J801">
        <v>0</v>
      </c>
      <c r="K801" t="s">
        <v>50</v>
      </c>
      <c r="L801" t="s">
        <v>20</v>
      </c>
      <c r="M8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1">
        <v>24920</v>
      </c>
      <c r="O801" t="s">
        <v>38</v>
      </c>
      <c r="P801" t="str">
        <f>_xlfn.IFS(LEFT(indian_retail_raw_1000[[#This Row],[x]],1)="W", "West",LEFT(indian_retail_raw_1000[[#This Row],[x]],1)= "E","East",LEFT(O801,1) = "S", "South",LEFT(O801,1) = "N", "North")</f>
        <v>North</v>
      </c>
      <c r="Q801" t="s">
        <v>30</v>
      </c>
      <c r="R801" t="s">
        <v>23</v>
      </c>
      <c r="S801" t="str">
        <f>TEXT(indian_retail_raw_1000[[#This Row],[Order_Date]],"MMM")</f>
        <v>Jan</v>
      </c>
    </row>
    <row r="802" spans="1:19" x14ac:dyDescent="0.25">
      <c r="A802" t="s">
        <v>1314</v>
      </c>
      <c r="B802" s="1">
        <v>45050</v>
      </c>
      <c r="C802" t="s">
        <v>1336</v>
      </c>
      <c r="D802">
        <v>48</v>
      </c>
      <c r="E802" t="s">
        <v>23</v>
      </c>
      <c r="F802" t="s">
        <v>54</v>
      </c>
      <c r="G802" t="s">
        <v>280</v>
      </c>
      <c r="H802">
        <v>1</v>
      </c>
      <c r="I802">
        <v>49900</v>
      </c>
      <c r="J802">
        <v>50</v>
      </c>
      <c r="K802" t="s">
        <v>19</v>
      </c>
      <c r="L802" t="s">
        <v>20</v>
      </c>
      <c r="M8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2">
        <v>24950</v>
      </c>
      <c r="O802" t="s">
        <v>38</v>
      </c>
      <c r="P802" t="str">
        <f>_xlfn.IFS(LEFT(indian_retail_raw_1000[[#This Row],[x]],1)="W", "West",LEFT(indian_retail_raw_1000[[#This Row],[x]],1)= "E","East",LEFT(O802,1) = "S", "South",LEFT(O802,1) = "N", "North")</f>
        <v>North</v>
      </c>
      <c r="Q802" t="s">
        <v>54</v>
      </c>
      <c r="R802" t="s">
        <v>23</v>
      </c>
      <c r="S802" t="str">
        <f>TEXT(indian_retail_raw_1000[[#This Row],[Order_Date]],"MMM")</f>
        <v>May</v>
      </c>
    </row>
    <row r="803" spans="1:19" x14ac:dyDescent="0.25">
      <c r="A803" t="s">
        <v>536</v>
      </c>
      <c r="B803" s="1">
        <v>45136</v>
      </c>
      <c r="C803" t="s">
        <v>358</v>
      </c>
      <c r="D803">
        <v>52</v>
      </c>
      <c r="E803" t="s">
        <v>23</v>
      </c>
      <c r="F803" t="s">
        <v>54</v>
      </c>
      <c r="G803" t="s">
        <v>180</v>
      </c>
      <c r="H803">
        <v>1</v>
      </c>
      <c r="I803">
        <v>25100</v>
      </c>
      <c r="J803">
        <v>0</v>
      </c>
      <c r="K803" t="s">
        <v>19</v>
      </c>
      <c r="L803" t="s">
        <v>20</v>
      </c>
      <c r="M8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3">
        <v>25100</v>
      </c>
      <c r="O803" t="s">
        <v>26</v>
      </c>
      <c r="P803" t="str">
        <f>_xlfn.IFS(LEFT(indian_retail_raw_1000[[#This Row],[x]],1)="W", "West",LEFT(indian_retail_raw_1000[[#This Row],[x]],1)= "E","East",LEFT(O803,1) = "S", "South",LEFT(O803,1) = "N", "North")</f>
        <v>West</v>
      </c>
      <c r="Q803" t="s">
        <v>54</v>
      </c>
      <c r="R803" t="s">
        <v>23</v>
      </c>
      <c r="S803" t="str">
        <f>TEXT(indian_retail_raw_1000[[#This Row],[Order_Date]],"MMM")</f>
        <v>Jul</v>
      </c>
    </row>
    <row r="804" spans="1:19" x14ac:dyDescent="0.25">
      <c r="A804" t="s">
        <v>193</v>
      </c>
      <c r="B804" s="1" t="s">
        <v>1336</v>
      </c>
      <c r="C804" t="s">
        <v>165</v>
      </c>
      <c r="D804">
        <v>56</v>
      </c>
      <c r="E804" t="s">
        <v>16</v>
      </c>
      <c r="F804" t="s">
        <v>30</v>
      </c>
      <c r="G804" t="s">
        <v>195</v>
      </c>
      <c r="H804">
        <v>9</v>
      </c>
      <c r="I804">
        <v>2789</v>
      </c>
      <c r="J804">
        <v>0</v>
      </c>
      <c r="K804" t="s">
        <v>19</v>
      </c>
      <c r="L804" t="s">
        <v>51</v>
      </c>
      <c r="M8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04">
        <v>25101</v>
      </c>
      <c r="O804" t="s">
        <v>26</v>
      </c>
      <c r="P804" t="str">
        <f>_xlfn.IFS(LEFT(indian_retail_raw_1000[[#This Row],[x]],1)="W", "West",LEFT(indian_retail_raw_1000[[#This Row],[x]],1)= "E","East",LEFT(O804,1) = "S", "South",LEFT(O804,1) = "N", "North")</f>
        <v>West</v>
      </c>
      <c r="Q804" t="s">
        <v>30</v>
      </c>
      <c r="R804" t="s">
        <v>16</v>
      </c>
      <c r="S804" t="str">
        <f>TEXT(indian_retail_raw_1000[[#This Row],[Order_Date]],"MMM")</f>
        <v>Null</v>
      </c>
    </row>
    <row r="805" spans="1:19" x14ac:dyDescent="0.25">
      <c r="A805" t="s">
        <v>1061</v>
      </c>
      <c r="B805" s="1" t="s">
        <v>1336</v>
      </c>
      <c r="C805" t="s">
        <v>217</v>
      </c>
      <c r="D805">
        <v>32</v>
      </c>
      <c r="E805" t="s">
        <v>23</v>
      </c>
      <c r="F805" t="s">
        <v>54</v>
      </c>
      <c r="G805" t="s">
        <v>282</v>
      </c>
      <c r="H805">
        <v>2</v>
      </c>
      <c r="I805">
        <v>14800</v>
      </c>
      <c r="J805">
        <v>15</v>
      </c>
      <c r="K805" t="s">
        <v>19</v>
      </c>
      <c r="L805" t="s">
        <v>51</v>
      </c>
      <c r="M8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05">
        <v>25160</v>
      </c>
      <c r="O805" t="s">
        <v>21</v>
      </c>
      <c r="P805" t="str">
        <f>_xlfn.IFS(LEFT(indian_retail_raw_1000[[#This Row],[x]],1)="W", "West",LEFT(indian_retail_raw_1000[[#This Row],[x]],1)= "E","East",LEFT(O805,1) = "S", "South",LEFT(O805,1) = "N", "North")</f>
        <v>South</v>
      </c>
      <c r="Q805" t="s">
        <v>54</v>
      </c>
      <c r="R805" t="s">
        <v>23</v>
      </c>
      <c r="S805" t="str">
        <f>TEXT(indian_retail_raw_1000[[#This Row],[Order_Date]],"MMM")</f>
        <v>Null</v>
      </c>
    </row>
    <row r="806" spans="1:19" x14ac:dyDescent="0.25">
      <c r="A806" t="s">
        <v>34</v>
      </c>
      <c r="B806" s="1">
        <v>45236</v>
      </c>
      <c r="C806" t="s">
        <v>1336</v>
      </c>
      <c r="D806">
        <v>47</v>
      </c>
      <c r="E806" t="s">
        <v>16</v>
      </c>
      <c r="F806" t="s">
        <v>35</v>
      </c>
      <c r="G806" t="s">
        <v>36</v>
      </c>
      <c r="H806">
        <v>6</v>
      </c>
      <c r="I806">
        <v>706198</v>
      </c>
      <c r="J806">
        <v>40</v>
      </c>
      <c r="K806" t="s">
        <v>25</v>
      </c>
      <c r="L806" t="s">
        <v>37</v>
      </c>
      <c r="M8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6">
        <v>25423.8</v>
      </c>
      <c r="O806" t="s">
        <v>38</v>
      </c>
      <c r="P806" t="str">
        <f>_xlfn.IFS(LEFT(indian_retail_raw_1000[[#This Row],[x]],1)="W", "West",LEFT(indian_retail_raw_1000[[#This Row],[x]],1)= "E","East",LEFT(O806,1) = "S", "South",LEFT(O806,1) = "N", "North")</f>
        <v>North</v>
      </c>
      <c r="Q806" t="s">
        <v>35</v>
      </c>
      <c r="R806" t="s">
        <v>16</v>
      </c>
      <c r="S806" t="str">
        <f>TEXT(indian_retail_raw_1000[[#This Row],[Order_Date]],"MMM")</f>
        <v>Nov</v>
      </c>
    </row>
    <row r="807" spans="1:19" x14ac:dyDescent="0.25">
      <c r="A807" t="s">
        <v>96</v>
      </c>
      <c r="B807" s="1">
        <v>45261</v>
      </c>
      <c r="C807" t="s">
        <v>1336</v>
      </c>
      <c r="E807" t="s">
        <v>16</v>
      </c>
      <c r="F807" t="s">
        <v>97</v>
      </c>
      <c r="G807" t="s">
        <v>67</v>
      </c>
      <c r="H807">
        <v>7</v>
      </c>
      <c r="I807">
        <v>3636</v>
      </c>
      <c r="J807">
        <v>0</v>
      </c>
      <c r="K807" t="s">
        <v>32</v>
      </c>
      <c r="L807" t="s">
        <v>20</v>
      </c>
      <c r="M8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7">
        <v>25452</v>
      </c>
      <c r="O807" t="s">
        <v>45</v>
      </c>
      <c r="P807" t="str">
        <f>_xlfn.IFS(LEFT(indian_retail_raw_1000[[#This Row],[x]],1)="W", "West",LEFT(indian_retail_raw_1000[[#This Row],[x]],1)= "E","East",LEFT(O807,1) = "S", "South",LEFT(O807,1) = "N", "North")</f>
        <v>East</v>
      </c>
      <c r="Q807" t="s">
        <v>30</v>
      </c>
      <c r="R807" t="s">
        <v>16</v>
      </c>
      <c r="S807" t="str">
        <f>TEXT(indian_retail_raw_1000[[#This Row],[Order_Date]],"MMM")</f>
        <v>Dec</v>
      </c>
    </row>
    <row r="808" spans="1:19" x14ac:dyDescent="0.25">
      <c r="A808" t="s">
        <v>813</v>
      </c>
      <c r="B808" s="1">
        <v>45240</v>
      </c>
      <c r="C808" t="s">
        <v>757</v>
      </c>
      <c r="D808">
        <v>150</v>
      </c>
      <c r="E808" t="s">
        <v>138</v>
      </c>
      <c r="F808" t="s">
        <v>54</v>
      </c>
      <c r="G808" t="s">
        <v>237</v>
      </c>
      <c r="H808">
        <v>1</v>
      </c>
      <c r="I808">
        <v>42500</v>
      </c>
      <c r="J808">
        <v>40</v>
      </c>
      <c r="K808" t="s">
        <v>41</v>
      </c>
      <c r="L808" t="s">
        <v>56</v>
      </c>
      <c r="M8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08">
        <v>25500</v>
      </c>
      <c r="O808" t="s">
        <v>26</v>
      </c>
      <c r="P808" t="str">
        <f>_xlfn.IFS(LEFT(indian_retail_raw_1000[[#This Row],[x]],1)="W", "West",LEFT(indian_retail_raw_1000[[#This Row],[x]],1)= "E","East",LEFT(O808,1) = "S", "South",LEFT(O808,1) = "N", "North")</f>
        <v>West</v>
      </c>
      <c r="Q808" t="s">
        <v>54</v>
      </c>
      <c r="R808" t="s">
        <v>138</v>
      </c>
      <c r="S808" t="str">
        <f>TEXT(indian_retail_raw_1000[[#This Row],[Order_Date]],"MMM")</f>
        <v>Nov</v>
      </c>
    </row>
    <row r="809" spans="1:19" x14ac:dyDescent="0.25">
      <c r="A809" t="s">
        <v>412</v>
      </c>
      <c r="B809" s="1">
        <v>45211</v>
      </c>
      <c r="C809" t="s">
        <v>102</v>
      </c>
      <c r="D809">
        <v>57</v>
      </c>
      <c r="E809" t="s">
        <v>23</v>
      </c>
      <c r="F809" t="s">
        <v>35</v>
      </c>
      <c r="G809" t="s">
        <v>63</v>
      </c>
      <c r="H809">
        <v>99</v>
      </c>
      <c r="I809">
        <v>4294</v>
      </c>
      <c r="J809">
        <v>40</v>
      </c>
      <c r="K809" t="s">
        <v>41</v>
      </c>
      <c r="L809" t="s">
        <v>20</v>
      </c>
      <c r="M8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9">
        <v>25506.6</v>
      </c>
      <c r="O809" t="s">
        <v>21</v>
      </c>
      <c r="P809" t="str">
        <f>_xlfn.IFS(LEFT(indian_retail_raw_1000[[#This Row],[x]],1)="W", "West",LEFT(indian_retail_raw_1000[[#This Row],[x]],1)= "E","East",LEFT(O809,1) = "S", "South",LEFT(O809,1) = "N", "North")</f>
        <v>South</v>
      </c>
      <c r="Q809" t="s">
        <v>35</v>
      </c>
      <c r="R809" t="s">
        <v>23</v>
      </c>
      <c r="S809" t="str">
        <f>TEXT(indian_retail_raw_1000[[#This Row],[Order_Date]],"MMM")</f>
        <v>Oct</v>
      </c>
    </row>
    <row r="810" spans="1:19" x14ac:dyDescent="0.25">
      <c r="A810" t="s">
        <v>552</v>
      </c>
      <c r="B810" s="1">
        <v>45232</v>
      </c>
      <c r="C810" t="s">
        <v>128</v>
      </c>
      <c r="D810">
        <v>53</v>
      </c>
      <c r="E810" t="s">
        <v>23</v>
      </c>
      <c r="F810" t="s">
        <v>30</v>
      </c>
      <c r="G810" t="s">
        <v>540</v>
      </c>
      <c r="H810">
        <v>10</v>
      </c>
      <c r="I810">
        <v>3645</v>
      </c>
      <c r="J810">
        <v>30</v>
      </c>
      <c r="K810" t="s">
        <v>487</v>
      </c>
      <c r="L810" t="s">
        <v>51</v>
      </c>
      <c r="M8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10">
        <v>25515</v>
      </c>
      <c r="O810" t="s">
        <v>21</v>
      </c>
      <c r="P810" t="str">
        <f>_xlfn.IFS(LEFT(indian_retail_raw_1000[[#This Row],[x]],1)="W", "West",LEFT(indian_retail_raw_1000[[#This Row],[x]],1)= "E","East",LEFT(O810,1) = "S", "South",LEFT(O810,1) = "N", "North")</f>
        <v>South</v>
      </c>
      <c r="Q810" t="s">
        <v>30</v>
      </c>
      <c r="R810" t="s">
        <v>23</v>
      </c>
      <c r="S810" t="str">
        <f>TEXT(indian_retail_raw_1000[[#This Row],[Order_Date]],"MMM")</f>
        <v>Nov</v>
      </c>
    </row>
    <row r="811" spans="1:19" x14ac:dyDescent="0.25">
      <c r="A811" t="s">
        <v>1194</v>
      </c>
      <c r="B811" s="1">
        <v>45064</v>
      </c>
      <c r="C811" t="s">
        <v>198</v>
      </c>
      <c r="D811">
        <v>25</v>
      </c>
      <c r="E811" t="s">
        <v>16</v>
      </c>
      <c r="F811" t="s">
        <v>30</v>
      </c>
      <c r="G811" t="s">
        <v>195</v>
      </c>
      <c r="H811">
        <v>10</v>
      </c>
      <c r="I811">
        <v>2695</v>
      </c>
      <c r="J811">
        <v>5</v>
      </c>
      <c r="K811" t="s">
        <v>25</v>
      </c>
      <c r="L811" t="s">
        <v>100</v>
      </c>
      <c r="M8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11">
        <v>25602.5</v>
      </c>
      <c r="O811" t="s">
        <v>45</v>
      </c>
      <c r="P811" t="str">
        <f>_xlfn.IFS(LEFT(indian_retail_raw_1000[[#This Row],[x]],1)="W", "West",LEFT(indian_retail_raw_1000[[#This Row],[x]],1)= "E","East",LEFT(O811,1) = "S", "South",LEFT(O811,1) = "N", "North")</f>
        <v>East</v>
      </c>
      <c r="Q811" t="s">
        <v>30</v>
      </c>
      <c r="R811" t="s">
        <v>16</v>
      </c>
      <c r="S811" t="str">
        <f>TEXT(indian_retail_raw_1000[[#This Row],[Order_Date]],"MMM")</f>
        <v>May</v>
      </c>
    </row>
    <row r="812" spans="1:19" x14ac:dyDescent="0.25">
      <c r="A812" t="s">
        <v>1190</v>
      </c>
      <c r="B812" s="1">
        <v>45028</v>
      </c>
      <c r="C812" t="s">
        <v>1336</v>
      </c>
      <c r="D812">
        <v>20</v>
      </c>
      <c r="E812" t="s">
        <v>16</v>
      </c>
      <c r="F812" t="s">
        <v>54</v>
      </c>
      <c r="G812" t="s">
        <v>282</v>
      </c>
      <c r="H812">
        <v>2</v>
      </c>
      <c r="I812">
        <v>13100</v>
      </c>
      <c r="J812">
        <v>0</v>
      </c>
      <c r="K812" t="s">
        <v>19</v>
      </c>
      <c r="L812" t="s">
        <v>56</v>
      </c>
      <c r="M8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12">
        <v>26200</v>
      </c>
      <c r="O812" t="s">
        <v>21</v>
      </c>
      <c r="P812" t="str">
        <f>_xlfn.IFS(LEFT(indian_retail_raw_1000[[#This Row],[x]],1)="W", "West",LEFT(indian_retail_raw_1000[[#This Row],[x]],1)= "E","East",LEFT(O812,1) = "S", "South",LEFT(O812,1) = "N", "North")</f>
        <v>South</v>
      </c>
      <c r="Q812" t="s">
        <v>54</v>
      </c>
      <c r="R812" t="s">
        <v>16</v>
      </c>
      <c r="S812" t="str">
        <f>TEXT(indian_retail_raw_1000[[#This Row],[Order_Date]],"MMM")</f>
        <v>Apr</v>
      </c>
    </row>
    <row r="813" spans="1:19" x14ac:dyDescent="0.25">
      <c r="A813" t="s">
        <v>1005</v>
      </c>
      <c r="B813" s="1" t="s">
        <v>1336</v>
      </c>
      <c r="C813" t="s">
        <v>1336</v>
      </c>
      <c r="D813">
        <v>64</v>
      </c>
      <c r="E813" t="s">
        <v>16</v>
      </c>
      <c r="F813" t="s">
        <v>30</v>
      </c>
      <c r="G813" t="s">
        <v>135</v>
      </c>
      <c r="H813">
        <v>3</v>
      </c>
      <c r="I813">
        <v>8765</v>
      </c>
      <c r="J813">
        <v>0</v>
      </c>
      <c r="K813" t="s">
        <v>41</v>
      </c>
      <c r="L813" t="s">
        <v>20</v>
      </c>
      <c r="M8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3">
        <v>26295</v>
      </c>
      <c r="O813" t="s">
        <v>276</v>
      </c>
      <c r="P813" t="str">
        <f>_xlfn.IFS(LEFT(indian_retail_raw_1000[[#This Row],[x]],1)="W", "West",LEFT(indian_retail_raw_1000[[#This Row],[x]],1)= "E","East",LEFT(O813,1) = "S", "South",LEFT(O813,1) = "N", "North")</f>
        <v>North</v>
      </c>
      <c r="Q813" t="s">
        <v>30</v>
      </c>
      <c r="R813" t="s">
        <v>16</v>
      </c>
      <c r="S813" t="str">
        <f>TEXT(indian_retail_raw_1000[[#This Row],[Order_Date]],"MMM")</f>
        <v>Null</v>
      </c>
    </row>
    <row r="814" spans="1:19" x14ac:dyDescent="0.25">
      <c r="A814" t="s">
        <v>1001</v>
      </c>
      <c r="B814" s="1">
        <v>45284</v>
      </c>
      <c r="C814" t="s">
        <v>102</v>
      </c>
      <c r="D814">
        <v>65</v>
      </c>
      <c r="E814" t="s">
        <v>23</v>
      </c>
      <c r="F814" t="s">
        <v>54</v>
      </c>
      <c r="G814" t="s">
        <v>55</v>
      </c>
      <c r="H814">
        <v>1</v>
      </c>
      <c r="I814">
        <v>31200</v>
      </c>
      <c r="J814">
        <v>15</v>
      </c>
      <c r="K814" t="s">
        <v>369</v>
      </c>
      <c r="L814" t="s">
        <v>20</v>
      </c>
      <c r="M8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4">
        <v>26520</v>
      </c>
      <c r="O814" t="s">
        <v>38</v>
      </c>
      <c r="P814" t="str">
        <f>_xlfn.IFS(LEFT(indian_retail_raw_1000[[#This Row],[x]],1)="W", "West",LEFT(indian_retail_raw_1000[[#This Row],[x]],1)= "E","East",LEFT(O814,1) = "S", "South",LEFT(O814,1) = "N", "North")</f>
        <v>North</v>
      </c>
      <c r="Q814" t="s">
        <v>54</v>
      </c>
      <c r="R814" t="s">
        <v>23</v>
      </c>
      <c r="S814" t="str">
        <f>TEXT(indian_retail_raw_1000[[#This Row],[Order_Date]],"MMM")</f>
        <v>Dec</v>
      </c>
    </row>
    <row r="815" spans="1:19" x14ac:dyDescent="0.25">
      <c r="A815" t="s">
        <v>1299</v>
      </c>
      <c r="B815" s="1">
        <v>45167</v>
      </c>
      <c r="C815" t="s">
        <v>102</v>
      </c>
      <c r="D815">
        <v>51</v>
      </c>
      <c r="E815" t="s">
        <v>143</v>
      </c>
      <c r="F815" t="s">
        <v>54</v>
      </c>
      <c r="G815" t="s">
        <v>77</v>
      </c>
      <c r="H815">
        <v>2</v>
      </c>
      <c r="I815">
        <v>15600</v>
      </c>
      <c r="J815">
        <v>15</v>
      </c>
      <c r="K815" t="s">
        <v>50</v>
      </c>
      <c r="L815" t="s">
        <v>20</v>
      </c>
      <c r="M8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5">
        <v>26520</v>
      </c>
      <c r="O815" t="s">
        <v>21</v>
      </c>
      <c r="P815" t="str">
        <f>_xlfn.IFS(LEFT(indian_retail_raw_1000[[#This Row],[x]],1)="W", "West",LEFT(indian_retail_raw_1000[[#This Row],[x]],1)= "E","East",LEFT(O815,1) = "S", "South",LEFT(O815,1) = "N", "North")</f>
        <v>South</v>
      </c>
      <c r="Q815" t="s">
        <v>54</v>
      </c>
      <c r="R815" t="s">
        <v>138</v>
      </c>
      <c r="S815" t="str">
        <f>TEXT(indian_retail_raw_1000[[#This Row],[Order_Date]],"MMM")</f>
        <v>Aug</v>
      </c>
    </row>
    <row r="816" spans="1:19" x14ac:dyDescent="0.25">
      <c r="A816" t="s">
        <v>1075</v>
      </c>
      <c r="B816" s="1" t="s">
        <v>1336</v>
      </c>
      <c r="C816" t="s">
        <v>66</v>
      </c>
      <c r="D816">
        <v>41</v>
      </c>
      <c r="E816" t="s">
        <v>138</v>
      </c>
      <c r="F816" t="s">
        <v>30</v>
      </c>
      <c r="G816" t="s">
        <v>195</v>
      </c>
      <c r="H816">
        <v>9</v>
      </c>
      <c r="I816">
        <v>3936</v>
      </c>
      <c r="J816">
        <v>25</v>
      </c>
      <c r="K816" t="s">
        <v>19</v>
      </c>
      <c r="L816" t="s">
        <v>20</v>
      </c>
      <c r="M8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6">
        <v>26568</v>
      </c>
      <c r="O816" t="s">
        <v>26</v>
      </c>
      <c r="P816" t="str">
        <f>_xlfn.IFS(LEFT(indian_retail_raw_1000[[#This Row],[x]],1)="W", "West",LEFT(indian_retail_raw_1000[[#This Row],[x]],1)= "E","East",LEFT(O816,1) = "S", "South",LEFT(O816,1) = "N", "North")</f>
        <v>West</v>
      </c>
      <c r="Q816" t="s">
        <v>30</v>
      </c>
      <c r="R816" t="s">
        <v>138</v>
      </c>
      <c r="S816" t="str">
        <f>TEXT(indian_retail_raw_1000[[#This Row],[Order_Date]],"MMM")</f>
        <v>Null</v>
      </c>
    </row>
    <row r="817" spans="1:19" x14ac:dyDescent="0.25">
      <c r="A817" t="s">
        <v>794</v>
      </c>
      <c r="B817" s="1">
        <v>45231</v>
      </c>
      <c r="C817" t="s">
        <v>1336</v>
      </c>
      <c r="D817">
        <v>26</v>
      </c>
      <c r="E817" t="s">
        <v>16</v>
      </c>
      <c r="F817" t="s">
        <v>30</v>
      </c>
      <c r="G817" t="s">
        <v>121</v>
      </c>
      <c r="H817">
        <v>6</v>
      </c>
      <c r="I817">
        <v>4685</v>
      </c>
      <c r="J817">
        <v>5</v>
      </c>
      <c r="K817" t="s">
        <v>19</v>
      </c>
      <c r="L817" t="s">
        <v>20</v>
      </c>
      <c r="M8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7">
        <v>26704.5</v>
      </c>
      <c r="O817" t="s">
        <v>38</v>
      </c>
      <c r="P817" t="str">
        <f>_xlfn.IFS(LEFT(indian_retail_raw_1000[[#This Row],[x]],1)="W", "West",LEFT(indian_retail_raw_1000[[#This Row],[x]],1)= "E","East",LEFT(O817,1) = "S", "South",LEFT(O817,1) = "N", "North")</f>
        <v>North</v>
      </c>
      <c r="Q817" t="s">
        <v>30</v>
      </c>
      <c r="R817" t="s">
        <v>16</v>
      </c>
      <c r="S817" t="str">
        <f>TEXT(indian_retail_raw_1000[[#This Row],[Order_Date]],"MMM")</f>
        <v>Nov</v>
      </c>
    </row>
    <row r="818" spans="1:19" x14ac:dyDescent="0.25">
      <c r="A818" t="s">
        <v>1018</v>
      </c>
      <c r="B818" s="1">
        <v>45025</v>
      </c>
      <c r="C818" t="s">
        <v>152</v>
      </c>
      <c r="D818">
        <v>23</v>
      </c>
      <c r="E818" t="s">
        <v>23</v>
      </c>
      <c r="F818" t="s">
        <v>30</v>
      </c>
      <c r="G818" t="s">
        <v>67</v>
      </c>
      <c r="H818">
        <v>6</v>
      </c>
      <c r="I818">
        <v>4694</v>
      </c>
      <c r="J818">
        <v>5</v>
      </c>
      <c r="K818" t="s">
        <v>41</v>
      </c>
      <c r="L818" t="s">
        <v>51</v>
      </c>
      <c r="M8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18">
        <v>26755.8</v>
      </c>
      <c r="O818" t="s">
        <v>21</v>
      </c>
      <c r="P818" t="str">
        <f>_xlfn.IFS(LEFT(indian_retail_raw_1000[[#This Row],[x]],1)="W", "West",LEFT(indian_retail_raw_1000[[#This Row],[x]],1)= "E","East",LEFT(O818,1) = "S", "South",LEFT(O818,1) = "N", "North")</f>
        <v>South</v>
      </c>
      <c r="Q818" t="s">
        <v>30</v>
      </c>
      <c r="R818" t="s">
        <v>23</v>
      </c>
      <c r="S818" t="str">
        <f>TEXT(indian_retail_raw_1000[[#This Row],[Order_Date]],"MMM")</f>
        <v>Apr</v>
      </c>
    </row>
    <row r="819" spans="1:19" x14ac:dyDescent="0.25">
      <c r="A819" t="s">
        <v>1156</v>
      </c>
      <c r="B819" s="1">
        <v>45268</v>
      </c>
      <c r="C819" t="s">
        <v>1336</v>
      </c>
      <c r="D819">
        <v>44</v>
      </c>
      <c r="E819" t="s">
        <v>23</v>
      </c>
      <c r="F819" t="s">
        <v>54</v>
      </c>
      <c r="G819" t="s">
        <v>55</v>
      </c>
      <c r="H819">
        <v>1</v>
      </c>
      <c r="I819">
        <v>44900</v>
      </c>
      <c r="J819">
        <v>40</v>
      </c>
      <c r="K819" t="s">
        <v>50</v>
      </c>
      <c r="L819" t="s">
        <v>56</v>
      </c>
      <c r="M8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19">
        <v>26940</v>
      </c>
      <c r="O819" t="s">
        <v>45</v>
      </c>
      <c r="P819" t="str">
        <f>_xlfn.IFS(LEFT(indian_retail_raw_1000[[#This Row],[x]],1)="W", "West",LEFT(indian_retail_raw_1000[[#This Row],[x]],1)= "E","East",LEFT(O819,1) = "S", "South",LEFT(O819,1) = "N", "North")</f>
        <v>East</v>
      </c>
      <c r="Q819" t="s">
        <v>54</v>
      </c>
      <c r="R819" t="s">
        <v>23</v>
      </c>
      <c r="S819" t="str">
        <f>TEXT(indian_retail_raw_1000[[#This Row],[Order_Date]],"MMM")</f>
        <v>Dec</v>
      </c>
    </row>
    <row r="820" spans="1:19" x14ac:dyDescent="0.25">
      <c r="A820" t="s">
        <v>1144</v>
      </c>
      <c r="B820" s="1" t="s">
        <v>1336</v>
      </c>
      <c r="C820" t="s">
        <v>1336</v>
      </c>
      <c r="D820">
        <v>26</v>
      </c>
      <c r="E820" t="s">
        <v>23</v>
      </c>
      <c r="F820" t="s">
        <v>54</v>
      </c>
      <c r="G820" t="s">
        <v>88</v>
      </c>
      <c r="H820">
        <v>1</v>
      </c>
      <c r="I820">
        <v>38700</v>
      </c>
      <c r="J820">
        <v>30</v>
      </c>
      <c r="K820" t="s">
        <v>25</v>
      </c>
      <c r="L820" t="s">
        <v>20</v>
      </c>
      <c r="M8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0">
        <v>27090</v>
      </c>
      <c r="O820" t="s">
        <v>21</v>
      </c>
      <c r="P820" t="str">
        <f>_xlfn.IFS(LEFT(indian_retail_raw_1000[[#This Row],[x]],1)="W", "West",LEFT(indian_retail_raw_1000[[#This Row],[x]],1)= "E","East",LEFT(O820,1) = "S", "South",LEFT(O820,1) = "N", "North")</f>
        <v>South</v>
      </c>
      <c r="Q820" t="s">
        <v>54</v>
      </c>
      <c r="R820" t="s">
        <v>23</v>
      </c>
      <c r="S820" t="str">
        <f>TEXT(indian_retail_raw_1000[[#This Row],[Order_Date]],"MMM")</f>
        <v>Null</v>
      </c>
    </row>
    <row r="821" spans="1:19" x14ac:dyDescent="0.25">
      <c r="A821" t="s">
        <v>639</v>
      </c>
      <c r="B821" s="1">
        <v>45201</v>
      </c>
      <c r="C821" t="s">
        <v>152</v>
      </c>
      <c r="D821">
        <v>48</v>
      </c>
      <c r="E821" t="s">
        <v>16</v>
      </c>
      <c r="F821" t="s">
        <v>54</v>
      </c>
      <c r="G821" t="s">
        <v>180</v>
      </c>
      <c r="H821">
        <v>1</v>
      </c>
      <c r="I821">
        <v>27100</v>
      </c>
      <c r="J821">
        <v>0</v>
      </c>
      <c r="K821" t="s">
        <v>41</v>
      </c>
      <c r="L821" t="s">
        <v>20</v>
      </c>
      <c r="M8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1">
        <v>27100</v>
      </c>
      <c r="O821" t="s">
        <v>21</v>
      </c>
      <c r="P821" t="str">
        <f>_xlfn.IFS(LEFT(indian_retail_raw_1000[[#This Row],[x]],1)="W", "West",LEFT(indian_retail_raw_1000[[#This Row],[x]],1)= "E","East",LEFT(O821,1) = "S", "South",LEFT(O821,1) = "N", "North")</f>
        <v>South</v>
      </c>
      <c r="Q821" t="s">
        <v>54</v>
      </c>
      <c r="R821" t="s">
        <v>16</v>
      </c>
      <c r="S821" t="str">
        <f>TEXT(indian_retail_raw_1000[[#This Row],[Order_Date]],"MMM")</f>
        <v>Oct</v>
      </c>
    </row>
    <row r="822" spans="1:19" x14ac:dyDescent="0.25">
      <c r="A822" t="s">
        <v>1287</v>
      </c>
      <c r="B822" s="1" t="s">
        <v>1336</v>
      </c>
      <c r="C822" t="s">
        <v>1336</v>
      </c>
      <c r="D822">
        <v>39</v>
      </c>
      <c r="E822" t="s">
        <v>23</v>
      </c>
      <c r="F822" t="s">
        <v>54</v>
      </c>
      <c r="G822" t="s">
        <v>237</v>
      </c>
      <c r="H822">
        <v>1</v>
      </c>
      <c r="I822">
        <v>55000</v>
      </c>
      <c r="J822">
        <v>50</v>
      </c>
      <c r="K822" t="s">
        <v>64</v>
      </c>
      <c r="L822" t="s">
        <v>20</v>
      </c>
      <c r="M8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2">
        <v>27500</v>
      </c>
      <c r="O822" t="s">
        <v>45</v>
      </c>
      <c r="P822" t="str">
        <f>_xlfn.IFS(LEFT(indian_retail_raw_1000[[#This Row],[x]],1)="W", "West",LEFT(indian_retail_raw_1000[[#This Row],[x]],1)= "E","East",LEFT(O822,1) = "S", "South",LEFT(O822,1) = "N", "North")</f>
        <v>East</v>
      </c>
      <c r="Q822" t="s">
        <v>54</v>
      </c>
      <c r="R822" t="s">
        <v>23</v>
      </c>
      <c r="S822" t="str">
        <f>TEXT(indian_retail_raw_1000[[#This Row],[Order_Date]],"MMM")</f>
        <v>Null</v>
      </c>
    </row>
    <row r="823" spans="1:19" x14ac:dyDescent="0.25">
      <c r="A823" t="s">
        <v>971</v>
      </c>
      <c r="B823" s="1">
        <v>44999</v>
      </c>
      <c r="C823" t="s">
        <v>48</v>
      </c>
      <c r="D823">
        <v>43</v>
      </c>
      <c r="E823" t="s">
        <v>16</v>
      </c>
      <c r="F823" t="s">
        <v>54</v>
      </c>
      <c r="G823" t="s">
        <v>282</v>
      </c>
      <c r="H823">
        <v>2</v>
      </c>
      <c r="I823">
        <v>13800</v>
      </c>
      <c r="J823">
        <v>0</v>
      </c>
      <c r="K823" t="s">
        <v>19</v>
      </c>
      <c r="L823" t="s">
        <v>56</v>
      </c>
      <c r="M8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23">
        <v>27600</v>
      </c>
      <c r="O823" t="s">
        <v>38</v>
      </c>
      <c r="P823" t="str">
        <f>_xlfn.IFS(LEFT(indian_retail_raw_1000[[#This Row],[x]],1)="W", "West",LEFT(indian_retail_raw_1000[[#This Row],[x]],1)= "E","East",LEFT(O823,1) = "S", "South",LEFT(O823,1) = "N", "North")</f>
        <v>North</v>
      </c>
      <c r="Q823" t="s">
        <v>54</v>
      </c>
      <c r="R823" t="s">
        <v>16</v>
      </c>
      <c r="S823" t="str">
        <f>TEXT(indian_retail_raw_1000[[#This Row],[Order_Date]],"MMM")</f>
        <v>Mar</v>
      </c>
    </row>
    <row r="824" spans="1:19" x14ac:dyDescent="0.25">
      <c r="A824" t="s">
        <v>539</v>
      </c>
      <c r="B824" s="1">
        <v>45107</v>
      </c>
      <c r="C824" t="s">
        <v>76</v>
      </c>
      <c r="D824">
        <v>60</v>
      </c>
      <c r="E824" t="s">
        <v>16</v>
      </c>
      <c r="F824" t="s">
        <v>30</v>
      </c>
      <c r="G824" t="s">
        <v>540</v>
      </c>
      <c r="H824">
        <v>6</v>
      </c>
      <c r="I824">
        <v>4901</v>
      </c>
      <c r="J824">
        <v>5</v>
      </c>
      <c r="K824" t="s">
        <v>25</v>
      </c>
      <c r="L824" t="s">
        <v>20</v>
      </c>
      <c r="M8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4">
        <v>27935.7</v>
      </c>
      <c r="O824" t="s">
        <v>21</v>
      </c>
      <c r="P824" t="str">
        <f>_xlfn.IFS(LEFT(indian_retail_raw_1000[[#This Row],[x]],1)="W", "West",LEFT(indian_retail_raw_1000[[#This Row],[x]],1)= "E","East",LEFT(O824,1) = "S", "South",LEFT(O824,1) = "N", "North")</f>
        <v>South</v>
      </c>
      <c r="Q824" t="s">
        <v>30</v>
      </c>
      <c r="R824" t="s">
        <v>16</v>
      </c>
      <c r="S824" t="str">
        <f>TEXT(indian_retail_raw_1000[[#This Row],[Order_Date]],"MMM")</f>
        <v>Jun</v>
      </c>
    </row>
    <row r="825" spans="1:19" x14ac:dyDescent="0.25">
      <c r="A825" t="s">
        <v>367</v>
      </c>
      <c r="B825" s="1">
        <v>45210</v>
      </c>
      <c r="C825" t="s">
        <v>368</v>
      </c>
      <c r="D825">
        <v>51</v>
      </c>
      <c r="E825" t="s">
        <v>138</v>
      </c>
      <c r="F825" t="s">
        <v>54</v>
      </c>
      <c r="G825" t="s">
        <v>55</v>
      </c>
      <c r="H825">
        <v>1</v>
      </c>
      <c r="I825">
        <v>29600</v>
      </c>
      <c r="J825">
        <v>5</v>
      </c>
      <c r="K825" t="s">
        <v>369</v>
      </c>
      <c r="L825" t="s">
        <v>20</v>
      </c>
      <c r="M8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5">
        <v>28120</v>
      </c>
      <c r="O825" t="s">
        <v>26</v>
      </c>
      <c r="P825" t="str">
        <f>_xlfn.IFS(LEFT(indian_retail_raw_1000[[#This Row],[x]],1)="W", "West",LEFT(indian_retail_raw_1000[[#This Row],[x]],1)= "E","East",LEFT(O825,1) = "S", "South",LEFT(O825,1) = "N", "North")</f>
        <v>West</v>
      </c>
      <c r="Q825" t="s">
        <v>54</v>
      </c>
      <c r="R825" t="s">
        <v>138</v>
      </c>
      <c r="S825" t="str">
        <f>TEXT(indian_retail_raw_1000[[#This Row],[Order_Date]],"MMM")</f>
        <v>Oct</v>
      </c>
    </row>
    <row r="826" spans="1:19" x14ac:dyDescent="0.25">
      <c r="A826" t="s">
        <v>353</v>
      </c>
      <c r="B826" s="1">
        <v>45161</v>
      </c>
      <c r="C826" t="s">
        <v>192</v>
      </c>
      <c r="D826">
        <v>33</v>
      </c>
      <c r="E826" t="s">
        <v>16</v>
      </c>
      <c r="F826" t="s">
        <v>54</v>
      </c>
      <c r="G826" t="s">
        <v>55</v>
      </c>
      <c r="H826">
        <v>1</v>
      </c>
      <c r="I826">
        <v>28200</v>
      </c>
      <c r="J826">
        <v>10</v>
      </c>
      <c r="K826" t="s">
        <v>41</v>
      </c>
      <c r="L826" t="s">
        <v>20</v>
      </c>
      <c r="M8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6">
        <v>28200</v>
      </c>
      <c r="O826" t="s">
        <v>26</v>
      </c>
      <c r="P826" t="str">
        <f>_xlfn.IFS(LEFT(indian_retail_raw_1000[[#This Row],[x]],1)="W", "West",LEFT(indian_retail_raw_1000[[#This Row],[x]],1)= "E","East",LEFT(O826,1) = "S", "South",LEFT(O826,1) = "N", "North")</f>
        <v>West</v>
      </c>
      <c r="Q826" t="s">
        <v>54</v>
      </c>
      <c r="R826" t="s">
        <v>16</v>
      </c>
      <c r="S826" t="str">
        <f>TEXT(indian_retail_raw_1000[[#This Row],[Order_Date]],"MMM")</f>
        <v>Aug</v>
      </c>
    </row>
    <row r="827" spans="1:19" x14ac:dyDescent="0.25">
      <c r="A827" t="s">
        <v>722</v>
      </c>
      <c r="B827" s="1">
        <v>45039</v>
      </c>
      <c r="C827" t="s">
        <v>160</v>
      </c>
      <c r="D827">
        <v>26</v>
      </c>
      <c r="E827" t="s">
        <v>16</v>
      </c>
      <c r="F827" t="s">
        <v>54</v>
      </c>
      <c r="G827" t="s">
        <v>55</v>
      </c>
      <c r="H827">
        <v>1</v>
      </c>
      <c r="I827">
        <v>29900</v>
      </c>
      <c r="J827">
        <v>5</v>
      </c>
      <c r="K827" t="s">
        <v>50</v>
      </c>
      <c r="L827" t="s">
        <v>20</v>
      </c>
      <c r="M8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7">
        <v>28405</v>
      </c>
      <c r="O827" t="s">
        <v>621</v>
      </c>
      <c r="P827" t="str">
        <f>_xlfn.IFS(LEFT(indian_retail_raw_1000[[#This Row],[x]],1)="W", "West",LEFT(indian_retail_raw_1000[[#This Row],[x]],1)= "E","East",LEFT(O827,1) = "S", "South",LEFT(O827,1) = "N", "North")</f>
        <v>West</v>
      </c>
      <c r="Q827" t="s">
        <v>54</v>
      </c>
      <c r="R827" t="s">
        <v>16</v>
      </c>
      <c r="S827" t="str">
        <f>TEXT(indian_retail_raw_1000[[#This Row],[Order_Date]],"MMM")</f>
        <v>Apr</v>
      </c>
    </row>
    <row r="828" spans="1:19" x14ac:dyDescent="0.25">
      <c r="A828" t="s">
        <v>27</v>
      </c>
      <c r="B828" s="1">
        <v>45170</v>
      </c>
      <c r="C828" t="s">
        <v>28</v>
      </c>
      <c r="D828">
        <v>64</v>
      </c>
      <c r="E828" t="s">
        <v>29</v>
      </c>
      <c r="F828" t="s">
        <v>30</v>
      </c>
      <c r="G828" t="s">
        <v>31</v>
      </c>
      <c r="H828">
        <v>10</v>
      </c>
      <c r="I828">
        <v>2911</v>
      </c>
      <c r="J828">
        <v>25</v>
      </c>
      <c r="K828" t="s">
        <v>32</v>
      </c>
      <c r="L828" t="s">
        <v>20</v>
      </c>
      <c r="M8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8">
        <v>29110</v>
      </c>
      <c r="O828" t="s">
        <v>33</v>
      </c>
      <c r="P828" t="str">
        <f>_xlfn.IFS(LEFT(indian_retail_raw_1000[[#This Row],[x]],1)="W", "West",LEFT(indian_retail_raw_1000[[#This Row],[x]],1)= "E","East",LEFT(O828,1) = "S", "South",LEFT(O828,1) = "N", "North")</f>
        <v>West</v>
      </c>
      <c r="Q828" t="s">
        <v>30</v>
      </c>
      <c r="R828" t="s">
        <v>16</v>
      </c>
      <c r="S828" t="str">
        <f>TEXT(indian_retail_raw_1000[[#This Row],[Order_Date]],"MMM")</f>
        <v>Sep</v>
      </c>
    </row>
    <row r="829" spans="1:19" x14ac:dyDescent="0.25">
      <c r="A829" t="s">
        <v>119</v>
      </c>
      <c r="B829" s="1" t="s">
        <v>1336</v>
      </c>
      <c r="C829" t="s">
        <v>53</v>
      </c>
      <c r="D829">
        <v>32</v>
      </c>
      <c r="E829" t="s">
        <v>16</v>
      </c>
      <c r="F829" t="s">
        <v>97</v>
      </c>
      <c r="G829" t="s">
        <v>121</v>
      </c>
      <c r="H829">
        <v>10</v>
      </c>
      <c r="I829">
        <v>3242</v>
      </c>
      <c r="J829">
        <v>10</v>
      </c>
      <c r="K829" t="s">
        <v>50</v>
      </c>
      <c r="L829" t="s">
        <v>20</v>
      </c>
      <c r="M8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9">
        <v>29178</v>
      </c>
      <c r="O829" t="s">
        <v>122</v>
      </c>
      <c r="P829" t="str">
        <f>_xlfn.IFS(LEFT(indian_retail_raw_1000[[#This Row],[x]],1)="W", "West",LEFT(indian_retail_raw_1000[[#This Row],[x]],1)= "E","East",LEFT(O829,1) = "S", "South",LEFT(O829,1) = "N", "North")</f>
        <v>East</v>
      </c>
      <c r="Q829" t="s">
        <v>30</v>
      </c>
      <c r="R829" t="s">
        <v>16</v>
      </c>
      <c r="S829" t="str">
        <f>TEXT(indian_retail_raw_1000[[#This Row],[Order_Date]],"MMM")</f>
        <v>Null</v>
      </c>
    </row>
    <row r="830" spans="1:19" x14ac:dyDescent="0.25">
      <c r="A830" t="s">
        <v>847</v>
      </c>
      <c r="B830" s="1">
        <v>45242</v>
      </c>
      <c r="C830" t="s">
        <v>156</v>
      </c>
      <c r="D830">
        <v>29</v>
      </c>
      <c r="E830" t="s">
        <v>16</v>
      </c>
      <c r="F830" t="s">
        <v>30</v>
      </c>
      <c r="G830" t="s">
        <v>130</v>
      </c>
      <c r="H830">
        <v>8</v>
      </c>
      <c r="I830">
        <v>3664</v>
      </c>
      <c r="J830">
        <v>5</v>
      </c>
      <c r="K830" t="s">
        <v>41</v>
      </c>
      <c r="L830" t="s">
        <v>51</v>
      </c>
      <c r="M8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30">
        <v>29312</v>
      </c>
      <c r="O830" t="s">
        <v>21</v>
      </c>
      <c r="P830" t="str">
        <f>_xlfn.IFS(LEFT(indian_retail_raw_1000[[#This Row],[x]],1)="W", "West",LEFT(indian_retail_raw_1000[[#This Row],[x]],1)= "E","East",LEFT(O830,1) = "S", "South",LEFT(O830,1) = "N", "North")</f>
        <v>South</v>
      </c>
      <c r="Q830" t="s">
        <v>30</v>
      </c>
      <c r="R830" t="s">
        <v>16</v>
      </c>
      <c r="S830" t="str">
        <f>TEXT(indian_retail_raw_1000[[#This Row],[Order_Date]],"MMM")</f>
        <v>Nov</v>
      </c>
    </row>
    <row r="831" spans="1:19" x14ac:dyDescent="0.25">
      <c r="A831" t="s">
        <v>392</v>
      </c>
      <c r="B831" s="1">
        <v>45210</v>
      </c>
      <c r="C831" t="s">
        <v>393</v>
      </c>
      <c r="D831">
        <v>54</v>
      </c>
      <c r="E831" t="s">
        <v>16</v>
      </c>
      <c r="F831" t="s">
        <v>30</v>
      </c>
      <c r="G831" t="s">
        <v>121</v>
      </c>
      <c r="H831">
        <v>9</v>
      </c>
      <c r="I831">
        <v>4106</v>
      </c>
      <c r="J831">
        <v>20</v>
      </c>
      <c r="K831" t="s">
        <v>41</v>
      </c>
      <c r="L831" t="s">
        <v>20</v>
      </c>
      <c r="M8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1">
        <v>29563.200000000001</v>
      </c>
      <c r="O831" t="s">
        <v>38</v>
      </c>
      <c r="P831" t="str">
        <f>_xlfn.IFS(LEFT(indian_retail_raw_1000[[#This Row],[x]],1)="W", "West",LEFT(indian_retail_raw_1000[[#This Row],[x]],1)= "E","East",LEFT(O831,1) = "S", "South",LEFT(O831,1) = "N", "North")</f>
        <v>North</v>
      </c>
      <c r="Q831" t="s">
        <v>30</v>
      </c>
      <c r="R831" t="s">
        <v>16</v>
      </c>
      <c r="S831" t="str">
        <f>TEXT(indian_retail_raw_1000[[#This Row],[Order_Date]],"MMM")</f>
        <v>Oct</v>
      </c>
    </row>
    <row r="832" spans="1:19" x14ac:dyDescent="0.25">
      <c r="A832" t="s">
        <v>216</v>
      </c>
      <c r="B832" s="1">
        <v>45028</v>
      </c>
      <c r="C832" t="s">
        <v>217</v>
      </c>
      <c r="D832">
        <v>65</v>
      </c>
      <c r="E832" t="s">
        <v>23</v>
      </c>
      <c r="F832" t="s">
        <v>30</v>
      </c>
      <c r="G832" t="s">
        <v>218</v>
      </c>
      <c r="H832">
        <v>8</v>
      </c>
      <c r="I832">
        <v>3724</v>
      </c>
      <c r="J832">
        <v>0</v>
      </c>
      <c r="K832" t="s">
        <v>50</v>
      </c>
      <c r="L832" t="s">
        <v>20</v>
      </c>
      <c r="M8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2">
        <v>29792</v>
      </c>
      <c r="O832" t="s">
        <v>45</v>
      </c>
      <c r="P832" t="str">
        <f>_xlfn.IFS(LEFT(indian_retail_raw_1000[[#This Row],[x]],1)="W", "West",LEFT(indian_retail_raw_1000[[#This Row],[x]],1)= "E","East",LEFT(O832,1) = "S", "South",LEFT(O832,1) = "N", "North")</f>
        <v>East</v>
      </c>
      <c r="Q832" t="s">
        <v>30</v>
      </c>
      <c r="R832" t="s">
        <v>23</v>
      </c>
      <c r="S832" t="str">
        <f>TEXT(indian_retail_raw_1000[[#This Row],[Order_Date]],"MMM")</f>
        <v>Apr</v>
      </c>
    </row>
    <row r="833" spans="1:19" x14ac:dyDescent="0.25">
      <c r="A833" t="s">
        <v>866</v>
      </c>
      <c r="B833" s="1" t="s">
        <v>1336</v>
      </c>
      <c r="C833" t="s">
        <v>48</v>
      </c>
      <c r="D833">
        <v>41</v>
      </c>
      <c r="E833" t="s">
        <v>16</v>
      </c>
      <c r="F833" t="s">
        <v>54</v>
      </c>
      <c r="G833" t="s">
        <v>180</v>
      </c>
      <c r="H833">
        <v>2</v>
      </c>
      <c r="I833">
        <v>21300</v>
      </c>
      <c r="J833">
        <v>30</v>
      </c>
      <c r="K833" t="s">
        <v>657</v>
      </c>
      <c r="L833" t="s">
        <v>56</v>
      </c>
      <c r="M8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33">
        <v>29820</v>
      </c>
      <c r="O833" t="s">
        <v>38</v>
      </c>
      <c r="P833" t="str">
        <f>_xlfn.IFS(LEFT(indian_retail_raw_1000[[#This Row],[x]],1)="W", "West",LEFT(indian_retail_raw_1000[[#This Row],[x]],1)= "E","East",LEFT(O833,1) = "S", "South",LEFT(O833,1) = "N", "North")</f>
        <v>North</v>
      </c>
      <c r="Q833" t="s">
        <v>54</v>
      </c>
      <c r="R833" t="s">
        <v>16</v>
      </c>
      <c r="S833" t="str">
        <f>TEXT(indian_retail_raw_1000[[#This Row],[Order_Date]],"MMM")</f>
        <v>Null</v>
      </c>
    </row>
    <row r="834" spans="1:19" x14ac:dyDescent="0.25">
      <c r="A834" t="s">
        <v>610</v>
      </c>
      <c r="B834" s="1">
        <v>45159</v>
      </c>
      <c r="C834" t="s">
        <v>188</v>
      </c>
      <c r="D834">
        <v>30</v>
      </c>
      <c r="E834" t="s">
        <v>143</v>
      </c>
      <c r="F834" t="s">
        <v>54</v>
      </c>
      <c r="G834" t="s">
        <v>199</v>
      </c>
      <c r="H834">
        <v>1</v>
      </c>
      <c r="I834">
        <v>60100</v>
      </c>
      <c r="J834">
        <v>50</v>
      </c>
      <c r="K834" t="s">
        <v>41</v>
      </c>
      <c r="L834" t="s">
        <v>20</v>
      </c>
      <c r="M8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4">
        <v>30050</v>
      </c>
      <c r="O834" t="s">
        <v>38</v>
      </c>
      <c r="P834" t="str">
        <f>_xlfn.IFS(LEFT(indian_retail_raw_1000[[#This Row],[x]],1)="W", "West",LEFT(indian_retail_raw_1000[[#This Row],[x]],1)= "E","East",LEFT(O834,1) = "S", "South",LEFT(O834,1) = "N", "North")</f>
        <v>North</v>
      </c>
      <c r="Q834" t="s">
        <v>54</v>
      </c>
      <c r="R834" t="s">
        <v>138</v>
      </c>
      <c r="S834" t="str">
        <f>TEXT(indian_retail_raw_1000[[#This Row],[Order_Date]],"MMM")</f>
        <v>Aug</v>
      </c>
    </row>
    <row r="835" spans="1:19" x14ac:dyDescent="0.25">
      <c r="A835" t="s">
        <v>202</v>
      </c>
      <c r="B835" s="1">
        <v>45237</v>
      </c>
      <c r="C835" t="s">
        <v>192</v>
      </c>
      <c r="D835">
        <v>26</v>
      </c>
      <c r="E835" t="s">
        <v>16</v>
      </c>
      <c r="F835" t="s">
        <v>35</v>
      </c>
      <c r="G835" t="s">
        <v>203</v>
      </c>
      <c r="H835">
        <v>9</v>
      </c>
      <c r="I835">
        <v>988</v>
      </c>
      <c r="J835">
        <v>15</v>
      </c>
      <c r="K835" t="s">
        <v>95</v>
      </c>
      <c r="L835" t="s">
        <v>204</v>
      </c>
      <c r="M8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5">
        <v>30232.799999999999</v>
      </c>
      <c r="O835" t="s">
        <v>38</v>
      </c>
      <c r="P835" t="str">
        <f>_xlfn.IFS(LEFT(indian_retail_raw_1000[[#This Row],[x]],1)="W", "West",LEFT(indian_retail_raw_1000[[#This Row],[x]],1)= "E","East",LEFT(O835,1) = "S", "South",LEFT(O835,1) = "N", "North")</f>
        <v>North</v>
      </c>
      <c r="Q835" t="s">
        <v>35</v>
      </c>
      <c r="R835" t="s">
        <v>16</v>
      </c>
      <c r="S835" t="str">
        <f>TEXT(indian_retail_raw_1000[[#This Row],[Order_Date]],"MMM")</f>
        <v>Nov</v>
      </c>
    </row>
    <row r="836" spans="1:19" x14ac:dyDescent="0.25">
      <c r="A836" t="s">
        <v>525</v>
      </c>
      <c r="B836" s="1">
        <v>45161</v>
      </c>
      <c r="C836" t="s">
        <v>128</v>
      </c>
      <c r="D836">
        <v>29</v>
      </c>
      <c r="E836" t="s">
        <v>16</v>
      </c>
      <c r="F836" t="s">
        <v>30</v>
      </c>
      <c r="G836" t="s">
        <v>135</v>
      </c>
      <c r="H836">
        <v>3</v>
      </c>
      <c r="I836">
        <v>10078</v>
      </c>
      <c r="J836">
        <v>0</v>
      </c>
      <c r="K836" t="s">
        <v>19</v>
      </c>
      <c r="L836" t="s">
        <v>449</v>
      </c>
      <c r="M8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6">
        <v>30234</v>
      </c>
      <c r="O836" t="s">
        <v>45</v>
      </c>
      <c r="P836" t="str">
        <f>_xlfn.IFS(LEFT(indian_retail_raw_1000[[#This Row],[x]],1)="W", "West",LEFT(indian_retail_raw_1000[[#This Row],[x]],1)= "E","East",LEFT(O836,1) = "S", "South",LEFT(O836,1) = "N", "North")</f>
        <v>East</v>
      </c>
      <c r="Q836" t="s">
        <v>30</v>
      </c>
      <c r="R836" t="s">
        <v>16</v>
      </c>
      <c r="S836" t="str">
        <f>TEXT(indian_retail_raw_1000[[#This Row],[Order_Date]],"MMM")</f>
        <v>Aug</v>
      </c>
    </row>
    <row r="837" spans="1:19" x14ac:dyDescent="0.25">
      <c r="A837" t="s">
        <v>1274</v>
      </c>
      <c r="B837" s="1">
        <v>45282</v>
      </c>
      <c r="C837" t="s">
        <v>170</v>
      </c>
      <c r="D837">
        <v>45</v>
      </c>
      <c r="E837" t="s">
        <v>16</v>
      </c>
      <c r="F837" t="s">
        <v>30</v>
      </c>
      <c r="G837" t="s">
        <v>31</v>
      </c>
      <c r="H837">
        <v>4</v>
      </c>
      <c r="I837">
        <v>2539</v>
      </c>
      <c r="J837">
        <v>25</v>
      </c>
      <c r="K837" t="s">
        <v>115</v>
      </c>
      <c r="L837" t="s">
        <v>20</v>
      </c>
      <c r="M8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7">
        <v>30468</v>
      </c>
      <c r="O837" t="s">
        <v>45</v>
      </c>
      <c r="P837" t="str">
        <f>_xlfn.IFS(LEFT(indian_retail_raw_1000[[#This Row],[x]],1)="W", "West",LEFT(indian_retail_raw_1000[[#This Row],[x]],1)= "E","East",LEFT(O837,1) = "S", "South",LEFT(O837,1) = "N", "North")</f>
        <v>East</v>
      </c>
      <c r="Q837" t="s">
        <v>30</v>
      </c>
      <c r="R837" t="s">
        <v>16</v>
      </c>
      <c r="S837" t="str">
        <f>TEXT(indian_retail_raw_1000[[#This Row],[Order_Date]],"MMM")</f>
        <v>Dec</v>
      </c>
    </row>
    <row r="838" spans="1:19" x14ac:dyDescent="0.25">
      <c r="A838" t="s">
        <v>575</v>
      </c>
      <c r="B838" s="1">
        <v>45197</v>
      </c>
      <c r="C838" t="s">
        <v>66</v>
      </c>
      <c r="D838">
        <v>19</v>
      </c>
      <c r="E838" t="s">
        <v>16</v>
      </c>
      <c r="F838" t="s">
        <v>54</v>
      </c>
      <c r="G838" t="s">
        <v>77</v>
      </c>
      <c r="H838">
        <v>2</v>
      </c>
      <c r="I838">
        <v>17000</v>
      </c>
      <c r="J838">
        <v>10</v>
      </c>
      <c r="K838" t="s">
        <v>41</v>
      </c>
      <c r="L838" t="s">
        <v>51</v>
      </c>
      <c r="M8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38">
        <v>30600</v>
      </c>
      <c r="O838" t="s">
        <v>26</v>
      </c>
      <c r="P838" t="str">
        <f>_xlfn.IFS(LEFT(indian_retail_raw_1000[[#This Row],[x]],1)="W", "West",LEFT(indian_retail_raw_1000[[#This Row],[x]],1)= "E","East",LEFT(O838,1) = "S", "South",LEFT(O838,1) = "N", "North")</f>
        <v>West</v>
      </c>
      <c r="Q838" t="s">
        <v>54</v>
      </c>
      <c r="R838" t="s">
        <v>16</v>
      </c>
      <c r="S838" t="str">
        <f>TEXT(indian_retail_raw_1000[[#This Row],[Order_Date]],"MMM")</f>
        <v>Sep</v>
      </c>
    </row>
    <row r="839" spans="1:19" x14ac:dyDescent="0.25">
      <c r="A839" t="s">
        <v>1032</v>
      </c>
      <c r="B839" s="1">
        <v>45172</v>
      </c>
      <c r="C839" t="s">
        <v>66</v>
      </c>
      <c r="D839">
        <v>61</v>
      </c>
      <c r="E839" t="s">
        <v>16</v>
      </c>
      <c r="F839" t="s">
        <v>54</v>
      </c>
      <c r="G839" t="s">
        <v>282</v>
      </c>
      <c r="H839">
        <v>2</v>
      </c>
      <c r="I839">
        <v>15300</v>
      </c>
      <c r="J839">
        <v>0</v>
      </c>
      <c r="K839" t="s">
        <v>25</v>
      </c>
      <c r="L839" t="s">
        <v>51</v>
      </c>
      <c r="M8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39">
        <v>30600</v>
      </c>
      <c r="O839" t="s">
        <v>21</v>
      </c>
      <c r="P839" t="str">
        <f>_xlfn.IFS(LEFT(indian_retail_raw_1000[[#This Row],[x]],1)="W", "West",LEFT(indian_retail_raw_1000[[#This Row],[x]],1)= "E","East",LEFT(O839,1) = "S", "South",LEFT(O839,1) = "N", "North")</f>
        <v>South</v>
      </c>
      <c r="Q839" t="s">
        <v>54</v>
      </c>
      <c r="R839" t="s">
        <v>16</v>
      </c>
      <c r="S839" t="str">
        <f>TEXT(indian_retail_raw_1000[[#This Row],[Order_Date]],"MMM")</f>
        <v>Sep</v>
      </c>
    </row>
    <row r="840" spans="1:19" x14ac:dyDescent="0.25">
      <c r="A840" t="s">
        <v>792</v>
      </c>
      <c r="B840" s="1" t="s">
        <v>1336</v>
      </c>
      <c r="C840" t="s">
        <v>142</v>
      </c>
      <c r="D840">
        <v>28</v>
      </c>
      <c r="E840" t="s">
        <v>16</v>
      </c>
      <c r="F840" t="s">
        <v>30</v>
      </c>
      <c r="G840" t="s">
        <v>540</v>
      </c>
      <c r="H840">
        <v>7</v>
      </c>
      <c r="I840">
        <v>4923</v>
      </c>
      <c r="J840">
        <v>10</v>
      </c>
      <c r="K840" t="s">
        <v>19</v>
      </c>
      <c r="L840" t="s">
        <v>20</v>
      </c>
      <c r="M8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0">
        <v>31014.9</v>
      </c>
      <c r="O840" t="s">
        <v>38</v>
      </c>
      <c r="P840" t="str">
        <f>_xlfn.IFS(LEFT(indian_retail_raw_1000[[#This Row],[x]],1)="W", "West",LEFT(indian_retail_raw_1000[[#This Row],[x]],1)= "E","East",LEFT(O840,1) = "S", "South",LEFT(O840,1) = "N", "North")</f>
        <v>North</v>
      </c>
      <c r="Q840" t="s">
        <v>30</v>
      </c>
      <c r="R840" t="s">
        <v>16</v>
      </c>
      <c r="S840" t="str">
        <f>TEXT(indian_retail_raw_1000[[#This Row],[Order_Date]],"MMM")</f>
        <v>Null</v>
      </c>
    </row>
    <row r="841" spans="1:19" x14ac:dyDescent="0.25">
      <c r="A841" t="s">
        <v>447</v>
      </c>
      <c r="B841" s="1">
        <v>45215</v>
      </c>
      <c r="C841" t="s">
        <v>152</v>
      </c>
      <c r="D841">
        <v>30</v>
      </c>
      <c r="E841" t="s">
        <v>143</v>
      </c>
      <c r="F841" t="s">
        <v>54</v>
      </c>
      <c r="G841" t="s">
        <v>237</v>
      </c>
      <c r="H841">
        <v>1</v>
      </c>
      <c r="I841">
        <v>31400</v>
      </c>
      <c r="J841">
        <v>0</v>
      </c>
      <c r="K841" t="s">
        <v>25</v>
      </c>
      <c r="L841" t="s">
        <v>51</v>
      </c>
      <c r="M8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41">
        <v>31400</v>
      </c>
      <c r="O841" t="s">
        <v>21</v>
      </c>
      <c r="P841" t="str">
        <f>_xlfn.IFS(LEFT(indian_retail_raw_1000[[#This Row],[x]],1)="W", "West",LEFT(indian_retail_raw_1000[[#This Row],[x]],1)= "E","East",LEFT(O841,1) = "S", "South",LEFT(O841,1) = "N", "North")</f>
        <v>South</v>
      </c>
      <c r="Q841" t="s">
        <v>54</v>
      </c>
      <c r="R841" t="s">
        <v>138</v>
      </c>
      <c r="S841" t="str">
        <f>TEXT(indian_retail_raw_1000[[#This Row],[Order_Date]],"MMM")</f>
        <v>Oct</v>
      </c>
    </row>
    <row r="842" spans="1:19" x14ac:dyDescent="0.25">
      <c r="A842" t="s">
        <v>933</v>
      </c>
      <c r="B842" s="1">
        <v>45206</v>
      </c>
      <c r="C842" t="s">
        <v>87</v>
      </c>
      <c r="D842">
        <v>46</v>
      </c>
      <c r="E842" t="s">
        <v>16</v>
      </c>
      <c r="F842" t="s">
        <v>30</v>
      </c>
      <c r="G842" t="s">
        <v>195</v>
      </c>
      <c r="H842">
        <v>10</v>
      </c>
      <c r="I842">
        <v>3317</v>
      </c>
      <c r="J842">
        <v>5</v>
      </c>
      <c r="K842" t="s">
        <v>19</v>
      </c>
      <c r="L842" t="s">
        <v>56</v>
      </c>
      <c r="M8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42">
        <v>31511.5</v>
      </c>
      <c r="O842" t="s">
        <v>295</v>
      </c>
      <c r="P842" t="str">
        <f>_xlfn.IFS(LEFT(indian_retail_raw_1000[[#This Row],[x]],1)="W", "West",LEFT(indian_retail_raw_1000[[#This Row],[x]],1)= "E","East",LEFT(O842,1) = "S", "South",LEFT(O842,1) = "N", "North")</f>
        <v>East</v>
      </c>
      <c r="Q842" t="s">
        <v>30</v>
      </c>
      <c r="R842" t="s">
        <v>16</v>
      </c>
      <c r="S842" t="str">
        <f>TEXT(indian_retail_raw_1000[[#This Row],[Order_Date]],"MMM")</f>
        <v>Oct</v>
      </c>
    </row>
    <row r="843" spans="1:19" x14ac:dyDescent="0.25">
      <c r="A843" t="s">
        <v>1169</v>
      </c>
      <c r="B843" s="1" t="s">
        <v>1336</v>
      </c>
      <c r="C843" t="s">
        <v>366</v>
      </c>
      <c r="D843">
        <v>32</v>
      </c>
      <c r="E843" t="s">
        <v>16</v>
      </c>
      <c r="F843" t="s">
        <v>30</v>
      </c>
      <c r="G843" t="s">
        <v>60</v>
      </c>
      <c r="H843">
        <v>8</v>
      </c>
      <c r="I843">
        <v>5339</v>
      </c>
      <c r="J843">
        <v>25</v>
      </c>
      <c r="K843" t="s">
        <v>50</v>
      </c>
      <c r="L843" t="s">
        <v>56</v>
      </c>
      <c r="M8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43">
        <v>32034</v>
      </c>
      <c r="O843" t="s">
        <v>21</v>
      </c>
      <c r="P843" t="str">
        <f>_xlfn.IFS(LEFT(indian_retail_raw_1000[[#This Row],[x]],1)="W", "West",LEFT(indian_retail_raw_1000[[#This Row],[x]],1)= "E","East",LEFT(O843,1) = "S", "South",LEFT(O843,1) = "N", "North")</f>
        <v>South</v>
      </c>
      <c r="Q843" t="s">
        <v>30</v>
      </c>
      <c r="R843" t="s">
        <v>16</v>
      </c>
      <c r="S843" t="str">
        <f>TEXT(indian_retail_raw_1000[[#This Row],[Order_Date]],"MMM")</f>
        <v>Null</v>
      </c>
    </row>
    <row r="844" spans="1:19" x14ac:dyDescent="0.25">
      <c r="A844" t="s">
        <v>231</v>
      </c>
      <c r="B844" s="1" t="s">
        <v>1336</v>
      </c>
      <c r="C844" t="s">
        <v>217</v>
      </c>
      <c r="D844">
        <v>43</v>
      </c>
      <c r="E844" t="s">
        <v>16</v>
      </c>
      <c r="F844" t="s">
        <v>30</v>
      </c>
      <c r="G844" t="s">
        <v>130</v>
      </c>
      <c r="H844">
        <v>10</v>
      </c>
      <c r="I844">
        <v>3817</v>
      </c>
      <c r="J844">
        <v>15</v>
      </c>
      <c r="K844" t="s">
        <v>25</v>
      </c>
      <c r="L844" t="s">
        <v>20</v>
      </c>
      <c r="M8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4">
        <v>32444.5</v>
      </c>
      <c r="O844" t="s">
        <v>38</v>
      </c>
      <c r="P844" t="str">
        <f>_xlfn.IFS(LEFT(indian_retail_raw_1000[[#This Row],[x]],1)="W", "West",LEFT(indian_retail_raw_1000[[#This Row],[x]],1)= "E","East",LEFT(O844,1) = "S", "South",LEFT(O844,1) = "N", "North")</f>
        <v>North</v>
      </c>
      <c r="Q844" t="s">
        <v>30</v>
      </c>
      <c r="R844" t="s">
        <v>16</v>
      </c>
      <c r="S844" t="str">
        <f>TEXT(indian_retail_raw_1000[[#This Row],[Order_Date]],"MMM")</f>
        <v>Null</v>
      </c>
    </row>
    <row r="845" spans="1:19" x14ac:dyDescent="0.25">
      <c r="A845" t="s">
        <v>210</v>
      </c>
      <c r="B845" s="1">
        <v>44956</v>
      </c>
      <c r="C845" t="s">
        <v>211</v>
      </c>
      <c r="D845">
        <v>37</v>
      </c>
      <c r="E845" t="s">
        <v>23</v>
      </c>
      <c r="F845" t="s">
        <v>54</v>
      </c>
      <c r="G845" t="s">
        <v>77</v>
      </c>
      <c r="H845">
        <v>2</v>
      </c>
      <c r="I845">
        <v>17200</v>
      </c>
      <c r="J845">
        <v>5</v>
      </c>
      <c r="K845" t="s">
        <v>19</v>
      </c>
      <c r="L845" t="s">
        <v>107</v>
      </c>
      <c r="M8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5">
        <v>32680</v>
      </c>
      <c r="O845" t="s">
        <v>26</v>
      </c>
      <c r="P845" t="str">
        <f>_xlfn.IFS(LEFT(indian_retail_raw_1000[[#This Row],[x]],1)="W", "West",LEFT(indian_retail_raw_1000[[#This Row],[x]],1)= "E","East",LEFT(O845,1) = "S", "South",LEFT(O845,1) = "N", "North")</f>
        <v>West</v>
      </c>
      <c r="Q845" t="s">
        <v>54</v>
      </c>
      <c r="R845" t="s">
        <v>23</v>
      </c>
      <c r="S845" t="str">
        <f>TEXT(indian_retail_raw_1000[[#This Row],[Order_Date]],"MMM")</f>
        <v>Jan</v>
      </c>
    </row>
    <row r="846" spans="1:19" x14ac:dyDescent="0.25">
      <c r="A846" t="s">
        <v>1011</v>
      </c>
      <c r="B846" s="1" t="s">
        <v>1336</v>
      </c>
      <c r="C846" t="s">
        <v>28</v>
      </c>
      <c r="D846">
        <v>33</v>
      </c>
      <c r="E846" t="s">
        <v>23</v>
      </c>
      <c r="F846" t="s">
        <v>30</v>
      </c>
      <c r="G846" t="s">
        <v>135</v>
      </c>
      <c r="H846">
        <v>5</v>
      </c>
      <c r="I846">
        <v>9478</v>
      </c>
      <c r="J846">
        <v>30</v>
      </c>
      <c r="K846" t="s">
        <v>50</v>
      </c>
      <c r="L846" t="s">
        <v>20</v>
      </c>
      <c r="M8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6">
        <v>33173</v>
      </c>
      <c r="O846" t="s">
        <v>45</v>
      </c>
      <c r="P846" t="str">
        <f>_xlfn.IFS(LEFT(indian_retail_raw_1000[[#This Row],[x]],1)="W", "West",LEFT(indian_retail_raw_1000[[#This Row],[x]],1)= "E","East",LEFT(O846,1) = "S", "South",LEFT(O846,1) = "N", "North")</f>
        <v>East</v>
      </c>
      <c r="Q846" t="s">
        <v>30</v>
      </c>
      <c r="R846" t="s">
        <v>23</v>
      </c>
      <c r="S846" t="str">
        <f>TEXT(indian_retail_raw_1000[[#This Row],[Order_Date]],"MMM")</f>
        <v>Null</v>
      </c>
    </row>
    <row r="847" spans="1:19" x14ac:dyDescent="0.25">
      <c r="A847" t="s">
        <v>679</v>
      </c>
      <c r="B847" s="1">
        <v>45213</v>
      </c>
      <c r="C847" t="s">
        <v>165</v>
      </c>
      <c r="D847">
        <v>58</v>
      </c>
      <c r="E847" t="s">
        <v>16</v>
      </c>
      <c r="F847" t="s">
        <v>30</v>
      </c>
      <c r="G847" t="s">
        <v>60</v>
      </c>
      <c r="H847">
        <v>4</v>
      </c>
      <c r="I847">
        <v>9222</v>
      </c>
      <c r="J847">
        <v>10</v>
      </c>
      <c r="K847" t="s">
        <v>41</v>
      </c>
      <c r="L847" t="s">
        <v>20</v>
      </c>
      <c r="M8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7">
        <v>33199.199999999997</v>
      </c>
      <c r="O847" t="s">
        <v>26</v>
      </c>
      <c r="P847" t="str">
        <f>_xlfn.IFS(LEFT(indian_retail_raw_1000[[#This Row],[x]],1)="W", "West",LEFT(indian_retail_raw_1000[[#This Row],[x]],1)= "E","East",LEFT(O847,1) = "S", "South",LEFT(O847,1) = "N", "North")</f>
        <v>West</v>
      </c>
      <c r="Q847" t="s">
        <v>30</v>
      </c>
      <c r="R847" t="s">
        <v>16</v>
      </c>
      <c r="S847" t="str">
        <f>TEXT(indian_retail_raw_1000[[#This Row],[Order_Date]],"MMM")</f>
        <v>Oct</v>
      </c>
    </row>
    <row r="848" spans="1:19" x14ac:dyDescent="0.25">
      <c r="A848" t="s">
        <v>595</v>
      </c>
      <c r="B848" s="1">
        <v>45092</v>
      </c>
      <c r="C848" t="s">
        <v>160</v>
      </c>
      <c r="D848">
        <v>58</v>
      </c>
      <c r="E848" t="s">
        <v>16</v>
      </c>
      <c r="F848" t="s">
        <v>54</v>
      </c>
      <c r="G848" t="s">
        <v>55</v>
      </c>
      <c r="H848">
        <v>1</v>
      </c>
      <c r="I848">
        <v>33400</v>
      </c>
      <c r="J848">
        <v>0</v>
      </c>
      <c r="K848" t="s">
        <v>41</v>
      </c>
      <c r="L848" t="s">
        <v>20</v>
      </c>
      <c r="M8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8">
        <v>33400</v>
      </c>
      <c r="O848" t="s">
        <v>21</v>
      </c>
      <c r="P848" t="str">
        <f>_xlfn.IFS(LEFT(indian_retail_raw_1000[[#This Row],[x]],1)="W", "West",LEFT(indian_retail_raw_1000[[#This Row],[x]],1)= "E","East",LEFT(O848,1) = "S", "South",LEFT(O848,1) = "N", "North")</f>
        <v>South</v>
      </c>
      <c r="Q848" t="s">
        <v>54</v>
      </c>
      <c r="R848" t="s">
        <v>16</v>
      </c>
      <c r="S848" t="str">
        <f>TEXT(indian_retail_raw_1000[[#This Row],[Order_Date]],"MMM")</f>
        <v>Jun</v>
      </c>
    </row>
    <row r="849" spans="1:19" x14ac:dyDescent="0.25">
      <c r="A849" t="s">
        <v>696</v>
      </c>
      <c r="B849" s="1">
        <v>45022</v>
      </c>
      <c r="C849" t="s">
        <v>1336</v>
      </c>
      <c r="D849">
        <v>26</v>
      </c>
      <c r="E849" t="s">
        <v>16</v>
      </c>
      <c r="F849" t="s">
        <v>608</v>
      </c>
      <c r="G849" t="s">
        <v>282</v>
      </c>
      <c r="H849">
        <v>2</v>
      </c>
      <c r="I849">
        <v>16700</v>
      </c>
      <c r="K849" t="s">
        <v>41</v>
      </c>
      <c r="L849" t="s">
        <v>20</v>
      </c>
      <c r="M8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9">
        <v>33400</v>
      </c>
      <c r="O849" t="s">
        <v>21</v>
      </c>
      <c r="P849" t="str">
        <f>_xlfn.IFS(LEFT(indian_retail_raw_1000[[#This Row],[x]],1)="W", "West",LEFT(indian_retail_raw_1000[[#This Row],[x]],1)= "E","East",LEFT(O849,1) = "S", "South",LEFT(O849,1) = "N", "North")</f>
        <v>South</v>
      </c>
      <c r="Q849" t="s">
        <v>54</v>
      </c>
      <c r="R849" t="s">
        <v>16</v>
      </c>
      <c r="S849" t="str">
        <f>TEXT(indian_retail_raw_1000[[#This Row],[Order_Date]],"MMM")</f>
        <v>Apr</v>
      </c>
    </row>
    <row r="850" spans="1:19" x14ac:dyDescent="0.25">
      <c r="A850" t="s">
        <v>399</v>
      </c>
      <c r="B850" s="1">
        <v>44968</v>
      </c>
      <c r="C850" t="s">
        <v>1336</v>
      </c>
      <c r="D850">
        <v>64</v>
      </c>
      <c r="E850" t="s">
        <v>16</v>
      </c>
      <c r="F850" t="s">
        <v>54</v>
      </c>
      <c r="G850" t="s">
        <v>180</v>
      </c>
      <c r="H850">
        <v>2</v>
      </c>
      <c r="I850">
        <v>18600</v>
      </c>
      <c r="J850">
        <v>10</v>
      </c>
      <c r="K850" t="s">
        <v>25</v>
      </c>
      <c r="L850" t="s">
        <v>20</v>
      </c>
      <c r="M8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0">
        <v>33480</v>
      </c>
      <c r="O850" t="s">
        <v>21</v>
      </c>
      <c r="P850" t="str">
        <f>_xlfn.IFS(LEFT(indian_retail_raw_1000[[#This Row],[x]],1)="W", "West",LEFT(indian_retail_raw_1000[[#This Row],[x]],1)= "E","East",LEFT(O850,1) = "S", "South",LEFT(O850,1) = "N", "North")</f>
        <v>South</v>
      </c>
      <c r="Q850" t="s">
        <v>54</v>
      </c>
      <c r="R850" t="s">
        <v>16</v>
      </c>
      <c r="S850" t="str">
        <f>TEXT(indian_retail_raw_1000[[#This Row],[Order_Date]],"MMM")</f>
        <v>Feb</v>
      </c>
    </row>
    <row r="851" spans="1:19" x14ac:dyDescent="0.25">
      <c r="A851" t="s">
        <v>975</v>
      </c>
      <c r="B851" s="1">
        <v>45172</v>
      </c>
      <c r="C851" t="s">
        <v>152</v>
      </c>
      <c r="D851">
        <v>43</v>
      </c>
      <c r="E851" t="s">
        <v>16</v>
      </c>
      <c r="F851" t="s">
        <v>35</v>
      </c>
      <c r="G851" t="s">
        <v>147</v>
      </c>
      <c r="H851">
        <v>99</v>
      </c>
      <c r="I851">
        <v>426</v>
      </c>
      <c r="J851">
        <v>20</v>
      </c>
      <c r="K851" t="s">
        <v>89</v>
      </c>
      <c r="L851" t="s">
        <v>56</v>
      </c>
      <c r="M8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51">
        <v>33739.199999999997</v>
      </c>
      <c r="O851" t="s">
        <v>225</v>
      </c>
      <c r="P851" t="str">
        <f>_xlfn.IFS(LEFT(indian_retail_raw_1000[[#This Row],[x]],1)="W", "West",LEFT(indian_retail_raw_1000[[#This Row],[x]],1)= "E","East",LEFT(O851,1) = "S", "South",LEFT(O851,1) = "N", "North")</f>
        <v>South</v>
      </c>
      <c r="Q851" t="s">
        <v>35</v>
      </c>
      <c r="R851" t="s">
        <v>16</v>
      </c>
      <c r="S851" t="str">
        <f>TEXT(indian_retail_raw_1000[[#This Row],[Order_Date]],"MMM")</f>
        <v>Sep</v>
      </c>
    </row>
    <row r="852" spans="1:19" x14ac:dyDescent="0.25">
      <c r="A852" t="s">
        <v>162</v>
      </c>
      <c r="B852" s="1">
        <v>45021</v>
      </c>
      <c r="C852" t="s">
        <v>163</v>
      </c>
      <c r="D852">
        <v>28</v>
      </c>
      <c r="E852" t="s">
        <v>16</v>
      </c>
      <c r="F852" t="s">
        <v>30</v>
      </c>
      <c r="G852" t="s">
        <v>135</v>
      </c>
      <c r="H852">
        <v>6</v>
      </c>
      <c r="I852">
        <v>9379</v>
      </c>
      <c r="J852">
        <v>40</v>
      </c>
      <c r="K852" t="s">
        <v>19</v>
      </c>
      <c r="L852" t="s">
        <v>20</v>
      </c>
      <c r="M8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2">
        <v>33764.400000000001</v>
      </c>
      <c r="O852" t="s">
        <v>21</v>
      </c>
      <c r="P852" t="str">
        <f>_xlfn.IFS(LEFT(indian_retail_raw_1000[[#This Row],[x]],1)="W", "West",LEFT(indian_retail_raw_1000[[#This Row],[x]],1)= "E","East",LEFT(O852,1) = "S", "South",LEFT(O852,1) = "N", "North")</f>
        <v>South</v>
      </c>
      <c r="Q852" t="s">
        <v>30</v>
      </c>
      <c r="R852" t="s">
        <v>16</v>
      </c>
      <c r="S852" t="str">
        <f>TEXT(indian_retail_raw_1000[[#This Row],[Order_Date]],"MMM")</f>
        <v>Apr</v>
      </c>
    </row>
    <row r="853" spans="1:19" x14ac:dyDescent="0.25">
      <c r="A853" t="s">
        <v>230</v>
      </c>
      <c r="B853" s="1">
        <v>45126</v>
      </c>
      <c r="C853" t="s">
        <v>1336</v>
      </c>
      <c r="D853">
        <v>35</v>
      </c>
      <c r="E853" t="s">
        <v>16</v>
      </c>
      <c r="F853" t="s">
        <v>30</v>
      </c>
      <c r="G853" t="s">
        <v>135</v>
      </c>
      <c r="H853">
        <v>4</v>
      </c>
      <c r="I853">
        <v>8496</v>
      </c>
      <c r="J853">
        <v>0</v>
      </c>
      <c r="K853" t="s">
        <v>41</v>
      </c>
      <c r="L853" t="s">
        <v>20</v>
      </c>
      <c r="M8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3">
        <v>33984</v>
      </c>
      <c r="O853" t="s">
        <v>38</v>
      </c>
      <c r="P853" t="str">
        <f>_xlfn.IFS(LEFT(indian_retail_raw_1000[[#This Row],[x]],1)="W", "West",LEFT(indian_retail_raw_1000[[#This Row],[x]],1)= "E","East",LEFT(O853,1) = "S", "South",LEFT(O853,1) = "N", "North")</f>
        <v>North</v>
      </c>
      <c r="Q853" t="s">
        <v>30</v>
      </c>
      <c r="R853" t="s">
        <v>16</v>
      </c>
      <c r="S853" t="str">
        <f>TEXT(indian_retail_raw_1000[[#This Row],[Order_Date]],"MMM")</f>
        <v>Jul</v>
      </c>
    </row>
    <row r="854" spans="1:19" x14ac:dyDescent="0.25">
      <c r="A854" t="s">
        <v>822</v>
      </c>
      <c r="B854" s="1">
        <v>45217</v>
      </c>
      <c r="C854" t="s">
        <v>1336</v>
      </c>
      <c r="D854">
        <v>19</v>
      </c>
      <c r="E854" t="s">
        <v>16</v>
      </c>
      <c r="F854" t="s">
        <v>35</v>
      </c>
      <c r="G854" t="s">
        <v>63</v>
      </c>
      <c r="H854">
        <v>10</v>
      </c>
      <c r="I854">
        <v>3787</v>
      </c>
      <c r="J854">
        <v>10</v>
      </c>
      <c r="K854" t="s">
        <v>50</v>
      </c>
      <c r="L854" t="s">
        <v>20</v>
      </c>
      <c r="M8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4">
        <v>34083</v>
      </c>
      <c r="O854" t="s">
        <v>295</v>
      </c>
      <c r="P854" t="str">
        <f>_xlfn.IFS(LEFT(indian_retail_raw_1000[[#This Row],[x]],1)="W", "West",LEFT(indian_retail_raw_1000[[#This Row],[x]],1)= "E","East",LEFT(O854,1) = "S", "South",LEFT(O854,1) = "N", "North")</f>
        <v>East</v>
      </c>
      <c r="Q854" t="s">
        <v>35</v>
      </c>
      <c r="R854" t="s">
        <v>16</v>
      </c>
      <c r="S854" t="str">
        <f>TEXT(indian_retail_raw_1000[[#This Row],[Order_Date]],"MMM")</f>
        <v>Oct</v>
      </c>
    </row>
    <row r="855" spans="1:19" x14ac:dyDescent="0.25">
      <c r="A855" t="s">
        <v>1172</v>
      </c>
      <c r="B855" s="1">
        <v>45242</v>
      </c>
      <c r="C855" t="s">
        <v>1336</v>
      </c>
      <c r="D855">
        <v>33</v>
      </c>
      <c r="E855" t="s">
        <v>23</v>
      </c>
      <c r="F855" t="s">
        <v>54</v>
      </c>
      <c r="G855" t="s">
        <v>282</v>
      </c>
      <c r="H855">
        <v>2</v>
      </c>
      <c r="I855">
        <v>18000</v>
      </c>
      <c r="J855">
        <v>5</v>
      </c>
      <c r="K855" t="s">
        <v>25</v>
      </c>
      <c r="L855" t="s">
        <v>56</v>
      </c>
      <c r="M8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55">
        <v>34200</v>
      </c>
      <c r="O855" t="s">
        <v>26</v>
      </c>
      <c r="P855" t="str">
        <f>_xlfn.IFS(LEFT(indian_retail_raw_1000[[#This Row],[x]],1)="W", "West",LEFT(indian_retail_raw_1000[[#This Row],[x]],1)= "E","East",LEFT(O855,1) = "S", "South",LEFT(O855,1) = "N", "North")</f>
        <v>West</v>
      </c>
      <c r="Q855" t="s">
        <v>54</v>
      </c>
      <c r="R855" t="s">
        <v>23</v>
      </c>
      <c r="S855" t="str">
        <f>TEXT(indian_retail_raw_1000[[#This Row],[Order_Date]],"MMM")</f>
        <v>Nov</v>
      </c>
    </row>
    <row r="856" spans="1:19" x14ac:dyDescent="0.25">
      <c r="A856" t="s">
        <v>671</v>
      </c>
      <c r="B856" s="1">
        <v>45225</v>
      </c>
      <c r="C856" t="s">
        <v>672</v>
      </c>
      <c r="D856">
        <v>22</v>
      </c>
      <c r="E856" t="s">
        <v>143</v>
      </c>
      <c r="F856" t="s">
        <v>54</v>
      </c>
      <c r="G856" t="s">
        <v>55</v>
      </c>
      <c r="H856">
        <v>1</v>
      </c>
      <c r="I856">
        <v>36100</v>
      </c>
      <c r="J856">
        <v>5</v>
      </c>
      <c r="K856" t="s">
        <v>41</v>
      </c>
      <c r="L856" t="s">
        <v>20</v>
      </c>
      <c r="M8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6">
        <v>34295</v>
      </c>
      <c r="O856" t="s">
        <v>375</v>
      </c>
      <c r="P856" t="str">
        <f>_xlfn.IFS(LEFT(indian_retail_raw_1000[[#This Row],[x]],1)="W", "West",LEFT(indian_retail_raw_1000[[#This Row],[x]],1)= "E","East",LEFT(O856,1) = "S", "South",LEFT(O856,1) = "N", "North")</f>
        <v>North</v>
      </c>
      <c r="Q856" t="s">
        <v>54</v>
      </c>
      <c r="R856" t="s">
        <v>138</v>
      </c>
      <c r="S856" t="str">
        <f>TEXT(indian_retail_raw_1000[[#This Row],[Order_Date]],"MMM")</f>
        <v>Oct</v>
      </c>
    </row>
    <row r="857" spans="1:19" x14ac:dyDescent="0.25">
      <c r="A857" t="s">
        <v>75</v>
      </c>
      <c r="B857" s="1">
        <v>45279</v>
      </c>
      <c r="C857" t="s">
        <v>76</v>
      </c>
      <c r="D857">
        <v>37</v>
      </c>
      <c r="E857" t="s">
        <v>44</v>
      </c>
      <c r="F857" t="s">
        <v>54</v>
      </c>
      <c r="G857" t="s">
        <v>77</v>
      </c>
      <c r="H857">
        <v>2</v>
      </c>
      <c r="I857">
        <v>17200</v>
      </c>
      <c r="K857" t="s">
        <v>19</v>
      </c>
      <c r="L857" t="s">
        <v>20</v>
      </c>
      <c r="M8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7">
        <v>34400</v>
      </c>
      <c r="O857" t="s">
        <v>21</v>
      </c>
      <c r="P857" t="str">
        <f>_xlfn.IFS(LEFT(indian_retail_raw_1000[[#This Row],[x]],1)="W", "West",LEFT(indian_retail_raw_1000[[#This Row],[x]],1)= "E","East",LEFT(O857,1) = "S", "South",LEFT(O857,1) = "N", "North")</f>
        <v>South</v>
      </c>
      <c r="Q857" t="s">
        <v>54</v>
      </c>
      <c r="R857" t="s">
        <v>23</v>
      </c>
      <c r="S857" t="str">
        <f>TEXT(indian_retail_raw_1000[[#This Row],[Order_Date]],"MMM")</f>
        <v>Dec</v>
      </c>
    </row>
    <row r="858" spans="1:19" x14ac:dyDescent="0.25">
      <c r="A858" t="s">
        <v>496</v>
      </c>
      <c r="B858" s="1">
        <v>45150</v>
      </c>
      <c r="C858" t="s">
        <v>43</v>
      </c>
      <c r="D858">
        <v>36</v>
      </c>
      <c r="E858" t="s">
        <v>23</v>
      </c>
      <c r="F858" t="s">
        <v>54</v>
      </c>
      <c r="G858" t="s">
        <v>180</v>
      </c>
      <c r="H858">
        <v>2</v>
      </c>
      <c r="I858">
        <v>20300</v>
      </c>
      <c r="J858">
        <v>15</v>
      </c>
      <c r="K858" t="s">
        <v>25</v>
      </c>
      <c r="L858" t="s">
        <v>51</v>
      </c>
      <c r="M8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58">
        <v>34510</v>
      </c>
      <c r="O858" t="s">
        <v>45</v>
      </c>
      <c r="P858" t="str">
        <f>_xlfn.IFS(LEFT(indian_retail_raw_1000[[#This Row],[x]],1)="W", "West",LEFT(indian_retail_raw_1000[[#This Row],[x]],1)= "E","East",LEFT(O858,1) = "S", "South",LEFT(O858,1) = "N", "North")</f>
        <v>East</v>
      </c>
      <c r="Q858" t="s">
        <v>54</v>
      </c>
      <c r="R858" t="s">
        <v>23</v>
      </c>
      <c r="S858" t="str">
        <f>TEXT(indian_retail_raw_1000[[#This Row],[Order_Date]],"MMM")</f>
        <v>Aug</v>
      </c>
    </row>
    <row r="859" spans="1:19" x14ac:dyDescent="0.25">
      <c r="A859" t="s">
        <v>932</v>
      </c>
      <c r="B859" s="1" t="s">
        <v>1336</v>
      </c>
      <c r="C859" t="s">
        <v>265</v>
      </c>
      <c r="D859">
        <v>40</v>
      </c>
      <c r="E859" t="s">
        <v>23</v>
      </c>
      <c r="F859" t="s">
        <v>54</v>
      </c>
      <c r="G859" t="s">
        <v>55</v>
      </c>
      <c r="H859">
        <v>2</v>
      </c>
      <c r="I859">
        <v>34700</v>
      </c>
      <c r="J859">
        <v>50</v>
      </c>
      <c r="K859" t="s">
        <v>445</v>
      </c>
      <c r="L859" t="s">
        <v>51</v>
      </c>
      <c r="M8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59">
        <v>34700</v>
      </c>
      <c r="O859" t="s">
        <v>38</v>
      </c>
      <c r="P859" t="str">
        <f>_xlfn.IFS(LEFT(indian_retail_raw_1000[[#This Row],[x]],1)="W", "West",LEFT(indian_retail_raw_1000[[#This Row],[x]],1)= "E","East",LEFT(O859,1) = "S", "South",LEFT(O859,1) = "N", "North")</f>
        <v>North</v>
      </c>
      <c r="Q859" t="s">
        <v>54</v>
      </c>
      <c r="R859" t="s">
        <v>23</v>
      </c>
      <c r="S859" t="str">
        <f>TEXT(indian_retail_raw_1000[[#This Row],[Order_Date]],"MMM")</f>
        <v>Null</v>
      </c>
    </row>
    <row r="860" spans="1:19" x14ac:dyDescent="0.25">
      <c r="A860" t="s">
        <v>365</v>
      </c>
      <c r="B860" s="1">
        <v>45259</v>
      </c>
      <c r="C860" t="s">
        <v>366</v>
      </c>
      <c r="D860">
        <v>35</v>
      </c>
      <c r="E860" t="s">
        <v>23</v>
      </c>
      <c r="F860" t="s">
        <v>54</v>
      </c>
      <c r="G860" t="s">
        <v>180</v>
      </c>
      <c r="H860">
        <v>2</v>
      </c>
      <c r="I860">
        <v>19300</v>
      </c>
      <c r="J860">
        <v>10</v>
      </c>
      <c r="K860" t="s">
        <v>19</v>
      </c>
      <c r="L860" t="s">
        <v>20</v>
      </c>
      <c r="M8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0">
        <v>34740</v>
      </c>
      <c r="O860" t="s">
        <v>45</v>
      </c>
      <c r="P860" t="str">
        <f>_xlfn.IFS(LEFT(indian_retail_raw_1000[[#This Row],[x]],1)="W", "West",LEFT(indian_retail_raw_1000[[#This Row],[x]],1)= "E","East",LEFT(O860,1) = "S", "South",LEFT(O860,1) = "N", "North")</f>
        <v>East</v>
      </c>
      <c r="Q860" t="s">
        <v>54</v>
      </c>
      <c r="R860" t="s">
        <v>23</v>
      </c>
      <c r="S860" t="str">
        <f>TEXT(indian_retail_raw_1000[[#This Row],[Order_Date]],"MMM")</f>
        <v>Nov</v>
      </c>
    </row>
    <row r="861" spans="1:19" x14ac:dyDescent="0.25">
      <c r="A861" t="s">
        <v>1178</v>
      </c>
      <c r="B861" s="1">
        <v>45249</v>
      </c>
      <c r="C861" t="s">
        <v>757</v>
      </c>
      <c r="D861">
        <v>60</v>
      </c>
      <c r="E861" t="s">
        <v>16</v>
      </c>
      <c r="F861" t="s">
        <v>510</v>
      </c>
      <c r="G861" t="s">
        <v>88</v>
      </c>
      <c r="H861">
        <v>1</v>
      </c>
      <c r="I861">
        <v>49700</v>
      </c>
      <c r="J861">
        <v>30</v>
      </c>
      <c r="K861" t="s">
        <v>50</v>
      </c>
      <c r="L861" t="s">
        <v>20</v>
      </c>
      <c r="M8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1">
        <v>34790</v>
      </c>
      <c r="O861" t="s">
        <v>21</v>
      </c>
      <c r="P861" t="str">
        <f>_xlfn.IFS(LEFT(indian_retail_raw_1000[[#This Row],[x]],1)="W", "West",LEFT(indian_retail_raw_1000[[#This Row],[x]],1)= "E","East",LEFT(O861,1) = "S", "South",LEFT(O861,1) = "N", "North")</f>
        <v>South</v>
      </c>
      <c r="Q861" t="s">
        <v>54</v>
      </c>
      <c r="R861" t="s">
        <v>16</v>
      </c>
      <c r="S861" t="str">
        <f>TEXT(indian_retail_raw_1000[[#This Row],[Order_Date]],"MMM")</f>
        <v>Nov</v>
      </c>
    </row>
    <row r="862" spans="1:19" x14ac:dyDescent="0.25">
      <c r="A862" t="s">
        <v>383</v>
      </c>
      <c r="B862" s="1">
        <v>45291</v>
      </c>
      <c r="C862" t="s">
        <v>102</v>
      </c>
      <c r="D862">
        <v>44</v>
      </c>
      <c r="E862" t="s">
        <v>23</v>
      </c>
      <c r="F862" t="s">
        <v>384</v>
      </c>
      <c r="G862" t="s">
        <v>121</v>
      </c>
      <c r="H862">
        <v>7</v>
      </c>
      <c r="I862">
        <v>4984</v>
      </c>
      <c r="J862">
        <v>30</v>
      </c>
      <c r="K862" t="s">
        <v>19</v>
      </c>
      <c r="L862" t="s">
        <v>204</v>
      </c>
      <c r="M8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2">
        <v>34888</v>
      </c>
      <c r="O862" t="s">
        <v>21</v>
      </c>
      <c r="P862" t="str">
        <f>_xlfn.IFS(LEFT(indian_retail_raw_1000[[#This Row],[x]],1)="W", "West",LEFT(indian_retail_raw_1000[[#This Row],[x]],1)= "E","East",LEFT(O862,1) = "S", "South",LEFT(O862,1) = "N", "North")</f>
        <v>South</v>
      </c>
      <c r="Q862" t="s">
        <v>30</v>
      </c>
      <c r="R862" t="s">
        <v>23</v>
      </c>
      <c r="S862" t="str">
        <f>TEXT(indian_retail_raw_1000[[#This Row],[Order_Date]],"MMM")</f>
        <v>Dec</v>
      </c>
    </row>
    <row r="863" spans="1:19" x14ac:dyDescent="0.25">
      <c r="A863" t="s">
        <v>1067</v>
      </c>
      <c r="B863" s="1">
        <v>44935</v>
      </c>
      <c r="C863" t="s">
        <v>393</v>
      </c>
      <c r="D863">
        <v>46</v>
      </c>
      <c r="E863" t="s">
        <v>23</v>
      </c>
      <c r="F863" t="s">
        <v>54</v>
      </c>
      <c r="G863" t="s">
        <v>88</v>
      </c>
      <c r="H863">
        <v>1</v>
      </c>
      <c r="I863">
        <v>38900</v>
      </c>
      <c r="J863">
        <v>10</v>
      </c>
      <c r="K863" t="s">
        <v>50</v>
      </c>
      <c r="L863" t="s">
        <v>20</v>
      </c>
      <c r="M8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3">
        <v>35010</v>
      </c>
      <c r="O863" t="s">
        <v>38</v>
      </c>
      <c r="P863" t="str">
        <f>_xlfn.IFS(LEFT(indian_retail_raw_1000[[#This Row],[x]],1)="W", "West",LEFT(indian_retail_raw_1000[[#This Row],[x]],1)= "E","East",LEFT(O863,1) = "S", "South",LEFT(O863,1) = "N", "North")</f>
        <v>North</v>
      </c>
      <c r="Q863" t="s">
        <v>54</v>
      </c>
      <c r="R863" t="s">
        <v>23</v>
      </c>
      <c r="S863" t="str">
        <f>TEXT(indian_retail_raw_1000[[#This Row],[Order_Date]],"MMM")</f>
        <v>Jan</v>
      </c>
    </row>
    <row r="864" spans="1:19" x14ac:dyDescent="0.25">
      <c r="A864" t="s">
        <v>769</v>
      </c>
      <c r="B864" s="1" t="s">
        <v>1336</v>
      </c>
      <c r="C864" t="s">
        <v>152</v>
      </c>
      <c r="D864">
        <v>29</v>
      </c>
      <c r="E864" t="s">
        <v>23</v>
      </c>
      <c r="F864" t="s">
        <v>103</v>
      </c>
      <c r="G864" t="s">
        <v>77</v>
      </c>
      <c r="H864">
        <v>2</v>
      </c>
      <c r="I864">
        <v>22000</v>
      </c>
      <c r="J864">
        <v>20</v>
      </c>
      <c r="K864" t="s">
        <v>19</v>
      </c>
      <c r="L864" t="s">
        <v>20</v>
      </c>
      <c r="M8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4">
        <v>35200</v>
      </c>
      <c r="O864" t="s">
        <v>38</v>
      </c>
      <c r="P864" t="str">
        <f>_xlfn.IFS(LEFT(indian_retail_raw_1000[[#This Row],[x]],1)="W", "West",LEFT(indian_retail_raw_1000[[#This Row],[x]],1)= "E","East",LEFT(O864,1) = "S", "South",LEFT(O864,1) = "N", "North")</f>
        <v>North</v>
      </c>
      <c r="Q864" t="s">
        <v>54</v>
      </c>
      <c r="R864" t="s">
        <v>23</v>
      </c>
      <c r="S864" t="str">
        <f>TEXT(indian_retail_raw_1000[[#This Row],[Order_Date]],"MMM")</f>
        <v>Null</v>
      </c>
    </row>
    <row r="865" spans="1:19" x14ac:dyDescent="0.25">
      <c r="A865" t="s">
        <v>665</v>
      </c>
      <c r="B865" s="1">
        <v>45062</v>
      </c>
      <c r="C865" t="s">
        <v>192</v>
      </c>
      <c r="D865">
        <v>200</v>
      </c>
      <c r="E865" t="s">
        <v>23</v>
      </c>
      <c r="F865" t="s">
        <v>30</v>
      </c>
      <c r="G865" t="s">
        <v>67</v>
      </c>
      <c r="H865">
        <v>9</v>
      </c>
      <c r="I865">
        <v>4606</v>
      </c>
      <c r="J865">
        <v>15</v>
      </c>
      <c r="K865" t="s">
        <v>50</v>
      </c>
      <c r="L865" t="s">
        <v>378</v>
      </c>
      <c r="M8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65">
        <v>35235.9</v>
      </c>
      <c r="O865" t="s">
        <v>26</v>
      </c>
      <c r="P865" t="str">
        <f>_xlfn.IFS(LEFT(indian_retail_raw_1000[[#This Row],[x]],1)="W", "West",LEFT(indian_retail_raw_1000[[#This Row],[x]],1)= "E","East",LEFT(O865,1) = "S", "South",LEFT(O865,1) = "N", "North")</f>
        <v>West</v>
      </c>
      <c r="Q865" t="s">
        <v>30</v>
      </c>
      <c r="R865" t="s">
        <v>23</v>
      </c>
      <c r="S865" t="str">
        <f>TEXT(indian_retail_raw_1000[[#This Row],[Order_Date]],"MMM")</f>
        <v>May</v>
      </c>
    </row>
    <row r="866" spans="1:19" x14ac:dyDescent="0.25">
      <c r="A866" t="s">
        <v>548</v>
      </c>
      <c r="B866" s="1">
        <v>45178</v>
      </c>
      <c r="C866" t="s">
        <v>128</v>
      </c>
      <c r="D866">
        <v>63</v>
      </c>
      <c r="E866" t="s">
        <v>23</v>
      </c>
      <c r="F866" t="s">
        <v>30</v>
      </c>
      <c r="G866" t="s">
        <v>218</v>
      </c>
      <c r="H866">
        <v>10</v>
      </c>
      <c r="I866">
        <v>3775</v>
      </c>
      <c r="J866">
        <v>5</v>
      </c>
      <c r="K866" t="s">
        <v>19</v>
      </c>
      <c r="L866" t="s">
        <v>20</v>
      </c>
      <c r="M8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6">
        <v>35862.5</v>
      </c>
      <c r="O866" t="s">
        <v>45</v>
      </c>
      <c r="P866" t="str">
        <f>_xlfn.IFS(LEFT(indian_retail_raw_1000[[#This Row],[x]],1)="W", "West",LEFT(indian_retail_raw_1000[[#This Row],[x]],1)= "E","East",LEFT(O866,1) = "S", "South",LEFT(O866,1) = "N", "North")</f>
        <v>East</v>
      </c>
      <c r="Q866" t="s">
        <v>30</v>
      </c>
      <c r="R866" t="s">
        <v>23</v>
      </c>
      <c r="S866" t="str">
        <f>TEXT(indian_retail_raw_1000[[#This Row],[Order_Date]],"MMM")</f>
        <v>Sep</v>
      </c>
    </row>
    <row r="867" spans="1:19" x14ac:dyDescent="0.25">
      <c r="A867" t="s">
        <v>889</v>
      </c>
      <c r="B867" s="1">
        <v>45063</v>
      </c>
      <c r="C867" t="s">
        <v>48</v>
      </c>
      <c r="D867">
        <v>38</v>
      </c>
      <c r="E867" t="s">
        <v>16</v>
      </c>
      <c r="F867" t="s">
        <v>30</v>
      </c>
      <c r="G867" t="s">
        <v>121</v>
      </c>
      <c r="H867">
        <v>6</v>
      </c>
      <c r="I867">
        <v>6051</v>
      </c>
      <c r="J867">
        <v>0</v>
      </c>
      <c r="K867" t="s">
        <v>41</v>
      </c>
      <c r="L867" t="s">
        <v>56</v>
      </c>
      <c r="M8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67">
        <v>36306</v>
      </c>
      <c r="O867" t="s">
        <v>276</v>
      </c>
      <c r="P867" t="str">
        <f>_xlfn.IFS(LEFT(indian_retail_raw_1000[[#This Row],[x]],1)="W", "West",LEFT(indian_retail_raw_1000[[#This Row],[x]],1)= "E","East",LEFT(O867,1) = "S", "South",LEFT(O867,1) = "N", "North")</f>
        <v>North</v>
      </c>
      <c r="Q867" t="s">
        <v>30</v>
      </c>
      <c r="R867" t="s">
        <v>16</v>
      </c>
      <c r="S867" t="str">
        <f>TEXT(indian_retail_raw_1000[[#This Row],[Order_Date]],"MMM")</f>
        <v>May</v>
      </c>
    </row>
    <row r="868" spans="1:19" x14ac:dyDescent="0.25">
      <c r="A868" t="s">
        <v>58</v>
      </c>
      <c r="B868" s="1">
        <v>45251</v>
      </c>
      <c r="C868" t="s">
        <v>59</v>
      </c>
      <c r="D868">
        <v>34</v>
      </c>
      <c r="E868" t="s">
        <v>16</v>
      </c>
      <c r="F868" t="s">
        <v>30</v>
      </c>
      <c r="G868" t="s">
        <v>60</v>
      </c>
      <c r="H868">
        <v>7</v>
      </c>
      <c r="I868">
        <v>6507</v>
      </c>
      <c r="J868">
        <v>20</v>
      </c>
      <c r="K868" t="s">
        <v>50</v>
      </c>
      <c r="L868" t="s">
        <v>20</v>
      </c>
      <c r="M8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8">
        <v>36439.199999999997</v>
      </c>
      <c r="O868" t="s">
        <v>38</v>
      </c>
      <c r="P868" t="str">
        <f>_xlfn.IFS(LEFT(indian_retail_raw_1000[[#This Row],[x]],1)="W", "West",LEFT(indian_retail_raw_1000[[#This Row],[x]],1)= "E","East",LEFT(O868,1) = "S", "South",LEFT(O868,1) = "N", "North")</f>
        <v>North</v>
      </c>
      <c r="Q868" t="s">
        <v>30</v>
      </c>
      <c r="R868" t="s">
        <v>16</v>
      </c>
      <c r="S868" t="str">
        <f>TEXT(indian_retail_raw_1000[[#This Row],[Order_Date]],"MMM")</f>
        <v>Nov</v>
      </c>
    </row>
    <row r="869" spans="1:19" x14ac:dyDescent="0.25">
      <c r="A869" t="s">
        <v>350</v>
      </c>
      <c r="B869" s="1" t="s">
        <v>1336</v>
      </c>
      <c r="C869" t="s">
        <v>156</v>
      </c>
      <c r="D869">
        <v>53</v>
      </c>
      <c r="E869" t="s">
        <v>23</v>
      </c>
      <c r="F869" t="s">
        <v>54</v>
      </c>
      <c r="G869" t="s">
        <v>55</v>
      </c>
      <c r="H869">
        <v>2</v>
      </c>
      <c r="I869">
        <v>26100</v>
      </c>
      <c r="J869">
        <v>30</v>
      </c>
      <c r="K869" t="s">
        <v>41</v>
      </c>
      <c r="L869" t="s">
        <v>56</v>
      </c>
      <c r="M8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69">
        <v>36540</v>
      </c>
      <c r="O869" t="s">
        <v>352</v>
      </c>
      <c r="P869" t="str">
        <f>_xlfn.IFS(LEFT(indian_retail_raw_1000[[#This Row],[x]],1)="W", "West",LEFT(indian_retail_raw_1000[[#This Row],[x]],1)= "E","East",LEFT(O869,1) = "S", "South",LEFT(O869,1) = "N", "North")</f>
        <v>East</v>
      </c>
      <c r="Q869" t="s">
        <v>54</v>
      </c>
      <c r="R869" t="s">
        <v>23</v>
      </c>
      <c r="S869" t="str">
        <f>TEXT(indian_retail_raw_1000[[#This Row],[Order_Date]],"MMM")</f>
        <v>Null</v>
      </c>
    </row>
    <row r="870" spans="1:19" x14ac:dyDescent="0.25">
      <c r="A870" t="s">
        <v>945</v>
      </c>
      <c r="B870" s="1">
        <v>45288</v>
      </c>
      <c r="C870" t="s">
        <v>15</v>
      </c>
      <c r="D870">
        <v>20</v>
      </c>
      <c r="E870" t="s">
        <v>23</v>
      </c>
      <c r="F870" t="s">
        <v>54</v>
      </c>
      <c r="G870" t="s">
        <v>88</v>
      </c>
      <c r="H870">
        <v>1</v>
      </c>
      <c r="I870">
        <v>40800</v>
      </c>
      <c r="J870">
        <v>10</v>
      </c>
      <c r="K870" t="s">
        <v>19</v>
      </c>
      <c r="L870" t="s">
        <v>204</v>
      </c>
      <c r="M8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0">
        <v>36720</v>
      </c>
      <c r="O870" t="s">
        <v>26</v>
      </c>
      <c r="P870" t="str">
        <f>_xlfn.IFS(LEFT(indian_retail_raw_1000[[#This Row],[x]],1)="W", "West",LEFT(indian_retail_raw_1000[[#This Row],[x]],1)= "E","East",LEFT(O870,1) = "S", "South",LEFT(O870,1) = "N", "North")</f>
        <v>West</v>
      </c>
      <c r="Q870" t="s">
        <v>54</v>
      </c>
      <c r="R870" t="s">
        <v>23</v>
      </c>
      <c r="S870" t="str">
        <f>TEXT(indian_retail_raw_1000[[#This Row],[Order_Date]],"MMM")</f>
        <v>Dec</v>
      </c>
    </row>
    <row r="871" spans="1:19" x14ac:dyDescent="0.25">
      <c r="A871" t="s">
        <v>1331</v>
      </c>
      <c r="B871" s="1" t="s">
        <v>1336</v>
      </c>
      <c r="C871" t="s">
        <v>152</v>
      </c>
      <c r="D871">
        <v>44</v>
      </c>
      <c r="E871" t="s">
        <v>16</v>
      </c>
      <c r="F871" t="s">
        <v>54</v>
      </c>
      <c r="G871" t="s">
        <v>237</v>
      </c>
      <c r="H871">
        <v>1</v>
      </c>
      <c r="I871">
        <v>49100</v>
      </c>
      <c r="J871">
        <v>25</v>
      </c>
      <c r="K871" t="s">
        <v>19</v>
      </c>
      <c r="L871" t="s">
        <v>449</v>
      </c>
      <c r="M8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1">
        <v>36825</v>
      </c>
      <c r="O871" t="s">
        <v>26</v>
      </c>
      <c r="P871" t="str">
        <f>_xlfn.IFS(LEFT(indian_retail_raw_1000[[#This Row],[x]],1)="W", "West",LEFT(indian_retail_raw_1000[[#This Row],[x]],1)= "E","East",LEFT(O871,1) = "S", "South",LEFT(O871,1) = "N", "North")</f>
        <v>West</v>
      </c>
      <c r="Q871" t="s">
        <v>54</v>
      </c>
      <c r="R871" t="s">
        <v>16</v>
      </c>
      <c r="S871" t="str">
        <f>TEXT(indian_retail_raw_1000[[#This Row],[Order_Date]],"MMM")</f>
        <v>Null</v>
      </c>
    </row>
    <row r="872" spans="1:19" x14ac:dyDescent="0.25">
      <c r="A872" t="s">
        <v>625</v>
      </c>
      <c r="B872" s="1" t="s">
        <v>1336</v>
      </c>
      <c r="C872" t="s">
        <v>53</v>
      </c>
      <c r="D872">
        <v>60</v>
      </c>
      <c r="E872" t="s">
        <v>23</v>
      </c>
      <c r="F872" t="s">
        <v>254</v>
      </c>
      <c r="G872" t="s">
        <v>55</v>
      </c>
      <c r="H872">
        <v>2</v>
      </c>
      <c r="I872">
        <v>31600</v>
      </c>
      <c r="J872">
        <v>40</v>
      </c>
      <c r="K872" t="s">
        <v>19</v>
      </c>
      <c r="L872" t="s">
        <v>20</v>
      </c>
      <c r="M8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2">
        <v>37920</v>
      </c>
      <c r="O872" t="s">
        <v>38</v>
      </c>
      <c r="P872" t="str">
        <f>_xlfn.IFS(LEFT(indian_retail_raw_1000[[#This Row],[x]],1)="W", "West",LEFT(indian_retail_raw_1000[[#This Row],[x]],1)= "E","East",LEFT(O872,1) = "S", "South",LEFT(O872,1) = "N", "North")</f>
        <v>North</v>
      </c>
      <c r="Q872" t="s">
        <v>54</v>
      </c>
      <c r="R872" t="s">
        <v>23</v>
      </c>
      <c r="S872" t="str">
        <f>TEXT(indian_retail_raw_1000[[#This Row],[Order_Date]],"MMM")</f>
        <v>Null</v>
      </c>
    </row>
    <row r="873" spans="1:19" x14ac:dyDescent="0.25">
      <c r="A873" t="s">
        <v>561</v>
      </c>
      <c r="B873" s="1">
        <v>44995</v>
      </c>
      <c r="C873" t="s">
        <v>1336</v>
      </c>
      <c r="D873">
        <v>23</v>
      </c>
      <c r="E873" t="s">
        <v>138</v>
      </c>
      <c r="F873" t="s">
        <v>54</v>
      </c>
      <c r="G873" t="s">
        <v>55</v>
      </c>
      <c r="H873">
        <v>1</v>
      </c>
      <c r="I873">
        <v>40200</v>
      </c>
      <c r="J873">
        <v>5</v>
      </c>
      <c r="K873" t="s">
        <v>19</v>
      </c>
      <c r="L873" t="s">
        <v>20</v>
      </c>
      <c r="M8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3">
        <v>38190</v>
      </c>
      <c r="O873" t="s">
        <v>38</v>
      </c>
      <c r="P873" t="str">
        <f>_xlfn.IFS(LEFT(indian_retail_raw_1000[[#This Row],[x]],1)="W", "West",LEFT(indian_retail_raw_1000[[#This Row],[x]],1)= "E","East",LEFT(O873,1) = "S", "South",LEFT(O873,1) = "N", "North")</f>
        <v>North</v>
      </c>
      <c r="Q873" t="s">
        <v>54</v>
      </c>
      <c r="R873" t="s">
        <v>138</v>
      </c>
      <c r="S873" t="str">
        <f>TEXT(indian_retail_raw_1000[[#This Row],[Order_Date]],"MMM")</f>
        <v>Mar</v>
      </c>
    </row>
    <row r="874" spans="1:19" x14ac:dyDescent="0.25">
      <c r="A874" t="s">
        <v>505</v>
      </c>
      <c r="B874" s="1" t="s">
        <v>1336</v>
      </c>
      <c r="C874" t="s">
        <v>192</v>
      </c>
      <c r="D874">
        <v>37</v>
      </c>
      <c r="E874" t="s">
        <v>16</v>
      </c>
      <c r="F874" t="s">
        <v>54</v>
      </c>
      <c r="G874" t="s">
        <v>88</v>
      </c>
      <c r="H874">
        <v>1</v>
      </c>
      <c r="I874">
        <v>43200</v>
      </c>
      <c r="J874">
        <v>10</v>
      </c>
      <c r="K874" t="s">
        <v>25</v>
      </c>
      <c r="L874" t="s">
        <v>20</v>
      </c>
      <c r="M8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4">
        <v>38880</v>
      </c>
      <c r="O874" t="s">
        <v>375</v>
      </c>
      <c r="P874" t="str">
        <f>_xlfn.IFS(LEFT(indian_retail_raw_1000[[#This Row],[x]],1)="W", "West",LEFT(indian_retail_raw_1000[[#This Row],[x]],1)= "E","East",LEFT(O874,1) = "S", "South",LEFT(O874,1) = "N", "North")</f>
        <v>North</v>
      </c>
      <c r="Q874" t="s">
        <v>54</v>
      </c>
      <c r="R874" t="s">
        <v>16</v>
      </c>
      <c r="S874" t="str">
        <f>TEXT(indian_retail_raw_1000[[#This Row],[Order_Date]],"MMM")</f>
        <v>Null</v>
      </c>
    </row>
    <row r="875" spans="1:19" x14ac:dyDescent="0.25">
      <c r="A875" t="s">
        <v>1027</v>
      </c>
      <c r="B875" s="1">
        <v>44977</v>
      </c>
      <c r="C875" t="s">
        <v>355</v>
      </c>
      <c r="D875">
        <v>27</v>
      </c>
      <c r="E875" t="s">
        <v>16</v>
      </c>
      <c r="F875" t="s">
        <v>35</v>
      </c>
      <c r="G875" t="s">
        <v>63</v>
      </c>
      <c r="H875">
        <v>10</v>
      </c>
      <c r="I875">
        <v>4869</v>
      </c>
      <c r="J875">
        <v>20</v>
      </c>
      <c r="K875" t="s">
        <v>25</v>
      </c>
      <c r="L875" t="s">
        <v>20</v>
      </c>
      <c r="M8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5">
        <v>38952</v>
      </c>
      <c r="O875" t="s">
        <v>21</v>
      </c>
      <c r="P875" t="str">
        <f>_xlfn.IFS(LEFT(indian_retail_raw_1000[[#This Row],[x]],1)="W", "West",LEFT(indian_retail_raw_1000[[#This Row],[x]],1)= "E","East",LEFT(O875,1) = "S", "South",LEFT(O875,1) = "N", "North")</f>
        <v>South</v>
      </c>
      <c r="Q875" t="s">
        <v>35</v>
      </c>
      <c r="R875" t="s">
        <v>16</v>
      </c>
      <c r="S875" t="str">
        <f>TEXT(indian_retail_raw_1000[[#This Row],[Order_Date]],"MMM")</f>
        <v>Feb</v>
      </c>
    </row>
    <row r="876" spans="1:19" x14ac:dyDescent="0.25">
      <c r="A876" t="s">
        <v>937</v>
      </c>
      <c r="B876" s="1">
        <v>44990</v>
      </c>
      <c r="C876" t="s">
        <v>1336</v>
      </c>
      <c r="D876">
        <v>45</v>
      </c>
      <c r="E876" t="s">
        <v>23</v>
      </c>
      <c r="F876" t="s">
        <v>54</v>
      </c>
      <c r="G876" t="s">
        <v>88</v>
      </c>
      <c r="H876">
        <v>1</v>
      </c>
      <c r="I876">
        <v>49500</v>
      </c>
      <c r="J876">
        <v>20</v>
      </c>
      <c r="K876" t="s">
        <v>25</v>
      </c>
      <c r="L876" t="s">
        <v>20</v>
      </c>
      <c r="M8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6">
        <v>39600</v>
      </c>
      <c r="O876" t="s">
        <v>38</v>
      </c>
      <c r="P876" t="str">
        <f>_xlfn.IFS(LEFT(indian_retail_raw_1000[[#This Row],[x]],1)="W", "West",LEFT(indian_retail_raw_1000[[#This Row],[x]],1)= "E","East",LEFT(O876,1) = "S", "South",LEFT(O876,1) = "N", "North")</f>
        <v>North</v>
      </c>
      <c r="Q876" t="s">
        <v>54</v>
      </c>
      <c r="R876" t="s">
        <v>23</v>
      </c>
      <c r="S876" t="str">
        <f>TEXT(indian_retail_raw_1000[[#This Row],[Order_Date]],"MMM")</f>
        <v>Mar</v>
      </c>
    </row>
    <row r="877" spans="1:19" x14ac:dyDescent="0.25">
      <c r="A877" t="s">
        <v>919</v>
      </c>
      <c r="B877" s="1" t="s">
        <v>1336</v>
      </c>
      <c r="C877" t="s">
        <v>431</v>
      </c>
      <c r="D877">
        <v>30</v>
      </c>
      <c r="E877" t="s">
        <v>23</v>
      </c>
      <c r="F877" t="s">
        <v>54</v>
      </c>
      <c r="G877" t="s">
        <v>88</v>
      </c>
      <c r="H877">
        <v>1</v>
      </c>
      <c r="I877">
        <v>44200</v>
      </c>
      <c r="J877">
        <v>10</v>
      </c>
      <c r="K877" t="s">
        <v>19</v>
      </c>
      <c r="L877" t="s">
        <v>51</v>
      </c>
      <c r="M8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77">
        <v>39780</v>
      </c>
      <c r="O877" t="s">
        <v>45</v>
      </c>
      <c r="P877" t="str">
        <f>_xlfn.IFS(LEFT(indian_retail_raw_1000[[#This Row],[x]],1)="W", "West",LEFT(indian_retail_raw_1000[[#This Row],[x]],1)= "E","East",LEFT(O877,1) = "S", "South",LEFT(O877,1) = "N", "North")</f>
        <v>East</v>
      </c>
      <c r="Q877" t="s">
        <v>54</v>
      </c>
      <c r="R877" t="s">
        <v>23</v>
      </c>
      <c r="S877" t="str">
        <f>TEXT(indian_retail_raw_1000[[#This Row],[Order_Date]],"MMM")</f>
        <v>Null</v>
      </c>
    </row>
    <row r="878" spans="1:19" x14ac:dyDescent="0.25">
      <c r="A878" t="s">
        <v>1026</v>
      </c>
      <c r="B878" s="1" t="s">
        <v>1336</v>
      </c>
      <c r="C878" t="s">
        <v>170</v>
      </c>
      <c r="D878">
        <v>150</v>
      </c>
      <c r="E878" t="s">
        <v>23</v>
      </c>
      <c r="F878" t="s">
        <v>347</v>
      </c>
      <c r="G878" t="s">
        <v>88</v>
      </c>
      <c r="H878">
        <v>1</v>
      </c>
      <c r="I878">
        <v>40100</v>
      </c>
      <c r="J878">
        <v>0</v>
      </c>
      <c r="K878" t="s">
        <v>50</v>
      </c>
      <c r="L878" t="s">
        <v>20</v>
      </c>
      <c r="M8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8">
        <v>40100</v>
      </c>
      <c r="O878" t="s">
        <v>26</v>
      </c>
      <c r="P878" t="str">
        <f>_xlfn.IFS(LEFT(indian_retail_raw_1000[[#This Row],[x]],1)="W", "West",LEFT(indian_retail_raw_1000[[#This Row],[x]],1)= "E","East",LEFT(O878,1) = "S", "South",LEFT(O878,1) = "N", "North")</f>
        <v>West</v>
      </c>
      <c r="Q878" t="s">
        <v>54</v>
      </c>
      <c r="R878" t="s">
        <v>23</v>
      </c>
      <c r="S878" t="str">
        <f>TEXT(indian_retail_raw_1000[[#This Row],[Order_Date]],"MMM")</f>
        <v>Null</v>
      </c>
    </row>
    <row r="879" spans="1:19" x14ac:dyDescent="0.25">
      <c r="A879" t="s">
        <v>667</v>
      </c>
      <c r="B879" s="1">
        <v>45005</v>
      </c>
      <c r="C879" t="s">
        <v>170</v>
      </c>
      <c r="D879">
        <v>44</v>
      </c>
      <c r="E879" t="s">
        <v>16</v>
      </c>
      <c r="F879" t="s">
        <v>54</v>
      </c>
      <c r="G879" t="s">
        <v>237</v>
      </c>
      <c r="H879">
        <v>1</v>
      </c>
      <c r="I879">
        <v>40500</v>
      </c>
      <c r="J879">
        <v>0</v>
      </c>
      <c r="K879" t="s">
        <v>50</v>
      </c>
      <c r="L879" t="s">
        <v>20</v>
      </c>
      <c r="M8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9">
        <v>40500</v>
      </c>
      <c r="O879" t="s">
        <v>21</v>
      </c>
      <c r="P879" t="str">
        <f>_xlfn.IFS(LEFT(indian_retail_raw_1000[[#This Row],[x]],1)="W", "West",LEFT(indian_retail_raw_1000[[#This Row],[x]],1)= "E","East",LEFT(O879,1) = "S", "South",LEFT(O879,1) = "N", "North")</f>
        <v>South</v>
      </c>
      <c r="Q879" t="s">
        <v>54</v>
      </c>
      <c r="R879" t="s">
        <v>16</v>
      </c>
      <c r="S879" t="str">
        <f>TEXT(indian_retail_raw_1000[[#This Row],[Order_Date]],"MMM")</f>
        <v>Mar</v>
      </c>
    </row>
    <row r="880" spans="1:19" x14ac:dyDescent="0.25">
      <c r="A880" t="s">
        <v>279</v>
      </c>
      <c r="B880" s="1" t="s">
        <v>1336</v>
      </c>
      <c r="C880" t="s">
        <v>152</v>
      </c>
      <c r="D880">
        <v>48</v>
      </c>
      <c r="E880" t="s">
        <v>16</v>
      </c>
      <c r="F880" t="s">
        <v>54</v>
      </c>
      <c r="G880" t="s">
        <v>280</v>
      </c>
      <c r="H880">
        <v>1</v>
      </c>
      <c r="I880">
        <v>42700</v>
      </c>
      <c r="J880">
        <v>5</v>
      </c>
      <c r="K880" t="s">
        <v>32</v>
      </c>
      <c r="L880" t="s">
        <v>51</v>
      </c>
      <c r="M8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80">
        <v>40565</v>
      </c>
      <c r="O880" t="s">
        <v>38</v>
      </c>
      <c r="P880" t="str">
        <f>_xlfn.IFS(LEFT(indian_retail_raw_1000[[#This Row],[x]],1)="W", "West",LEFT(indian_retail_raw_1000[[#This Row],[x]],1)= "E","East",LEFT(O880,1) = "S", "South",LEFT(O880,1) = "N", "North")</f>
        <v>North</v>
      </c>
      <c r="Q880" t="s">
        <v>54</v>
      </c>
      <c r="R880" t="s">
        <v>16</v>
      </c>
      <c r="S880" t="str">
        <f>TEXT(indian_retail_raw_1000[[#This Row],[Order_Date]],"MMM")</f>
        <v>Null</v>
      </c>
    </row>
    <row r="881" spans="1:19" x14ac:dyDescent="0.25">
      <c r="A881" t="s">
        <v>1162</v>
      </c>
      <c r="B881" s="1" t="s">
        <v>1336</v>
      </c>
      <c r="C881" t="s">
        <v>672</v>
      </c>
      <c r="D881">
        <v>26</v>
      </c>
      <c r="E881" t="s">
        <v>490</v>
      </c>
      <c r="F881" t="s">
        <v>30</v>
      </c>
      <c r="G881" t="s">
        <v>224</v>
      </c>
      <c r="H881">
        <v>9</v>
      </c>
      <c r="I881">
        <v>502590</v>
      </c>
      <c r="J881">
        <v>10</v>
      </c>
      <c r="K881" t="s">
        <v>25</v>
      </c>
      <c r="L881" t="s">
        <v>20</v>
      </c>
      <c r="M8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1">
        <v>40709</v>
      </c>
      <c r="O881" t="s">
        <v>894</v>
      </c>
      <c r="P881" t="str">
        <f>_xlfn.IFS(LEFT(indian_retail_raw_1000[[#This Row],[x]],1)="W", "West",LEFT(indian_retail_raw_1000[[#This Row],[x]],1)= "E","East",LEFT(O881,1) = "S", "South",LEFT(O881,1) = "N", "North")</f>
        <v>North</v>
      </c>
      <c r="Q881" t="s">
        <v>30</v>
      </c>
      <c r="R881" t="s">
        <v>16</v>
      </c>
      <c r="S881" t="str">
        <f>TEXT(indian_retail_raw_1000[[#This Row],[Order_Date]],"MMM")</f>
        <v>Null</v>
      </c>
    </row>
    <row r="882" spans="1:19" x14ac:dyDescent="0.25">
      <c r="A882" t="s">
        <v>702</v>
      </c>
      <c r="B882" s="1">
        <v>45279</v>
      </c>
      <c r="C882" t="s">
        <v>1336</v>
      </c>
      <c r="D882">
        <v>63</v>
      </c>
      <c r="E882" t="s">
        <v>23</v>
      </c>
      <c r="F882" t="s">
        <v>54</v>
      </c>
      <c r="G882" t="s">
        <v>282</v>
      </c>
      <c r="H882">
        <v>2</v>
      </c>
      <c r="I882">
        <v>21100</v>
      </c>
      <c r="J882">
        <v>0</v>
      </c>
      <c r="K882" t="s">
        <v>50</v>
      </c>
      <c r="L882" t="s">
        <v>684</v>
      </c>
      <c r="M8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82">
        <v>42200</v>
      </c>
      <c r="O882" t="s">
        <v>45</v>
      </c>
      <c r="P882" t="str">
        <f>_xlfn.IFS(LEFT(indian_retail_raw_1000[[#This Row],[x]],1)="W", "West",LEFT(indian_retail_raw_1000[[#This Row],[x]],1)= "E","East",LEFT(O882,1) = "S", "South",LEFT(O882,1) = "N", "North")</f>
        <v>East</v>
      </c>
      <c r="Q882" t="s">
        <v>54</v>
      </c>
      <c r="R882" t="s">
        <v>23</v>
      </c>
      <c r="S882" t="str">
        <f>TEXT(indian_retail_raw_1000[[#This Row],[Order_Date]],"MMM")</f>
        <v>Dec</v>
      </c>
    </row>
    <row r="883" spans="1:19" x14ac:dyDescent="0.25">
      <c r="A883" t="s">
        <v>1000</v>
      </c>
      <c r="B883" s="1">
        <v>44991</v>
      </c>
      <c r="C883" t="s">
        <v>366</v>
      </c>
      <c r="D883">
        <v>27</v>
      </c>
      <c r="E883" t="s">
        <v>16</v>
      </c>
      <c r="F883" t="s">
        <v>54</v>
      </c>
      <c r="G883" t="s">
        <v>180</v>
      </c>
      <c r="H883">
        <v>2</v>
      </c>
      <c r="I883">
        <v>21300</v>
      </c>
      <c r="J883">
        <v>0</v>
      </c>
      <c r="K883" t="s">
        <v>41</v>
      </c>
      <c r="L883" t="s">
        <v>20</v>
      </c>
      <c r="M8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3">
        <v>42600</v>
      </c>
      <c r="O883" t="s">
        <v>26</v>
      </c>
      <c r="P883" t="str">
        <f>_xlfn.IFS(LEFT(indian_retail_raw_1000[[#This Row],[x]],1)="W", "West",LEFT(indian_retail_raw_1000[[#This Row],[x]],1)= "E","East",LEFT(O883,1) = "S", "South",LEFT(O883,1) = "N", "North")</f>
        <v>West</v>
      </c>
      <c r="Q883" t="s">
        <v>54</v>
      </c>
      <c r="R883" t="s">
        <v>16</v>
      </c>
      <c r="S883" t="str">
        <f>TEXT(indian_retail_raw_1000[[#This Row],[Order_Date]],"MMM")</f>
        <v>Mar</v>
      </c>
    </row>
    <row r="884" spans="1:19" x14ac:dyDescent="0.25">
      <c r="A884" t="s">
        <v>511</v>
      </c>
      <c r="B884" s="1" t="s">
        <v>1336</v>
      </c>
      <c r="C884" t="s">
        <v>1336</v>
      </c>
      <c r="D884">
        <v>48</v>
      </c>
      <c r="E884" t="s">
        <v>16</v>
      </c>
      <c r="F884" t="s">
        <v>30</v>
      </c>
      <c r="G884" t="s">
        <v>60</v>
      </c>
      <c r="H884">
        <v>8</v>
      </c>
      <c r="I884">
        <v>5326</v>
      </c>
      <c r="J884">
        <v>10</v>
      </c>
      <c r="K884" t="s">
        <v>25</v>
      </c>
      <c r="L884" t="s">
        <v>20</v>
      </c>
      <c r="M8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4">
        <v>42608</v>
      </c>
      <c r="O884" t="s">
        <v>21</v>
      </c>
      <c r="P884" t="str">
        <f>_xlfn.IFS(LEFT(indian_retail_raw_1000[[#This Row],[x]],1)="W", "West",LEFT(indian_retail_raw_1000[[#This Row],[x]],1)= "E","East",LEFT(O884,1) = "S", "South",LEFT(O884,1) = "N", "North")</f>
        <v>South</v>
      </c>
      <c r="Q884" t="s">
        <v>30</v>
      </c>
      <c r="R884" t="s">
        <v>16</v>
      </c>
      <c r="S884" t="str">
        <f>TEXT(indian_retail_raw_1000[[#This Row],[Order_Date]],"MMM")</f>
        <v>Null</v>
      </c>
    </row>
    <row r="885" spans="1:19" x14ac:dyDescent="0.25">
      <c r="A885" t="s">
        <v>917</v>
      </c>
      <c r="B885" s="1">
        <v>44959</v>
      </c>
      <c r="C885" t="s">
        <v>48</v>
      </c>
      <c r="D885">
        <v>47</v>
      </c>
      <c r="E885" t="s">
        <v>138</v>
      </c>
      <c r="F885" t="s">
        <v>30</v>
      </c>
      <c r="G885" t="s">
        <v>540</v>
      </c>
      <c r="H885">
        <v>99</v>
      </c>
      <c r="I885">
        <v>4788</v>
      </c>
      <c r="J885">
        <v>10</v>
      </c>
      <c r="K885" t="s">
        <v>95</v>
      </c>
      <c r="L885" t="s">
        <v>51</v>
      </c>
      <c r="M8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85">
        <v>42660.800000000003</v>
      </c>
      <c r="O885" t="s">
        <v>21</v>
      </c>
      <c r="P885" t="str">
        <f>_xlfn.IFS(LEFT(indian_retail_raw_1000[[#This Row],[x]],1)="W", "West",LEFT(indian_retail_raw_1000[[#This Row],[x]],1)= "E","East",LEFT(O885,1) = "S", "South",LEFT(O885,1) = "N", "North")</f>
        <v>South</v>
      </c>
      <c r="Q885" t="s">
        <v>30</v>
      </c>
      <c r="R885" t="s">
        <v>138</v>
      </c>
      <c r="S885" t="str">
        <f>TEXT(indian_retail_raw_1000[[#This Row],[Order_Date]],"MMM")</f>
        <v>Feb</v>
      </c>
    </row>
    <row r="886" spans="1:19" x14ac:dyDescent="0.25">
      <c r="A886" t="s">
        <v>283</v>
      </c>
      <c r="B886" s="1">
        <v>45257</v>
      </c>
      <c r="C886" t="s">
        <v>160</v>
      </c>
      <c r="D886">
        <v>43</v>
      </c>
      <c r="E886" t="s">
        <v>23</v>
      </c>
      <c r="F886" t="s">
        <v>30</v>
      </c>
      <c r="G886" t="s">
        <v>195</v>
      </c>
      <c r="H886">
        <v>9</v>
      </c>
      <c r="I886">
        <v>4831</v>
      </c>
      <c r="J886">
        <v>0</v>
      </c>
      <c r="K886" t="s">
        <v>64</v>
      </c>
      <c r="L886" t="s">
        <v>51</v>
      </c>
      <c r="M8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86">
        <v>43479</v>
      </c>
      <c r="O886" t="s">
        <v>21</v>
      </c>
      <c r="P886" t="str">
        <f>_xlfn.IFS(LEFT(indian_retail_raw_1000[[#This Row],[x]],1)="W", "West",LEFT(indian_retail_raw_1000[[#This Row],[x]],1)= "E","East",LEFT(O886,1) = "S", "South",LEFT(O886,1) = "N", "North")</f>
        <v>South</v>
      </c>
      <c r="Q886" t="s">
        <v>30</v>
      </c>
      <c r="R886" t="s">
        <v>23</v>
      </c>
      <c r="S886" t="str">
        <f>TEXT(indian_retail_raw_1000[[#This Row],[Order_Date]],"MMM")</f>
        <v>Nov</v>
      </c>
    </row>
    <row r="887" spans="1:19" x14ac:dyDescent="0.25">
      <c r="A887" t="s">
        <v>382</v>
      </c>
      <c r="B887" s="1">
        <v>45239</v>
      </c>
      <c r="C887" t="s">
        <v>156</v>
      </c>
      <c r="D887">
        <v>32</v>
      </c>
      <c r="E887" t="s">
        <v>29</v>
      </c>
      <c r="F887" t="s">
        <v>30</v>
      </c>
      <c r="G887" t="s">
        <v>121</v>
      </c>
      <c r="H887">
        <v>9</v>
      </c>
      <c r="I887">
        <v>6940</v>
      </c>
      <c r="J887">
        <v>30</v>
      </c>
      <c r="K887" t="s">
        <v>50</v>
      </c>
      <c r="L887" t="s">
        <v>51</v>
      </c>
      <c r="M8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87">
        <v>43722</v>
      </c>
      <c r="O887" t="s">
        <v>21</v>
      </c>
      <c r="P887" t="str">
        <f>_xlfn.IFS(LEFT(indian_retail_raw_1000[[#This Row],[x]],1)="W", "West",LEFT(indian_retail_raw_1000[[#This Row],[x]],1)= "E","East",LEFT(O887,1) = "S", "South",LEFT(O887,1) = "N", "North")</f>
        <v>South</v>
      </c>
      <c r="Q887" t="s">
        <v>30</v>
      </c>
      <c r="R887" t="s">
        <v>16</v>
      </c>
      <c r="S887" t="str">
        <f>TEXT(indian_retail_raw_1000[[#This Row],[Order_Date]],"MMM")</f>
        <v>Nov</v>
      </c>
    </row>
    <row r="888" spans="1:19" x14ac:dyDescent="0.25">
      <c r="A888" t="s">
        <v>1326</v>
      </c>
      <c r="B888" s="1" t="s">
        <v>1336</v>
      </c>
      <c r="C888" t="s">
        <v>156</v>
      </c>
      <c r="D888">
        <v>37</v>
      </c>
      <c r="E888" t="s">
        <v>23</v>
      </c>
      <c r="F888" t="s">
        <v>30</v>
      </c>
      <c r="G888" t="s">
        <v>195</v>
      </c>
      <c r="H888">
        <v>6</v>
      </c>
      <c r="I888">
        <v>734488</v>
      </c>
      <c r="J888">
        <v>0</v>
      </c>
      <c r="K888" t="s">
        <v>50</v>
      </c>
      <c r="L888" t="s">
        <v>20</v>
      </c>
      <c r="M8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8">
        <v>44069</v>
      </c>
      <c r="O888" t="s">
        <v>21</v>
      </c>
      <c r="P888" t="str">
        <f>_xlfn.IFS(LEFT(indian_retail_raw_1000[[#This Row],[x]],1)="W", "West",LEFT(indian_retail_raw_1000[[#This Row],[x]],1)= "E","East",LEFT(O888,1) = "S", "South",LEFT(O888,1) = "N", "North")</f>
        <v>South</v>
      </c>
      <c r="Q888" t="s">
        <v>30</v>
      </c>
      <c r="R888" t="s">
        <v>23</v>
      </c>
      <c r="S888" t="str">
        <f>TEXT(indian_retail_raw_1000[[#This Row],[Order_Date]],"MMM")</f>
        <v>Null</v>
      </c>
    </row>
    <row r="889" spans="1:19" x14ac:dyDescent="0.25">
      <c r="A889" t="s">
        <v>435</v>
      </c>
      <c r="B889" s="1">
        <v>45206</v>
      </c>
      <c r="C889" t="s">
        <v>156</v>
      </c>
      <c r="D889">
        <v>29</v>
      </c>
      <c r="E889" t="s">
        <v>16</v>
      </c>
      <c r="F889" t="s">
        <v>54</v>
      </c>
      <c r="G889" t="s">
        <v>237</v>
      </c>
      <c r="H889">
        <v>1</v>
      </c>
      <c r="I889">
        <v>52000</v>
      </c>
      <c r="J889">
        <v>15</v>
      </c>
      <c r="K889" t="s">
        <v>19</v>
      </c>
      <c r="L889" t="s">
        <v>20</v>
      </c>
      <c r="M8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9">
        <v>44200</v>
      </c>
      <c r="O889" t="s">
        <v>26</v>
      </c>
      <c r="P889" t="str">
        <f>_xlfn.IFS(LEFT(indian_retail_raw_1000[[#This Row],[x]],1)="W", "West",LEFT(indian_retail_raw_1000[[#This Row],[x]],1)= "E","East",LEFT(O889,1) = "S", "South",LEFT(O889,1) = "N", "North")</f>
        <v>West</v>
      </c>
      <c r="Q889" t="s">
        <v>54</v>
      </c>
      <c r="R889" t="s">
        <v>16</v>
      </c>
      <c r="S889" t="str">
        <f>TEXT(indian_retail_raw_1000[[#This Row],[Order_Date]],"MMM")</f>
        <v>Oct</v>
      </c>
    </row>
    <row r="890" spans="1:19" x14ac:dyDescent="0.25">
      <c r="A890" t="s">
        <v>400</v>
      </c>
      <c r="B890" s="1">
        <v>45106</v>
      </c>
      <c r="C890" t="s">
        <v>28</v>
      </c>
      <c r="D890">
        <v>64</v>
      </c>
      <c r="E890" t="s">
        <v>16</v>
      </c>
      <c r="F890" t="s">
        <v>54</v>
      </c>
      <c r="G890" t="s">
        <v>77</v>
      </c>
      <c r="H890">
        <v>2</v>
      </c>
      <c r="I890">
        <v>22400</v>
      </c>
      <c r="J890">
        <v>0</v>
      </c>
      <c r="K890" t="s">
        <v>25</v>
      </c>
      <c r="L890" t="s">
        <v>51</v>
      </c>
      <c r="M8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90">
        <v>44800</v>
      </c>
      <c r="O890" t="s">
        <v>45</v>
      </c>
      <c r="P890" t="str">
        <f>_xlfn.IFS(LEFT(indian_retail_raw_1000[[#This Row],[x]],1)="W", "West",LEFT(indian_retail_raw_1000[[#This Row],[x]],1)= "E","East",LEFT(O890,1) = "S", "South",LEFT(O890,1) = "N", "North")</f>
        <v>East</v>
      </c>
      <c r="Q890" t="s">
        <v>54</v>
      </c>
      <c r="R890" t="s">
        <v>16</v>
      </c>
      <c r="S890" t="str">
        <f>TEXT(indian_retail_raw_1000[[#This Row],[Order_Date]],"MMM")</f>
        <v>Jun</v>
      </c>
    </row>
    <row r="891" spans="1:19" x14ac:dyDescent="0.25">
      <c r="A891" t="s">
        <v>133</v>
      </c>
      <c r="B891" s="1" t="s">
        <v>1336</v>
      </c>
      <c r="C891" t="s">
        <v>48</v>
      </c>
      <c r="D891">
        <v>40</v>
      </c>
      <c r="E891" t="s">
        <v>23</v>
      </c>
      <c r="F891" t="s">
        <v>30</v>
      </c>
      <c r="G891" t="s">
        <v>135</v>
      </c>
      <c r="H891">
        <v>7</v>
      </c>
      <c r="I891">
        <v>8092</v>
      </c>
      <c r="J891">
        <v>20</v>
      </c>
      <c r="K891" t="s">
        <v>19</v>
      </c>
      <c r="L891" t="s">
        <v>56</v>
      </c>
      <c r="M8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91">
        <v>45315.199999999997</v>
      </c>
      <c r="O891" t="s">
        <v>26</v>
      </c>
      <c r="P891" t="str">
        <f>_xlfn.IFS(LEFT(indian_retail_raw_1000[[#This Row],[x]],1)="W", "West",LEFT(indian_retail_raw_1000[[#This Row],[x]],1)= "E","East",LEFT(O891,1) = "S", "South",LEFT(O891,1) = "N", "North")</f>
        <v>West</v>
      </c>
      <c r="Q891" t="s">
        <v>30</v>
      </c>
      <c r="R891" t="s">
        <v>23</v>
      </c>
      <c r="S891" t="str">
        <f>TEXT(indian_retail_raw_1000[[#This Row],[Order_Date]],"MMM")</f>
        <v>Null</v>
      </c>
    </row>
    <row r="892" spans="1:19" x14ac:dyDescent="0.25">
      <c r="A892" t="s">
        <v>876</v>
      </c>
      <c r="B892" s="1">
        <v>44961</v>
      </c>
      <c r="C892" t="s">
        <v>243</v>
      </c>
      <c r="D892">
        <v>36</v>
      </c>
      <c r="E892" t="s">
        <v>23</v>
      </c>
      <c r="F892" t="s">
        <v>608</v>
      </c>
      <c r="G892" t="s">
        <v>77</v>
      </c>
      <c r="H892">
        <v>2</v>
      </c>
      <c r="I892">
        <v>23900</v>
      </c>
      <c r="J892">
        <v>5</v>
      </c>
      <c r="K892" t="s">
        <v>41</v>
      </c>
      <c r="L892" t="s">
        <v>20</v>
      </c>
      <c r="M8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2">
        <v>45410</v>
      </c>
      <c r="O892" t="s">
        <v>26</v>
      </c>
      <c r="P892" t="str">
        <f>_xlfn.IFS(LEFT(indian_retail_raw_1000[[#This Row],[x]],1)="W", "West",LEFT(indian_retail_raw_1000[[#This Row],[x]],1)= "E","East",LEFT(O892,1) = "S", "South",LEFT(O892,1) = "N", "North")</f>
        <v>West</v>
      </c>
      <c r="Q892" t="s">
        <v>54</v>
      </c>
      <c r="R892" t="s">
        <v>23</v>
      </c>
      <c r="S892" t="str">
        <f>TEXT(indian_retail_raw_1000[[#This Row],[Order_Date]],"MMM")</f>
        <v>Feb</v>
      </c>
    </row>
    <row r="893" spans="1:19" x14ac:dyDescent="0.25">
      <c r="A893" t="s">
        <v>1318</v>
      </c>
      <c r="B893" s="1">
        <v>45128</v>
      </c>
      <c r="C893" t="s">
        <v>1336</v>
      </c>
      <c r="D893">
        <v>19</v>
      </c>
      <c r="E893" t="s">
        <v>23</v>
      </c>
      <c r="F893" t="s">
        <v>129</v>
      </c>
      <c r="G893" t="s">
        <v>135</v>
      </c>
      <c r="H893">
        <v>7</v>
      </c>
      <c r="I893">
        <v>685509</v>
      </c>
      <c r="J893">
        <v>5</v>
      </c>
      <c r="K893" t="s">
        <v>41</v>
      </c>
      <c r="L893" t="s">
        <v>20</v>
      </c>
      <c r="M8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3">
        <v>45586.85</v>
      </c>
      <c r="O893" t="s">
        <v>21</v>
      </c>
      <c r="P893" t="str">
        <f>_xlfn.IFS(LEFT(indian_retail_raw_1000[[#This Row],[x]],1)="W", "West",LEFT(indian_retail_raw_1000[[#This Row],[x]],1)= "E","East",LEFT(O893,1) = "S", "South",LEFT(O893,1) = "N", "North")</f>
        <v>South</v>
      </c>
      <c r="Q893" t="s">
        <v>30</v>
      </c>
      <c r="R893" t="s">
        <v>23</v>
      </c>
      <c r="S893" t="str">
        <f>TEXT(indian_retail_raw_1000[[#This Row],[Order_Date]],"MMM")</f>
        <v>Jul</v>
      </c>
    </row>
    <row r="894" spans="1:19" x14ac:dyDescent="0.25">
      <c r="A894" t="s">
        <v>1291</v>
      </c>
      <c r="B894" s="1">
        <v>45120</v>
      </c>
      <c r="C894" t="s">
        <v>1336</v>
      </c>
      <c r="D894">
        <v>63</v>
      </c>
      <c r="E894" t="s">
        <v>23</v>
      </c>
      <c r="F894" t="s">
        <v>54</v>
      </c>
      <c r="G894" t="s">
        <v>88</v>
      </c>
      <c r="H894">
        <v>1</v>
      </c>
      <c r="I894">
        <v>48100</v>
      </c>
      <c r="J894">
        <v>5</v>
      </c>
      <c r="K894" t="s">
        <v>19</v>
      </c>
      <c r="L894" t="s">
        <v>20</v>
      </c>
      <c r="M8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4">
        <v>45695</v>
      </c>
      <c r="O894" t="s">
        <v>26</v>
      </c>
      <c r="P894" t="str">
        <f>_xlfn.IFS(LEFT(indian_retail_raw_1000[[#This Row],[x]],1)="W", "West",LEFT(indian_retail_raw_1000[[#This Row],[x]],1)= "E","East",LEFT(O894,1) = "S", "South",LEFT(O894,1) = "N", "North")</f>
        <v>West</v>
      </c>
      <c r="Q894" t="s">
        <v>54</v>
      </c>
      <c r="R894" t="s">
        <v>23</v>
      </c>
      <c r="S894" t="str">
        <f>TEXT(indian_retail_raw_1000[[#This Row],[Order_Date]],"MMM")</f>
        <v>Jul</v>
      </c>
    </row>
    <row r="895" spans="1:19" x14ac:dyDescent="0.25">
      <c r="A895" t="s">
        <v>1256</v>
      </c>
      <c r="B895" s="1" t="s">
        <v>1336</v>
      </c>
      <c r="C895" t="s">
        <v>102</v>
      </c>
      <c r="D895">
        <v>24</v>
      </c>
      <c r="E895" t="s">
        <v>23</v>
      </c>
      <c r="F895" t="s">
        <v>35</v>
      </c>
      <c r="G895" t="s">
        <v>63</v>
      </c>
      <c r="H895">
        <v>10</v>
      </c>
      <c r="I895">
        <v>4604</v>
      </c>
      <c r="J895">
        <v>0</v>
      </c>
      <c r="K895" t="s">
        <v>41</v>
      </c>
      <c r="L895" t="s">
        <v>20</v>
      </c>
      <c r="M8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5">
        <v>46040</v>
      </c>
      <c r="O895" t="s">
        <v>38</v>
      </c>
      <c r="P895" t="str">
        <f>_xlfn.IFS(LEFT(indian_retail_raw_1000[[#This Row],[x]],1)="W", "West",LEFT(indian_retail_raw_1000[[#This Row],[x]],1)= "E","East",LEFT(O895,1) = "S", "South",LEFT(O895,1) = "N", "North")</f>
        <v>North</v>
      </c>
      <c r="Q895" t="s">
        <v>35</v>
      </c>
      <c r="R895" t="s">
        <v>23</v>
      </c>
      <c r="S895" t="str">
        <f>TEXT(indian_retail_raw_1000[[#This Row],[Order_Date]],"MMM")</f>
        <v>Null</v>
      </c>
    </row>
    <row r="896" spans="1:19" x14ac:dyDescent="0.25">
      <c r="A896" t="s">
        <v>911</v>
      </c>
      <c r="B896" s="1">
        <v>45281</v>
      </c>
      <c r="C896" t="s">
        <v>48</v>
      </c>
      <c r="D896">
        <v>19</v>
      </c>
      <c r="E896" t="s">
        <v>16</v>
      </c>
      <c r="F896" t="s">
        <v>70</v>
      </c>
      <c r="G896" t="s">
        <v>124</v>
      </c>
      <c r="H896">
        <v>2</v>
      </c>
      <c r="I896">
        <v>584495</v>
      </c>
      <c r="K896" t="s">
        <v>83</v>
      </c>
      <c r="L896" t="s">
        <v>204</v>
      </c>
      <c r="M8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6">
        <v>46759</v>
      </c>
      <c r="O896" t="s">
        <v>26</v>
      </c>
      <c r="P896" t="str">
        <f>_xlfn.IFS(LEFT(indian_retail_raw_1000[[#This Row],[x]],1)="W", "West",LEFT(indian_retail_raw_1000[[#This Row],[x]],1)= "E","East",LEFT(O896,1) = "S", "South",LEFT(O896,1) = "N", "North")</f>
        <v>West</v>
      </c>
      <c r="Q896" t="s">
        <v>17</v>
      </c>
      <c r="R896" t="s">
        <v>16</v>
      </c>
      <c r="S896" t="str">
        <f>TEXT(indian_retail_raw_1000[[#This Row],[Order_Date]],"MMM")</f>
        <v>Dec</v>
      </c>
    </row>
    <row r="897" spans="1:19" x14ac:dyDescent="0.25">
      <c r="A897" t="s">
        <v>1320</v>
      </c>
      <c r="B897" s="1" t="s">
        <v>1336</v>
      </c>
      <c r="C897" t="s">
        <v>358</v>
      </c>
      <c r="D897">
        <v>32</v>
      </c>
      <c r="E897" t="s">
        <v>16</v>
      </c>
      <c r="F897" t="s">
        <v>30</v>
      </c>
      <c r="G897" t="s">
        <v>121</v>
      </c>
      <c r="H897">
        <v>6</v>
      </c>
      <c r="I897">
        <v>7803</v>
      </c>
      <c r="J897">
        <v>5</v>
      </c>
      <c r="K897" t="s">
        <v>41</v>
      </c>
      <c r="L897" t="s">
        <v>20</v>
      </c>
      <c r="M8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7">
        <v>46818</v>
      </c>
      <c r="O897" t="s">
        <v>108</v>
      </c>
      <c r="P897" t="str">
        <f>_xlfn.IFS(LEFT(indian_retail_raw_1000[[#This Row],[x]],1)="W", "West",LEFT(indian_retail_raw_1000[[#This Row],[x]],1)= "E","East",LEFT(O897,1) = "S", "South",LEFT(O897,1) = "N", "North")</f>
        <v>East</v>
      </c>
      <c r="Q897" t="s">
        <v>30</v>
      </c>
      <c r="R897" t="s">
        <v>16</v>
      </c>
      <c r="S897" t="str">
        <f>TEXT(indian_retail_raw_1000[[#This Row],[Order_Date]],"MMM")</f>
        <v>Null</v>
      </c>
    </row>
    <row r="898" spans="1:19" x14ac:dyDescent="0.25">
      <c r="A898" t="s">
        <v>776</v>
      </c>
      <c r="B898" s="1">
        <v>45245</v>
      </c>
      <c r="C898" t="s">
        <v>504</v>
      </c>
      <c r="D898">
        <v>61</v>
      </c>
      <c r="E898" t="s">
        <v>16</v>
      </c>
      <c r="F898" t="s">
        <v>30</v>
      </c>
      <c r="G898" t="s">
        <v>135</v>
      </c>
      <c r="H898">
        <v>6</v>
      </c>
      <c r="I898">
        <v>8251</v>
      </c>
      <c r="J898">
        <v>5</v>
      </c>
      <c r="K898" t="s">
        <v>95</v>
      </c>
      <c r="L898" t="s">
        <v>20</v>
      </c>
      <c r="M8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8">
        <v>47030.7</v>
      </c>
      <c r="O898" t="s">
        <v>45</v>
      </c>
      <c r="P898" t="str">
        <f>_xlfn.IFS(LEFT(indian_retail_raw_1000[[#This Row],[x]],1)="W", "West",LEFT(indian_retail_raw_1000[[#This Row],[x]],1)= "E","East",LEFT(O898,1) = "S", "South",LEFT(O898,1) = "N", "North")</f>
        <v>East</v>
      </c>
      <c r="Q898" t="s">
        <v>30</v>
      </c>
      <c r="R898" t="s">
        <v>16</v>
      </c>
      <c r="S898" t="str">
        <f>TEXT(indian_retail_raw_1000[[#This Row],[Order_Date]],"MMM")</f>
        <v>Nov</v>
      </c>
    </row>
    <row r="899" spans="1:19" x14ac:dyDescent="0.25">
      <c r="A899" t="s">
        <v>1154</v>
      </c>
      <c r="B899" s="1">
        <v>45054</v>
      </c>
      <c r="C899" t="s">
        <v>79</v>
      </c>
      <c r="D899">
        <v>34</v>
      </c>
      <c r="E899" t="s">
        <v>16</v>
      </c>
      <c r="F899" t="s">
        <v>759</v>
      </c>
      <c r="G899" t="s">
        <v>540</v>
      </c>
      <c r="H899">
        <v>99</v>
      </c>
      <c r="I899">
        <v>4762</v>
      </c>
      <c r="J899">
        <v>0</v>
      </c>
      <c r="K899" t="s">
        <v>41</v>
      </c>
      <c r="L899" t="s">
        <v>20</v>
      </c>
      <c r="M8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9">
        <v>47143</v>
      </c>
      <c r="O899" t="s">
        <v>38</v>
      </c>
      <c r="P899" t="str">
        <f>_xlfn.IFS(LEFT(indian_retail_raw_1000[[#This Row],[x]],1)="W", "West",LEFT(indian_retail_raw_1000[[#This Row],[x]],1)= "E","East",LEFT(O899,1) = "S", "South",LEFT(O899,1) = "N", "North")</f>
        <v>North</v>
      </c>
      <c r="Q899" t="s">
        <v>30</v>
      </c>
      <c r="R899" t="s">
        <v>16</v>
      </c>
      <c r="S899" t="str">
        <f>TEXT(indian_retail_raw_1000[[#This Row],[Order_Date]],"MMM")</f>
        <v>May</v>
      </c>
    </row>
    <row r="900" spans="1:19" x14ac:dyDescent="0.25">
      <c r="A900" t="s">
        <v>418</v>
      </c>
      <c r="B900" s="1">
        <v>45048</v>
      </c>
      <c r="C900" t="s">
        <v>102</v>
      </c>
      <c r="D900">
        <v>47</v>
      </c>
      <c r="E900" t="s">
        <v>23</v>
      </c>
      <c r="F900" t="s">
        <v>54</v>
      </c>
      <c r="G900" t="s">
        <v>348</v>
      </c>
      <c r="H900">
        <v>2</v>
      </c>
      <c r="I900">
        <v>473197</v>
      </c>
      <c r="J900">
        <v>15</v>
      </c>
      <c r="K900" t="s">
        <v>25</v>
      </c>
      <c r="L900" t="s">
        <v>363</v>
      </c>
      <c r="M9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00">
        <v>47319</v>
      </c>
      <c r="O900" t="s">
        <v>26</v>
      </c>
      <c r="P900" t="str">
        <f>_xlfn.IFS(LEFT(indian_retail_raw_1000[[#This Row],[x]],1)="W", "West",LEFT(indian_retail_raw_1000[[#This Row],[x]],1)= "E","East",LEFT(O900,1) = "S", "South",LEFT(O900,1) = "N", "North")</f>
        <v>West</v>
      </c>
      <c r="Q900" t="s">
        <v>54</v>
      </c>
      <c r="R900" t="s">
        <v>23</v>
      </c>
      <c r="S900" t="str">
        <f>TEXT(indian_retail_raw_1000[[#This Row],[Order_Date]],"MMM")</f>
        <v>May</v>
      </c>
    </row>
    <row r="901" spans="1:19" x14ac:dyDescent="0.25">
      <c r="A901" t="s">
        <v>764</v>
      </c>
      <c r="B901" s="1" t="s">
        <v>1336</v>
      </c>
      <c r="C901" t="s">
        <v>165</v>
      </c>
      <c r="E901" t="s">
        <v>23</v>
      </c>
      <c r="F901" t="s">
        <v>54</v>
      </c>
      <c r="G901" t="s">
        <v>88</v>
      </c>
      <c r="H901">
        <v>1</v>
      </c>
      <c r="I901">
        <v>47500</v>
      </c>
      <c r="J901">
        <v>0</v>
      </c>
      <c r="K901" t="s">
        <v>19</v>
      </c>
      <c r="L901" t="s">
        <v>20</v>
      </c>
      <c r="M9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1">
        <v>47500</v>
      </c>
      <c r="O901" t="s">
        <v>375</v>
      </c>
      <c r="P901" t="str">
        <f>_xlfn.IFS(LEFT(indian_retail_raw_1000[[#This Row],[x]],1)="W", "West",LEFT(indian_retail_raw_1000[[#This Row],[x]],1)= "E","East",LEFT(O901,1) = "S", "South",LEFT(O901,1) = "N", "North")</f>
        <v>North</v>
      </c>
      <c r="Q901" t="s">
        <v>54</v>
      </c>
      <c r="R901" t="s">
        <v>23</v>
      </c>
      <c r="S901" t="str">
        <f>TEXT(indian_retail_raw_1000[[#This Row],[Order_Date]],"MMM")</f>
        <v>Null</v>
      </c>
    </row>
    <row r="902" spans="1:19" x14ac:dyDescent="0.25">
      <c r="A902" t="s">
        <v>617</v>
      </c>
      <c r="B902" s="1">
        <v>45254</v>
      </c>
      <c r="C902" t="s">
        <v>28</v>
      </c>
      <c r="D902">
        <v>49</v>
      </c>
      <c r="E902" t="s">
        <v>16</v>
      </c>
      <c r="F902" t="s">
        <v>54</v>
      </c>
      <c r="G902" t="s">
        <v>180</v>
      </c>
      <c r="H902">
        <v>2</v>
      </c>
      <c r="I902">
        <v>25100</v>
      </c>
      <c r="J902">
        <v>5</v>
      </c>
      <c r="K902" t="s">
        <v>25</v>
      </c>
      <c r="L902" t="s">
        <v>20</v>
      </c>
      <c r="M9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2">
        <v>47690</v>
      </c>
      <c r="O902" t="s">
        <v>21</v>
      </c>
      <c r="P902" t="str">
        <f>_xlfn.IFS(LEFT(indian_retail_raw_1000[[#This Row],[x]],1)="W", "West",LEFT(indian_retail_raw_1000[[#This Row],[x]],1)= "E","East",LEFT(O902,1) = "S", "South",LEFT(O902,1) = "N", "North")</f>
        <v>South</v>
      </c>
      <c r="Q902" t="s">
        <v>54</v>
      </c>
      <c r="R902" t="s">
        <v>16</v>
      </c>
      <c r="S902" t="str">
        <f>TEXT(indian_retail_raw_1000[[#This Row],[Order_Date]],"MMM")</f>
        <v>Nov</v>
      </c>
    </row>
    <row r="903" spans="1:19" x14ac:dyDescent="0.25">
      <c r="A903" t="s">
        <v>622</v>
      </c>
      <c r="B903" s="1" t="s">
        <v>1336</v>
      </c>
      <c r="C903" t="s">
        <v>211</v>
      </c>
      <c r="D903">
        <v>60</v>
      </c>
      <c r="E903" t="s">
        <v>23</v>
      </c>
      <c r="F903" t="s">
        <v>54</v>
      </c>
      <c r="G903" t="s">
        <v>237</v>
      </c>
      <c r="H903">
        <v>1</v>
      </c>
      <c r="I903">
        <v>53000</v>
      </c>
      <c r="J903">
        <v>10</v>
      </c>
      <c r="K903" t="s">
        <v>19</v>
      </c>
      <c r="L903" t="s">
        <v>20</v>
      </c>
      <c r="M9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3">
        <v>47700</v>
      </c>
      <c r="O903" t="s">
        <v>21</v>
      </c>
      <c r="P903" t="str">
        <f>_xlfn.IFS(LEFT(indian_retail_raw_1000[[#This Row],[x]],1)="W", "West",LEFT(indian_retail_raw_1000[[#This Row],[x]],1)= "E","East",LEFT(O903,1) = "S", "South",LEFT(O903,1) = "N", "North")</f>
        <v>South</v>
      </c>
      <c r="Q903" t="s">
        <v>54</v>
      </c>
      <c r="R903" t="s">
        <v>23</v>
      </c>
      <c r="S903" t="str">
        <f>TEXT(indian_retail_raw_1000[[#This Row],[Order_Date]],"MMM")</f>
        <v>Null</v>
      </c>
    </row>
    <row r="904" spans="1:19" x14ac:dyDescent="0.25">
      <c r="A904" t="s">
        <v>793</v>
      </c>
      <c r="B904" s="1">
        <v>45240</v>
      </c>
      <c r="C904" t="s">
        <v>1336</v>
      </c>
      <c r="D904">
        <v>36</v>
      </c>
      <c r="E904" t="s">
        <v>23</v>
      </c>
      <c r="F904" t="s">
        <v>54</v>
      </c>
      <c r="G904" t="s">
        <v>237</v>
      </c>
      <c r="H904">
        <v>1</v>
      </c>
      <c r="I904">
        <v>47900</v>
      </c>
      <c r="J904">
        <v>15</v>
      </c>
      <c r="K904" t="s">
        <v>41</v>
      </c>
      <c r="L904" t="s">
        <v>20</v>
      </c>
      <c r="M9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4">
        <v>47900</v>
      </c>
      <c r="O904" t="s">
        <v>38</v>
      </c>
      <c r="P904" t="str">
        <f>_xlfn.IFS(LEFT(indian_retail_raw_1000[[#This Row],[x]],1)="W", "West",LEFT(indian_retail_raw_1000[[#This Row],[x]],1)= "E","East",LEFT(O904,1) = "S", "South",LEFT(O904,1) = "N", "North")</f>
        <v>North</v>
      </c>
      <c r="Q904" t="s">
        <v>54</v>
      </c>
      <c r="R904" t="s">
        <v>23</v>
      </c>
      <c r="S904" t="str">
        <f>TEXT(indian_retail_raw_1000[[#This Row],[Order_Date]],"MMM")</f>
        <v>Nov</v>
      </c>
    </row>
    <row r="905" spans="1:19" x14ac:dyDescent="0.25">
      <c r="A905" t="s">
        <v>691</v>
      </c>
      <c r="B905" s="1">
        <v>45236</v>
      </c>
      <c r="C905" t="s">
        <v>165</v>
      </c>
      <c r="D905">
        <v>24</v>
      </c>
      <c r="E905" t="s">
        <v>23</v>
      </c>
      <c r="F905" t="s">
        <v>54</v>
      </c>
      <c r="G905" t="s">
        <v>88</v>
      </c>
      <c r="H905">
        <v>1</v>
      </c>
      <c r="I905">
        <v>48200</v>
      </c>
      <c r="J905">
        <v>0</v>
      </c>
      <c r="K905" t="s">
        <v>115</v>
      </c>
      <c r="L905" t="s">
        <v>20</v>
      </c>
      <c r="M9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5">
        <v>48200</v>
      </c>
      <c r="O905" t="s">
        <v>21</v>
      </c>
      <c r="P905" t="str">
        <f>_xlfn.IFS(LEFT(indian_retail_raw_1000[[#This Row],[x]],1)="W", "West",LEFT(indian_retail_raw_1000[[#This Row],[x]],1)= "E","East",LEFT(O905,1) = "S", "South",LEFT(O905,1) = "N", "North")</f>
        <v>South</v>
      </c>
      <c r="Q905" t="s">
        <v>54</v>
      </c>
      <c r="R905" t="s">
        <v>23</v>
      </c>
      <c r="S905" t="str">
        <f>TEXT(indian_retail_raw_1000[[#This Row],[Order_Date]],"MMM")</f>
        <v>Nov</v>
      </c>
    </row>
    <row r="906" spans="1:19" x14ac:dyDescent="0.25">
      <c r="A906" t="s">
        <v>1230</v>
      </c>
      <c r="B906" s="1" t="s">
        <v>1336</v>
      </c>
      <c r="C906" t="s">
        <v>1336</v>
      </c>
      <c r="D906">
        <v>41</v>
      </c>
      <c r="E906" t="s">
        <v>23</v>
      </c>
      <c r="F906" t="s">
        <v>30</v>
      </c>
      <c r="G906" t="s">
        <v>135</v>
      </c>
      <c r="H906">
        <v>10</v>
      </c>
      <c r="I906">
        <v>9793</v>
      </c>
      <c r="J906">
        <v>50</v>
      </c>
      <c r="K906" t="s">
        <v>50</v>
      </c>
      <c r="L906" t="s">
        <v>449</v>
      </c>
      <c r="M9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6">
        <v>48965</v>
      </c>
      <c r="O906" t="s">
        <v>45</v>
      </c>
      <c r="P906" t="str">
        <f>_xlfn.IFS(LEFT(indian_retail_raw_1000[[#This Row],[x]],1)="W", "West",LEFT(indian_retail_raw_1000[[#This Row],[x]],1)= "E","East",LEFT(O906,1) = "S", "South",LEFT(O906,1) = "N", "North")</f>
        <v>East</v>
      </c>
      <c r="Q906" t="s">
        <v>30</v>
      </c>
      <c r="R906" t="s">
        <v>23</v>
      </c>
      <c r="S906" t="str">
        <f>TEXT(indian_retail_raw_1000[[#This Row],[Order_Date]],"MMM")</f>
        <v>Null</v>
      </c>
    </row>
    <row r="907" spans="1:19" x14ac:dyDescent="0.25">
      <c r="A907" t="s">
        <v>52</v>
      </c>
      <c r="B907" s="1">
        <v>45127</v>
      </c>
      <c r="C907" t="s">
        <v>53</v>
      </c>
      <c r="D907">
        <v>34</v>
      </c>
      <c r="E907" t="s">
        <v>23</v>
      </c>
      <c r="F907" t="s">
        <v>54</v>
      </c>
      <c r="G907" t="s">
        <v>55</v>
      </c>
      <c r="H907">
        <v>2</v>
      </c>
      <c r="I907">
        <v>29000</v>
      </c>
      <c r="J907">
        <v>15</v>
      </c>
      <c r="K907" t="s">
        <v>50</v>
      </c>
      <c r="L907" t="s">
        <v>56</v>
      </c>
      <c r="M9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07">
        <v>49300</v>
      </c>
      <c r="O907" t="s">
        <v>57</v>
      </c>
      <c r="P907" t="str">
        <f>_xlfn.IFS(LEFT(indian_retail_raw_1000[[#This Row],[x]],1)="W", "West",LEFT(indian_retail_raw_1000[[#This Row],[x]],1)= "E","East",LEFT(O907,1) = "S", "South",LEFT(O907,1) = "N", "North")</f>
        <v>West</v>
      </c>
      <c r="Q907" t="s">
        <v>54</v>
      </c>
      <c r="R907" t="s">
        <v>23</v>
      </c>
      <c r="S907" t="str">
        <f>TEXT(indian_retail_raw_1000[[#This Row],[Order_Date]],"MMM")</f>
        <v>Jul</v>
      </c>
    </row>
    <row r="908" spans="1:19" x14ac:dyDescent="0.25">
      <c r="A908" t="s">
        <v>236</v>
      </c>
      <c r="B908" s="1">
        <v>44988</v>
      </c>
      <c r="C908" t="s">
        <v>217</v>
      </c>
      <c r="D908">
        <v>60</v>
      </c>
      <c r="E908" t="s">
        <v>16</v>
      </c>
      <c r="F908" t="s">
        <v>54</v>
      </c>
      <c r="G908" t="s">
        <v>237</v>
      </c>
      <c r="H908">
        <v>2</v>
      </c>
      <c r="I908">
        <v>49600</v>
      </c>
      <c r="J908">
        <v>5</v>
      </c>
      <c r="K908" t="s">
        <v>50</v>
      </c>
      <c r="L908" t="s">
        <v>20</v>
      </c>
      <c r="M9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8">
        <v>49600</v>
      </c>
      <c r="O908" t="s">
        <v>26</v>
      </c>
      <c r="P908" t="str">
        <f>_xlfn.IFS(LEFT(indian_retail_raw_1000[[#This Row],[x]],1)="W", "West",LEFT(indian_retail_raw_1000[[#This Row],[x]],1)= "E","East",LEFT(O908,1) = "S", "South",LEFT(O908,1) = "N", "North")</f>
        <v>West</v>
      </c>
      <c r="Q908" t="s">
        <v>54</v>
      </c>
      <c r="R908" t="s">
        <v>16</v>
      </c>
      <c r="S908" t="str">
        <f>TEXT(indian_retail_raw_1000[[#This Row],[Order_Date]],"MMM")</f>
        <v>Mar</v>
      </c>
    </row>
    <row r="909" spans="1:19" x14ac:dyDescent="0.25">
      <c r="A909" t="s">
        <v>1042</v>
      </c>
      <c r="B909" s="1" t="s">
        <v>1336</v>
      </c>
      <c r="C909" t="s">
        <v>217</v>
      </c>
      <c r="E909" t="s">
        <v>23</v>
      </c>
      <c r="F909" t="s">
        <v>608</v>
      </c>
      <c r="G909" t="s">
        <v>77</v>
      </c>
      <c r="H909">
        <v>2</v>
      </c>
      <c r="I909">
        <v>24900</v>
      </c>
      <c r="J909">
        <v>0</v>
      </c>
      <c r="K909" t="s">
        <v>25</v>
      </c>
      <c r="L909" t="s">
        <v>20</v>
      </c>
      <c r="M9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9">
        <v>49800</v>
      </c>
      <c r="O909" t="s">
        <v>21</v>
      </c>
      <c r="P909" t="str">
        <f>_xlfn.IFS(LEFT(indian_retail_raw_1000[[#This Row],[x]],1)="W", "West",LEFT(indian_retail_raw_1000[[#This Row],[x]],1)= "E","East",LEFT(O909,1) = "S", "South",LEFT(O909,1) = "N", "North")</f>
        <v>South</v>
      </c>
      <c r="Q909" t="s">
        <v>54</v>
      </c>
      <c r="R909" t="s">
        <v>23</v>
      </c>
      <c r="S909" t="str">
        <f>TEXT(indian_retail_raw_1000[[#This Row],[Order_Date]],"MMM")</f>
        <v>Null</v>
      </c>
    </row>
    <row r="910" spans="1:19" x14ac:dyDescent="0.25">
      <c r="A910" t="s">
        <v>855</v>
      </c>
      <c r="B910" s="1" t="s">
        <v>1336</v>
      </c>
      <c r="C910" t="s">
        <v>87</v>
      </c>
      <c r="D910">
        <v>200</v>
      </c>
      <c r="E910" t="s">
        <v>490</v>
      </c>
      <c r="F910" t="s">
        <v>54</v>
      </c>
      <c r="G910" t="s">
        <v>55</v>
      </c>
      <c r="H910">
        <v>2</v>
      </c>
      <c r="I910">
        <v>28000</v>
      </c>
      <c r="J910">
        <v>10</v>
      </c>
      <c r="K910" t="s">
        <v>50</v>
      </c>
      <c r="L910" t="s">
        <v>51</v>
      </c>
      <c r="M9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10">
        <v>50400</v>
      </c>
      <c r="O910" t="s">
        <v>21</v>
      </c>
      <c r="P910" t="str">
        <f>_xlfn.IFS(LEFT(indian_retail_raw_1000[[#This Row],[x]],1)="W", "West",LEFT(indian_retail_raw_1000[[#This Row],[x]],1)= "E","East",LEFT(O910,1) = "S", "South",LEFT(O910,1) = "N", "North")</f>
        <v>South</v>
      </c>
      <c r="Q910" t="s">
        <v>54</v>
      </c>
      <c r="R910" t="s">
        <v>16</v>
      </c>
      <c r="S910" t="str">
        <f>TEXT(indian_retail_raw_1000[[#This Row],[Order_Date]],"MMM")</f>
        <v>Null</v>
      </c>
    </row>
    <row r="911" spans="1:19" x14ac:dyDescent="0.25">
      <c r="A911" t="s">
        <v>641</v>
      </c>
      <c r="B911" s="1">
        <v>45230</v>
      </c>
      <c r="C911" t="s">
        <v>243</v>
      </c>
      <c r="D911">
        <v>60</v>
      </c>
      <c r="E911" t="s">
        <v>23</v>
      </c>
      <c r="F911" t="s">
        <v>384</v>
      </c>
      <c r="G911" t="s">
        <v>224</v>
      </c>
      <c r="H911">
        <v>9</v>
      </c>
      <c r="I911">
        <v>590057</v>
      </c>
      <c r="J911">
        <v>5</v>
      </c>
      <c r="K911" t="s">
        <v>25</v>
      </c>
      <c r="L911" t="s">
        <v>20</v>
      </c>
      <c r="M9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1">
        <v>50449.35</v>
      </c>
      <c r="O911" t="s">
        <v>26</v>
      </c>
      <c r="P911" t="str">
        <f>_xlfn.IFS(LEFT(indian_retail_raw_1000[[#This Row],[x]],1)="W", "West",LEFT(indian_retail_raw_1000[[#This Row],[x]],1)= "E","East",LEFT(O911,1) = "S", "South",LEFT(O911,1) = "N", "North")</f>
        <v>West</v>
      </c>
      <c r="Q911" t="s">
        <v>30</v>
      </c>
      <c r="R911" t="s">
        <v>23</v>
      </c>
      <c r="S911" t="str">
        <f>TEXT(indian_retail_raw_1000[[#This Row],[Order_Date]],"MMM")</f>
        <v>Oct</v>
      </c>
    </row>
    <row r="912" spans="1:19" x14ac:dyDescent="0.25">
      <c r="A912" t="s">
        <v>474</v>
      </c>
      <c r="B912" s="1">
        <v>45134</v>
      </c>
      <c r="C912" t="s">
        <v>192</v>
      </c>
      <c r="D912">
        <v>26</v>
      </c>
      <c r="E912" t="s">
        <v>475</v>
      </c>
      <c r="F912" t="s">
        <v>91</v>
      </c>
      <c r="G912" t="s">
        <v>88</v>
      </c>
      <c r="H912">
        <v>2</v>
      </c>
      <c r="I912">
        <v>50800</v>
      </c>
      <c r="J912">
        <v>-10</v>
      </c>
      <c r="K912" t="s">
        <v>41</v>
      </c>
      <c r="L912" t="s">
        <v>20</v>
      </c>
      <c r="M9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2">
        <v>50800</v>
      </c>
      <c r="O912" t="s">
        <v>38</v>
      </c>
      <c r="P912" t="str">
        <f>_xlfn.IFS(LEFT(indian_retail_raw_1000[[#This Row],[x]],1)="W", "West",LEFT(indian_retail_raw_1000[[#This Row],[x]],1)= "E","East",LEFT(O912,1) = "S", "South",LEFT(O912,1) = "N", "North")</f>
        <v>North</v>
      </c>
      <c r="Q912" t="s">
        <v>54</v>
      </c>
      <c r="R912" t="s">
        <v>138</v>
      </c>
      <c r="S912" t="str">
        <f>TEXT(indian_retail_raw_1000[[#This Row],[Order_Date]],"MMM")</f>
        <v>Jul</v>
      </c>
    </row>
    <row r="913" spans="1:19" x14ac:dyDescent="0.25">
      <c r="A913" t="s">
        <v>208</v>
      </c>
      <c r="B913" s="1">
        <v>45083</v>
      </c>
      <c r="C913" t="s">
        <v>1336</v>
      </c>
      <c r="D913">
        <v>43</v>
      </c>
      <c r="E913" t="s">
        <v>16</v>
      </c>
      <c r="F913" t="s">
        <v>35</v>
      </c>
      <c r="G913" t="s">
        <v>126</v>
      </c>
      <c r="H913">
        <v>99</v>
      </c>
      <c r="I913">
        <v>645</v>
      </c>
      <c r="J913">
        <v>20</v>
      </c>
      <c r="K913" t="s">
        <v>41</v>
      </c>
      <c r="L913" t="s">
        <v>20</v>
      </c>
      <c r="M9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3">
        <v>51084</v>
      </c>
      <c r="O913" t="s">
        <v>45</v>
      </c>
      <c r="P913" t="str">
        <f>_xlfn.IFS(LEFT(indian_retail_raw_1000[[#This Row],[x]],1)="W", "West",LEFT(indian_retail_raw_1000[[#This Row],[x]],1)= "E","East",LEFT(O913,1) = "S", "South",LEFT(O913,1) = "N", "North")</f>
        <v>East</v>
      </c>
      <c r="Q913" t="s">
        <v>35</v>
      </c>
      <c r="R913" t="s">
        <v>16</v>
      </c>
      <c r="S913" t="str">
        <f>TEXT(indian_retail_raw_1000[[#This Row],[Order_Date]],"MMM")</f>
        <v>Jun</v>
      </c>
    </row>
    <row r="914" spans="1:19" x14ac:dyDescent="0.25">
      <c r="A914" t="s">
        <v>862</v>
      </c>
      <c r="B914" s="1">
        <v>45002</v>
      </c>
      <c r="C914" t="s">
        <v>28</v>
      </c>
      <c r="D914">
        <v>47</v>
      </c>
      <c r="E914" t="s">
        <v>23</v>
      </c>
      <c r="F914" t="s">
        <v>30</v>
      </c>
      <c r="G914" t="s">
        <v>121</v>
      </c>
      <c r="H914">
        <v>10</v>
      </c>
      <c r="I914">
        <v>6409</v>
      </c>
      <c r="J914">
        <v>20</v>
      </c>
      <c r="K914" t="s">
        <v>25</v>
      </c>
      <c r="L914" t="s">
        <v>20</v>
      </c>
      <c r="M9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4">
        <v>51272</v>
      </c>
      <c r="O914" t="s">
        <v>45</v>
      </c>
      <c r="P914" t="str">
        <f>_xlfn.IFS(LEFT(indian_retail_raw_1000[[#This Row],[x]],1)="W", "West",LEFT(indian_retail_raw_1000[[#This Row],[x]],1)= "E","East",LEFT(O914,1) = "S", "South",LEFT(O914,1) = "N", "North")</f>
        <v>East</v>
      </c>
      <c r="Q914" t="s">
        <v>30</v>
      </c>
      <c r="R914" t="s">
        <v>23</v>
      </c>
      <c r="S914" t="str">
        <f>TEXT(indian_retail_raw_1000[[#This Row],[Order_Date]],"MMM")</f>
        <v>Mar</v>
      </c>
    </row>
    <row r="915" spans="1:19" x14ac:dyDescent="0.25">
      <c r="A915" t="s">
        <v>750</v>
      </c>
      <c r="B915" s="1" t="s">
        <v>1336</v>
      </c>
      <c r="C915" t="s">
        <v>1336</v>
      </c>
      <c r="D915">
        <v>36</v>
      </c>
      <c r="E915" t="s">
        <v>16</v>
      </c>
      <c r="F915" t="s">
        <v>54</v>
      </c>
      <c r="G915" t="s">
        <v>144</v>
      </c>
      <c r="H915">
        <v>1</v>
      </c>
      <c r="I915">
        <v>57000</v>
      </c>
      <c r="J915">
        <v>10</v>
      </c>
      <c r="K915" t="s">
        <v>50</v>
      </c>
      <c r="L915" t="s">
        <v>20</v>
      </c>
      <c r="M9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5">
        <v>51300</v>
      </c>
      <c r="O915" t="s">
        <v>21</v>
      </c>
      <c r="P915" t="str">
        <f>_xlfn.IFS(LEFT(indian_retail_raw_1000[[#This Row],[x]],1)="W", "West",LEFT(indian_retail_raw_1000[[#This Row],[x]],1)= "E","East",LEFT(O915,1) = "S", "South",LEFT(O915,1) = "N", "North")</f>
        <v>South</v>
      </c>
      <c r="Q915" t="s">
        <v>54</v>
      </c>
      <c r="R915" t="s">
        <v>16</v>
      </c>
      <c r="S915" t="str">
        <f>TEXT(indian_retail_raw_1000[[#This Row],[Order_Date]],"MMM")</f>
        <v>Null</v>
      </c>
    </row>
    <row r="916" spans="1:19" x14ac:dyDescent="0.25">
      <c r="A916" t="s">
        <v>427</v>
      </c>
      <c r="B916" s="1">
        <v>45225</v>
      </c>
      <c r="C916" t="s">
        <v>1336</v>
      </c>
      <c r="D916">
        <v>21</v>
      </c>
      <c r="E916" t="s">
        <v>16</v>
      </c>
      <c r="F916" t="s">
        <v>54</v>
      </c>
      <c r="G916" t="s">
        <v>199</v>
      </c>
      <c r="H916">
        <v>1</v>
      </c>
      <c r="I916">
        <v>57600</v>
      </c>
      <c r="J916">
        <v>10</v>
      </c>
      <c r="K916" t="s">
        <v>41</v>
      </c>
      <c r="L916" t="s">
        <v>20</v>
      </c>
      <c r="M9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6">
        <v>51840</v>
      </c>
      <c r="O916" t="s">
        <v>26</v>
      </c>
      <c r="P916" t="str">
        <f>_xlfn.IFS(LEFT(indian_retail_raw_1000[[#This Row],[x]],1)="W", "West",LEFT(indian_retail_raw_1000[[#This Row],[x]],1)= "E","East",LEFT(O916,1) = "S", "South",LEFT(O916,1) = "N", "North")</f>
        <v>West</v>
      </c>
      <c r="Q916" t="s">
        <v>54</v>
      </c>
      <c r="R916" t="s">
        <v>16</v>
      </c>
      <c r="S916" t="str">
        <f>TEXT(indian_retail_raw_1000[[#This Row],[Order_Date]],"MMM")</f>
        <v>Oct</v>
      </c>
    </row>
    <row r="917" spans="1:19" x14ac:dyDescent="0.25">
      <c r="A917" t="s">
        <v>542</v>
      </c>
      <c r="B917" s="1">
        <v>44988</v>
      </c>
      <c r="C917" t="s">
        <v>28</v>
      </c>
      <c r="D917">
        <v>48</v>
      </c>
      <c r="E917" t="s">
        <v>16</v>
      </c>
      <c r="F917" t="s">
        <v>30</v>
      </c>
      <c r="G917" t="s">
        <v>60</v>
      </c>
      <c r="H917">
        <v>6</v>
      </c>
      <c r="I917">
        <v>8703</v>
      </c>
      <c r="J917">
        <v>0</v>
      </c>
      <c r="K917" t="s">
        <v>25</v>
      </c>
      <c r="L917" t="s">
        <v>51</v>
      </c>
      <c r="M9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17">
        <v>52218</v>
      </c>
      <c r="O917" t="s">
        <v>21</v>
      </c>
      <c r="P917" t="str">
        <f>_xlfn.IFS(LEFT(indian_retail_raw_1000[[#This Row],[x]],1)="W", "West",LEFT(indian_retail_raw_1000[[#This Row],[x]],1)= "E","East",LEFT(O917,1) = "S", "South",LEFT(O917,1) = "N", "North")</f>
        <v>South</v>
      </c>
      <c r="Q917" t="s">
        <v>30</v>
      </c>
      <c r="R917" t="s">
        <v>16</v>
      </c>
      <c r="S917" t="str">
        <f>TEXT(indian_retail_raw_1000[[#This Row],[Order_Date]],"MMM")</f>
        <v>Mar</v>
      </c>
    </row>
    <row r="918" spans="1:19" x14ac:dyDescent="0.25">
      <c r="A918" t="s">
        <v>1059</v>
      </c>
      <c r="B918" s="1">
        <v>45054</v>
      </c>
      <c r="C918" t="s">
        <v>43</v>
      </c>
      <c r="D918">
        <v>65</v>
      </c>
      <c r="E918" t="s">
        <v>16</v>
      </c>
      <c r="F918" t="s">
        <v>30</v>
      </c>
      <c r="G918" t="s">
        <v>67</v>
      </c>
      <c r="H918">
        <v>4</v>
      </c>
      <c r="I918">
        <v>3446</v>
      </c>
      <c r="J918">
        <v>5</v>
      </c>
      <c r="K918" t="s">
        <v>50</v>
      </c>
      <c r="L918" t="s">
        <v>20</v>
      </c>
      <c r="M9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8">
        <v>52379.199999999997</v>
      </c>
      <c r="O918" t="s">
        <v>38</v>
      </c>
      <c r="P918" t="str">
        <f>_xlfn.IFS(LEFT(indian_retail_raw_1000[[#This Row],[x]],1)="W", "West",LEFT(indian_retail_raw_1000[[#This Row],[x]],1)= "E","East",LEFT(O918,1) = "S", "South",LEFT(O918,1) = "N", "North")</f>
        <v>North</v>
      </c>
      <c r="Q918" t="s">
        <v>30</v>
      </c>
      <c r="R918" t="s">
        <v>16</v>
      </c>
      <c r="S918" t="str">
        <f>TEXT(indian_retail_raw_1000[[#This Row],[Order_Date]],"MMM")</f>
        <v>May</v>
      </c>
    </row>
    <row r="919" spans="1:19" x14ac:dyDescent="0.25">
      <c r="A919" t="s">
        <v>940</v>
      </c>
      <c r="B919" s="1">
        <v>45005</v>
      </c>
      <c r="C919" t="s">
        <v>43</v>
      </c>
      <c r="D919">
        <v>21</v>
      </c>
      <c r="E919" t="s">
        <v>443</v>
      </c>
      <c r="F919" t="s">
        <v>54</v>
      </c>
      <c r="G919" t="s">
        <v>280</v>
      </c>
      <c r="H919">
        <v>1</v>
      </c>
      <c r="I919">
        <v>53200</v>
      </c>
      <c r="J919">
        <v>0</v>
      </c>
      <c r="K919" t="s">
        <v>19</v>
      </c>
      <c r="L919" t="s">
        <v>20</v>
      </c>
      <c r="M9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9">
        <v>53200</v>
      </c>
      <c r="O919" t="s">
        <v>38</v>
      </c>
      <c r="P919" t="str">
        <f>_xlfn.IFS(LEFT(indian_retail_raw_1000[[#This Row],[x]],1)="W", "West",LEFT(indian_retail_raw_1000[[#This Row],[x]],1)= "E","East",LEFT(O919,1) = "S", "South",LEFT(O919,1) = "N", "North")</f>
        <v>North</v>
      </c>
      <c r="Q919" t="s">
        <v>54</v>
      </c>
      <c r="R919" t="s">
        <v>23</v>
      </c>
      <c r="S919" t="str">
        <f>TEXT(indian_retail_raw_1000[[#This Row],[Order_Date]],"MMM")</f>
        <v>Mar</v>
      </c>
    </row>
    <row r="920" spans="1:19" x14ac:dyDescent="0.25">
      <c r="A920" t="s">
        <v>1058</v>
      </c>
      <c r="B920" s="1">
        <v>45069</v>
      </c>
      <c r="C920" t="s">
        <v>587</v>
      </c>
      <c r="D920">
        <v>50</v>
      </c>
      <c r="E920" t="s">
        <v>23</v>
      </c>
      <c r="F920" t="s">
        <v>54</v>
      </c>
      <c r="G920" t="s">
        <v>199</v>
      </c>
      <c r="H920">
        <v>2</v>
      </c>
      <c r="I920">
        <v>62400</v>
      </c>
      <c r="J920">
        <v>25</v>
      </c>
      <c r="K920" t="s">
        <v>64</v>
      </c>
      <c r="L920" t="s">
        <v>56</v>
      </c>
      <c r="M9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20">
        <v>53600</v>
      </c>
      <c r="O920" t="s">
        <v>375</v>
      </c>
      <c r="P920" t="str">
        <f>_xlfn.IFS(LEFT(indian_retail_raw_1000[[#This Row],[x]],1)="W", "West",LEFT(indian_retail_raw_1000[[#This Row],[x]],1)= "E","East",LEFT(O920,1) = "S", "South",LEFT(O920,1) = "N", "North")</f>
        <v>North</v>
      </c>
      <c r="Q920" t="s">
        <v>54</v>
      </c>
      <c r="R920" t="s">
        <v>23</v>
      </c>
      <c r="S920" t="str">
        <f>TEXT(indian_retail_raw_1000[[#This Row],[Order_Date]],"MMM")</f>
        <v>May</v>
      </c>
    </row>
    <row r="921" spans="1:19" x14ac:dyDescent="0.25">
      <c r="A921" t="s">
        <v>140</v>
      </c>
      <c r="B921" s="1" t="s">
        <v>1336</v>
      </c>
      <c r="C921" t="s">
        <v>142</v>
      </c>
      <c r="D921">
        <v>49</v>
      </c>
      <c r="E921" t="s">
        <v>143</v>
      </c>
      <c r="F921" t="s">
        <v>54</v>
      </c>
      <c r="G921" t="s">
        <v>144</v>
      </c>
      <c r="H921">
        <v>1</v>
      </c>
      <c r="I921">
        <v>59600</v>
      </c>
      <c r="J921">
        <v>10</v>
      </c>
      <c r="K921" t="s">
        <v>19</v>
      </c>
      <c r="L921" t="s">
        <v>20</v>
      </c>
      <c r="M9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1">
        <v>53640</v>
      </c>
      <c r="O921" t="s">
        <v>38</v>
      </c>
      <c r="P921" t="str">
        <f>_xlfn.IFS(LEFT(indian_retail_raw_1000[[#This Row],[x]],1)="W", "West",LEFT(indian_retail_raw_1000[[#This Row],[x]],1)= "E","East",LEFT(O921,1) = "S", "South",LEFT(O921,1) = "N", "North")</f>
        <v>North</v>
      </c>
      <c r="Q921" t="s">
        <v>54</v>
      </c>
      <c r="R921" t="s">
        <v>138</v>
      </c>
      <c r="S921" t="str">
        <f>TEXT(indian_retail_raw_1000[[#This Row],[Order_Date]],"MMM")</f>
        <v>Null</v>
      </c>
    </row>
    <row r="922" spans="1:19" x14ac:dyDescent="0.25">
      <c r="A922" t="s">
        <v>591</v>
      </c>
      <c r="B922" s="1">
        <v>45055</v>
      </c>
      <c r="C922" t="s">
        <v>87</v>
      </c>
      <c r="D922">
        <v>58</v>
      </c>
      <c r="E922" t="s">
        <v>23</v>
      </c>
      <c r="F922" t="s">
        <v>30</v>
      </c>
      <c r="G922" t="s">
        <v>60</v>
      </c>
      <c r="H922">
        <v>8</v>
      </c>
      <c r="I922">
        <v>7651</v>
      </c>
      <c r="J922">
        <v>10</v>
      </c>
      <c r="K922" t="s">
        <v>89</v>
      </c>
      <c r="L922" t="s">
        <v>20</v>
      </c>
      <c r="M9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2">
        <v>55087.199999999997</v>
      </c>
      <c r="O922" t="s">
        <v>21</v>
      </c>
      <c r="P922" t="str">
        <f>_xlfn.IFS(LEFT(indian_retail_raw_1000[[#This Row],[x]],1)="W", "West",LEFT(indian_retail_raw_1000[[#This Row],[x]],1)= "E","East",LEFT(O922,1) = "S", "South",LEFT(O922,1) = "N", "North")</f>
        <v>South</v>
      </c>
      <c r="Q922" t="s">
        <v>30</v>
      </c>
      <c r="R922" t="s">
        <v>23</v>
      </c>
      <c r="S922" t="str">
        <f>TEXT(indian_retail_raw_1000[[#This Row],[Order_Date]],"MMM")</f>
        <v>May</v>
      </c>
    </row>
    <row r="923" spans="1:19" x14ac:dyDescent="0.25">
      <c r="A923" t="s">
        <v>826</v>
      </c>
      <c r="B923" s="1">
        <v>45029</v>
      </c>
      <c r="C923" t="s">
        <v>1336</v>
      </c>
      <c r="D923">
        <v>61</v>
      </c>
      <c r="E923" t="s">
        <v>23</v>
      </c>
      <c r="F923" t="s">
        <v>54</v>
      </c>
      <c r="G923" t="s">
        <v>199</v>
      </c>
      <c r="H923">
        <v>1</v>
      </c>
      <c r="I923">
        <v>61500</v>
      </c>
      <c r="J923">
        <v>10</v>
      </c>
      <c r="K923" t="s">
        <v>41</v>
      </c>
      <c r="L923" t="s">
        <v>37</v>
      </c>
      <c r="M9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3">
        <v>55350</v>
      </c>
      <c r="O923" t="s">
        <v>45</v>
      </c>
      <c r="P923" t="str">
        <f>_xlfn.IFS(LEFT(indian_retail_raw_1000[[#This Row],[x]],1)="W", "West",LEFT(indian_retail_raw_1000[[#This Row],[x]],1)= "E","East",LEFT(O923,1) = "S", "South",LEFT(O923,1) = "N", "North")</f>
        <v>East</v>
      </c>
      <c r="Q923" t="s">
        <v>54</v>
      </c>
      <c r="R923" t="s">
        <v>23</v>
      </c>
      <c r="S923" t="str">
        <f>TEXT(indian_retail_raw_1000[[#This Row],[Order_Date]],"MMM")</f>
        <v>Apr</v>
      </c>
    </row>
    <row r="924" spans="1:19" x14ac:dyDescent="0.25">
      <c r="A924" t="s">
        <v>1134</v>
      </c>
      <c r="B924" s="1">
        <v>45089</v>
      </c>
      <c r="C924" t="s">
        <v>156</v>
      </c>
      <c r="D924">
        <v>48</v>
      </c>
      <c r="E924" t="s">
        <v>16</v>
      </c>
      <c r="F924" t="s">
        <v>30</v>
      </c>
      <c r="G924" t="s">
        <v>121</v>
      </c>
      <c r="H924">
        <v>9</v>
      </c>
      <c r="I924">
        <v>7311</v>
      </c>
      <c r="J924">
        <v>15</v>
      </c>
      <c r="K924" t="s">
        <v>50</v>
      </c>
      <c r="L924" t="s">
        <v>20</v>
      </c>
      <c r="M9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4">
        <v>55929.15</v>
      </c>
      <c r="O924" t="s">
        <v>38</v>
      </c>
      <c r="P924" t="str">
        <f>_xlfn.IFS(LEFT(indian_retail_raw_1000[[#This Row],[x]],1)="W", "West",LEFT(indian_retail_raw_1000[[#This Row],[x]],1)= "E","East",LEFT(O924,1) = "S", "South",LEFT(O924,1) = "N", "North")</f>
        <v>North</v>
      </c>
      <c r="Q924" t="s">
        <v>30</v>
      </c>
      <c r="R924" t="s">
        <v>16</v>
      </c>
      <c r="S924" t="str">
        <f>TEXT(indian_retail_raw_1000[[#This Row],[Order_Date]],"MMM")</f>
        <v>Jun</v>
      </c>
    </row>
    <row r="925" spans="1:19" x14ac:dyDescent="0.25">
      <c r="A925" t="s">
        <v>861</v>
      </c>
      <c r="B925" s="1">
        <v>45232</v>
      </c>
      <c r="C925" t="s">
        <v>1336</v>
      </c>
      <c r="D925">
        <v>27</v>
      </c>
      <c r="E925" t="s">
        <v>16</v>
      </c>
      <c r="F925" t="s">
        <v>347</v>
      </c>
      <c r="G925" t="s">
        <v>144</v>
      </c>
      <c r="H925">
        <v>1</v>
      </c>
      <c r="I925">
        <v>62200</v>
      </c>
      <c r="J925">
        <v>10</v>
      </c>
      <c r="K925" t="s">
        <v>41</v>
      </c>
      <c r="L925" t="s">
        <v>204</v>
      </c>
      <c r="M9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5">
        <v>55980</v>
      </c>
      <c r="O925" t="s">
        <v>45</v>
      </c>
      <c r="P925" t="str">
        <f>_xlfn.IFS(LEFT(indian_retail_raw_1000[[#This Row],[x]],1)="W", "West",LEFT(indian_retail_raw_1000[[#This Row],[x]],1)= "E","East",LEFT(O925,1) = "S", "South",LEFT(O925,1) = "N", "North")</f>
        <v>East</v>
      </c>
      <c r="Q925" t="s">
        <v>54</v>
      </c>
      <c r="R925" t="s">
        <v>16</v>
      </c>
      <c r="S925" t="str">
        <f>TEXT(indian_retail_raw_1000[[#This Row],[Order_Date]],"MMM")</f>
        <v>Nov</v>
      </c>
    </row>
    <row r="926" spans="1:19" x14ac:dyDescent="0.25">
      <c r="A926" t="s">
        <v>197</v>
      </c>
      <c r="B926" s="1">
        <v>45265</v>
      </c>
      <c r="C926" t="s">
        <v>198</v>
      </c>
      <c r="D926">
        <v>52</v>
      </c>
      <c r="E926" t="s">
        <v>44</v>
      </c>
      <c r="F926" t="s">
        <v>54</v>
      </c>
      <c r="G926" t="s">
        <v>199</v>
      </c>
      <c r="H926">
        <v>1</v>
      </c>
      <c r="I926">
        <v>59300</v>
      </c>
      <c r="J926">
        <v>5</v>
      </c>
      <c r="K926" t="s">
        <v>19</v>
      </c>
      <c r="L926" t="s">
        <v>51</v>
      </c>
      <c r="M9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26">
        <v>56335</v>
      </c>
      <c r="O926" t="s">
        <v>21</v>
      </c>
      <c r="P926" t="str">
        <f>_xlfn.IFS(LEFT(indian_retail_raw_1000[[#This Row],[x]],1)="W", "West",LEFT(indian_retail_raw_1000[[#This Row],[x]],1)= "E","East",LEFT(O926,1) = "S", "South",LEFT(O926,1) = "N", "North")</f>
        <v>South</v>
      </c>
      <c r="Q926" t="s">
        <v>54</v>
      </c>
      <c r="R926" t="s">
        <v>23</v>
      </c>
      <c r="S926" t="str">
        <f>TEXT(indian_retail_raw_1000[[#This Row],[Order_Date]],"MMM")</f>
        <v>Dec</v>
      </c>
    </row>
    <row r="927" spans="1:19" x14ac:dyDescent="0.25">
      <c r="A927" t="s">
        <v>484</v>
      </c>
      <c r="B927" s="1" t="s">
        <v>1336</v>
      </c>
      <c r="C927" t="s">
        <v>28</v>
      </c>
      <c r="D927">
        <v>40</v>
      </c>
      <c r="E927" t="s">
        <v>16</v>
      </c>
      <c r="F927" t="s">
        <v>54</v>
      </c>
      <c r="G927" t="s">
        <v>280</v>
      </c>
      <c r="H927">
        <v>1</v>
      </c>
      <c r="I927">
        <v>70500</v>
      </c>
      <c r="J927">
        <v>20</v>
      </c>
      <c r="K927" t="s">
        <v>19</v>
      </c>
      <c r="L927" t="s">
        <v>51</v>
      </c>
      <c r="M9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27">
        <v>56400</v>
      </c>
      <c r="O927" t="s">
        <v>45</v>
      </c>
      <c r="P927" t="str">
        <f>_xlfn.IFS(LEFT(indian_retail_raw_1000[[#This Row],[x]],1)="W", "West",LEFT(indian_retail_raw_1000[[#This Row],[x]],1)= "E","East",LEFT(O927,1) = "S", "South",LEFT(O927,1) = "N", "North")</f>
        <v>East</v>
      </c>
      <c r="Q927" t="s">
        <v>54</v>
      </c>
      <c r="R927" t="s">
        <v>16</v>
      </c>
      <c r="S927" t="str">
        <f>TEXT(indian_retail_raw_1000[[#This Row],[Order_Date]],"MMM")</f>
        <v>Null</v>
      </c>
    </row>
    <row r="928" spans="1:19" x14ac:dyDescent="0.25">
      <c r="A928" t="s">
        <v>819</v>
      </c>
      <c r="B928" s="1">
        <v>45029</v>
      </c>
      <c r="C928" t="s">
        <v>1336</v>
      </c>
      <c r="D928">
        <v>26</v>
      </c>
      <c r="E928" t="s">
        <v>490</v>
      </c>
      <c r="F928" t="s">
        <v>220</v>
      </c>
      <c r="G928" t="s">
        <v>135</v>
      </c>
      <c r="H928">
        <v>5</v>
      </c>
      <c r="I928">
        <v>11386</v>
      </c>
      <c r="J928">
        <v>0</v>
      </c>
      <c r="K928" t="s">
        <v>25</v>
      </c>
      <c r="L928" t="s">
        <v>20</v>
      </c>
      <c r="M9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8">
        <v>56930</v>
      </c>
      <c r="O928" t="s">
        <v>38</v>
      </c>
      <c r="P928" t="str">
        <f>_xlfn.IFS(LEFT(indian_retail_raw_1000[[#This Row],[x]],1)="W", "West",LEFT(indian_retail_raw_1000[[#This Row],[x]],1)= "E","East",LEFT(O928,1) = "S", "South",LEFT(O928,1) = "N", "North")</f>
        <v>North</v>
      </c>
      <c r="Q928" t="s">
        <v>30</v>
      </c>
      <c r="R928" t="s">
        <v>16</v>
      </c>
      <c r="S928" t="str">
        <f>TEXT(indian_retail_raw_1000[[#This Row],[Order_Date]],"MMM")</f>
        <v>Apr</v>
      </c>
    </row>
    <row r="929" spans="1:19" x14ac:dyDescent="0.25">
      <c r="A929" t="s">
        <v>22</v>
      </c>
      <c r="B929" s="1">
        <v>45095</v>
      </c>
      <c r="C929" t="s">
        <v>1336</v>
      </c>
      <c r="D929">
        <v>55</v>
      </c>
      <c r="E929" t="s">
        <v>23</v>
      </c>
      <c r="F929" t="s">
        <v>17</v>
      </c>
      <c r="G929" t="s">
        <v>24</v>
      </c>
      <c r="H929">
        <v>20</v>
      </c>
      <c r="I929">
        <v>3000</v>
      </c>
      <c r="J929">
        <v>5</v>
      </c>
      <c r="K929" t="s">
        <v>25</v>
      </c>
      <c r="L929" t="s">
        <v>20</v>
      </c>
      <c r="M9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9">
        <v>57000</v>
      </c>
      <c r="O929" t="s">
        <v>26</v>
      </c>
      <c r="P929" t="str">
        <f>_xlfn.IFS(LEFT(indian_retail_raw_1000[[#This Row],[x]],1)="W", "West",LEFT(indian_retail_raw_1000[[#This Row],[x]],1)= "E","East",LEFT(O929,1) = "S", "South",LEFT(O929,1) = "N", "North")</f>
        <v>West</v>
      </c>
      <c r="Q929" t="s">
        <v>17</v>
      </c>
      <c r="R929" t="s">
        <v>23</v>
      </c>
      <c r="S929" t="str">
        <f>TEXT(indian_retail_raw_1000[[#This Row],[Order_Date]],"MMM")</f>
        <v>Jun</v>
      </c>
    </row>
    <row r="930" spans="1:19" x14ac:dyDescent="0.25">
      <c r="A930" t="s">
        <v>892</v>
      </c>
      <c r="B930" s="1">
        <v>45262</v>
      </c>
      <c r="C930" t="s">
        <v>43</v>
      </c>
      <c r="D930">
        <v>40</v>
      </c>
      <c r="E930" t="s">
        <v>16</v>
      </c>
      <c r="F930" t="s">
        <v>54</v>
      </c>
      <c r="G930" t="s">
        <v>199</v>
      </c>
      <c r="H930">
        <v>2</v>
      </c>
      <c r="I930">
        <v>58300</v>
      </c>
      <c r="J930">
        <v>50</v>
      </c>
      <c r="K930" t="s">
        <v>41</v>
      </c>
      <c r="L930" t="s">
        <v>449</v>
      </c>
      <c r="M9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0">
        <v>58300</v>
      </c>
      <c r="O930" t="s">
        <v>26</v>
      </c>
      <c r="P930" t="str">
        <f>_xlfn.IFS(LEFT(indian_retail_raw_1000[[#This Row],[x]],1)="W", "West",LEFT(indian_retail_raw_1000[[#This Row],[x]],1)= "E","East",LEFT(O930,1) = "S", "South",LEFT(O930,1) = "N", "North")</f>
        <v>West</v>
      </c>
      <c r="Q930" t="s">
        <v>54</v>
      </c>
      <c r="R930" t="s">
        <v>16</v>
      </c>
      <c r="S930" t="str">
        <f>TEXT(indian_retail_raw_1000[[#This Row],[Order_Date]],"MMM")</f>
        <v>Dec</v>
      </c>
    </row>
    <row r="931" spans="1:19" x14ac:dyDescent="0.25">
      <c r="A931" t="s">
        <v>675</v>
      </c>
      <c r="B931" s="1">
        <v>45182</v>
      </c>
      <c r="C931" t="s">
        <v>265</v>
      </c>
      <c r="D931">
        <v>21</v>
      </c>
      <c r="E931" t="s">
        <v>44</v>
      </c>
      <c r="F931" t="s">
        <v>54</v>
      </c>
      <c r="G931" t="s">
        <v>199</v>
      </c>
      <c r="H931">
        <v>1</v>
      </c>
      <c r="I931">
        <v>59400</v>
      </c>
      <c r="J931">
        <v>0</v>
      </c>
      <c r="K931" t="s">
        <v>50</v>
      </c>
      <c r="L931" t="s">
        <v>51</v>
      </c>
      <c r="M9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31">
        <v>59400</v>
      </c>
      <c r="O931" t="s">
        <v>621</v>
      </c>
      <c r="P931" t="str">
        <f>_xlfn.IFS(LEFT(indian_retail_raw_1000[[#This Row],[x]],1)="W", "West",LEFT(indian_retail_raw_1000[[#This Row],[x]],1)= "E","East",LEFT(O931,1) = "S", "South",LEFT(O931,1) = "N", "North")</f>
        <v>West</v>
      </c>
      <c r="Q931" t="s">
        <v>54</v>
      </c>
      <c r="R931" t="s">
        <v>23</v>
      </c>
      <c r="S931" t="str">
        <f>TEXT(indian_retail_raw_1000[[#This Row],[Order_Date]],"MMM")</f>
        <v>Sep</v>
      </c>
    </row>
    <row r="932" spans="1:19" x14ac:dyDescent="0.25">
      <c r="A932" t="s">
        <v>1260</v>
      </c>
      <c r="B932" s="1">
        <v>45237</v>
      </c>
      <c r="C932" t="s">
        <v>142</v>
      </c>
      <c r="D932">
        <v>36</v>
      </c>
      <c r="E932" t="s">
        <v>16</v>
      </c>
      <c r="F932" t="s">
        <v>54</v>
      </c>
      <c r="G932" t="s">
        <v>114</v>
      </c>
      <c r="H932">
        <v>1</v>
      </c>
      <c r="I932">
        <v>85400</v>
      </c>
      <c r="J932">
        <v>30</v>
      </c>
      <c r="K932" t="s">
        <v>19</v>
      </c>
      <c r="L932" t="s">
        <v>20</v>
      </c>
      <c r="M9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2">
        <v>59780</v>
      </c>
      <c r="O932" t="s">
        <v>21</v>
      </c>
      <c r="P932" t="str">
        <f>_xlfn.IFS(LEFT(indian_retail_raw_1000[[#This Row],[x]],1)="W", "West",LEFT(indian_retail_raw_1000[[#This Row],[x]],1)= "E","East",LEFT(O932,1) = "S", "South",LEFT(O932,1) = "N", "North")</f>
        <v>South</v>
      </c>
      <c r="Q932" t="s">
        <v>54</v>
      </c>
      <c r="R932" t="s">
        <v>16</v>
      </c>
      <c r="S932" t="str">
        <f>TEXT(indian_retail_raw_1000[[#This Row],[Order_Date]],"MMM")</f>
        <v>Nov</v>
      </c>
    </row>
    <row r="933" spans="1:19" x14ac:dyDescent="0.25">
      <c r="A933" t="s">
        <v>880</v>
      </c>
      <c r="B933" s="1" t="s">
        <v>1336</v>
      </c>
      <c r="C933" t="s">
        <v>1336</v>
      </c>
      <c r="D933">
        <v>21</v>
      </c>
      <c r="E933" t="s">
        <v>23</v>
      </c>
      <c r="F933" t="s">
        <v>54</v>
      </c>
      <c r="G933" t="s">
        <v>144</v>
      </c>
      <c r="H933">
        <v>1</v>
      </c>
      <c r="I933">
        <v>67000</v>
      </c>
      <c r="J933">
        <v>10</v>
      </c>
      <c r="K933" t="s">
        <v>25</v>
      </c>
      <c r="L933" t="s">
        <v>20</v>
      </c>
      <c r="M9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3">
        <v>60300</v>
      </c>
      <c r="O933" t="s">
        <v>45</v>
      </c>
      <c r="P933" t="str">
        <f>_xlfn.IFS(LEFT(indian_retail_raw_1000[[#This Row],[x]],1)="W", "West",LEFT(indian_retail_raw_1000[[#This Row],[x]],1)= "E","East",LEFT(O933,1) = "S", "South",LEFT(O933,1) = "N", "North")</f>
        <v>East</v>
      </c>
      <c r="Q933" t="s">
        <v>54</v>
      </c>
      <c r="R933" t="s">
        <v>23</v>
      </c>
      <c r="S933" t="str">
        <f>TEXT(indian_retail_raw_1000[[#This Row],[Order_Date]],"MMM")</f>
        <v>Null</v>
      </c>
    </row>
    <row r="934" spans="1:19" x14ac:dyDescent="0.25">
      <c r="A934" t="s">
        <v>962</v>
      </c>
      <c r="B934" s="1">
        <v>45226</v>
      </c>
      <c r="C934" t="s">
        <v>1336</v>
      </c>
      <c r="D934">
        <v>64</v>
      </c>
      <c r="E934" t="s">
        <v>16</v>
      </c>
      <c r="F934" t="s">
        <v>30</v>
      </c>
      <c r="G934" t="s">
        <v>60</v>
      </c>
      <c r="H934">
        <v>9</v>
      </c>
      <c r="I934">
        <v>6762</v>
      </c>
      <c r="K934" t="s">
        <v>50</v>
      </c>
      <c r="L934" t="s">
        <v>20</v>
      </c>
      <c r="M9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4">
        <v>60858</v>
      </c>
      <c r="O934" t="s">
        <v>38</v>
      </c>
      <c r="P934" t="str">
        <f>_xlfn.IFS(LEFT(indian_retail_raw_1000[[#This Row],[x]],1)="W", "West",LEFT(indian_retail_raw_1000[[#This Row],[x]],1)= "E","East",LEFT(O934,1) = "S", "South",LEFT(O934,1) = "N", "North")</f>
        <v>North</v>
      </c>
      <c r="Q934" t="s">
        <v>30</v>
      </c>
      <c r="R934" t="s">
        <v>16</v>
      </c>
      <c r="S934" t="str">
        <f>TEXT(indian_retail_raw_1000[[#This Row],[Order_Date]],"MMM")</f>
        <v>Oct</v>
      </c>
    </row>
    <row r="935" spans="1:19" x14ac:dyDescent="0.25">
      <c r="A935" t="s">
        <v>931</v>
      </c>
      <c r="B935" s="1">
        <v>45022</v>
      </c>
      <c r="C935" t="s">
        <v>192</v>
      </c>
      <c r="D935">
        <v>47</v>
      </c>
      <c r="E935" t="s">
        <v>23</v>
      </c>
      <c r="F935" t="s">
        <v>54</v>
      </c>
      <c r="G935" t="s">
        <v>55</v>
      </c>
      <c r="H935">
        <v>2</v>
      </c>
      <c r="I935">
        <v>30500</v>
      </c>
      <c r="J935">
        <v>0</v>
      </c>
      <c r="K935" t="s">
        <v>41</v>
      </c>
      <c r="L935" t="s">
        <v>20</v>
      </c>
      <c r="M9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5">
        <v>61000</v>
      </c>
      <c r="O935" t="s">
        <v>894</v>
      </c>
      <c r="P935" t="str">
        <f>_xlfn.IFS(LEFT(indian_retail_raw_1000[[#This Row],[x]],1)="W", "West",LEFT(indian_retail_raw_1000[[#This Row],[x]],1)= "E","East",LEFT(O935,1) = "S", "South",LEFT(O935,1) = "N", "North")</f>
        <v>North</v>
      </c>
      <c r="Q935" t="s">
        <v>54</v>
      </c>
      <c r="R935" t="s">
        <v>23</v>
      </c>
      <c r="S935" t="str">
        <f>TEXT(indian_retail_raw_1000[[#This Row],[Order_Date]],"MMM")</f>
        <v>Apr</v>
      </c>
    </row>
    <row r="936" spans="1:19" x14ac:dyDescent="0.25">
      <c r="A936" t="s">
        <v>472</v>
      </c>
      <c r="B936" s="1">
        <v>45005</v>
      </c>
      <c r="C936" t="s">
        <v>28</v>
      </c>
      <c r="D936">
        <v>30</v>
      </c>
      <c r="E936" t="s">
        <v>23</v>
      </c>
      <c r="F936" t="s">
        <v>54</v>
      </c>
      <c r="G936" t="s">
        <v>114</v>
      </c>
      <c r="H936">
        <v>1</v>
      </c>
      <c r="I936">
        <v>88400</v>
      </c>
      <c r="J936">
        <v>30</v>
      </c>
      <c r="K936" t="s">
        <v>41</v>
      </c>
      <c r="L936" t="s">
        <v>20</v>
      </c>
      <c r="M9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6">
        <v>61880</v>
      </c>
      <c r="O936" t="s">
        <v>38</v>
      </c>
      <c r="P936" t="str">
        <f>_xlfn.IFS(LEFT(indian_retail_raw_1000[[#This Row],[x]],1)="W", "West",LEFT(indian_retail_raw_1000[[#This Row],[x]],1)= "E","East",LEFT(O936,1) = "S", "South",LEFT(O936,1) = "N", "North")</f>
        <v>North</v>
      </c>
      <c r="Q936" t="s">
        <v>54</v>
      </c>
      <c r="R936" t="s">
        <v>23</v>
      </c>
      <c r="S936" t="str">
        <f>TEXT(indian_retail_raw_1000[[#This Row],[Order_Date]],"MMM")</f>
        <v>Mar</v>
      </c>
    </row>
    <row r="937" spans="1:19" x14ac:dyDescent="0.25">
      <c r="A937" t="s">
        <v>1269</v>
      </c>
      <c r="B937" s="1">
        <v>45202</v>
      </c>
      <c r="C937" t="s">
        <v>1336</v>
      </c>
      <c r="D937">
        <v>23</v>
      </c>
      <c r="E937" t="s">
        <v>16</v>
      </c>
      <c r="F937" t="s">
        <v>54</v>
      </c>
      <c r="G937" t="s">
        <v>144</v>
      </c>
      <c r="H937">
        <v>2</v>
      </c>
      <c r="I937">
        <v>62200</v>
      </c>
      <c r="J937">
        <v>50</v>
      </c>
      <c r="K937" t="s">
        <v>25</v>
      </c>
      <c r="L937" t="s">
        <v>51</v>
      </c>
      <c r="M9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37">
        <v>62200</v>
      </c>
      <c r="O937" t="s">
        <v>38</v>
      </c>
      <c r="P937" t="str">
        <f>_xlfn.IFS(LEFT(indian_retail_raw_1000[[#This Row],[x]],1)="W", "West",LEFT(indian_retail_raw_1000[[#This Row],[x]],1)= "E","East",LEFT(O937,1) = "S", "South",LEFT(O937,1) = "N", "North")</f>
        <v>North</v>
      </c>
      <c r="Q937" t="s">
        <v>54</v>
      </c>
      <c r="R937" t="s">
        <v>16</v>
      </c>
      <c r="S937" t="str">
        <f>TEXT(indian_retail_raw_1000[[#This Row],[Order_Date]],"MMM")</f>
        <v>Oct</v>
      </c>
    </row>
    <row r="938" spans="1:19" x14ac:dyDescent="0.25">
      <c r="A938" t="s">
        <v>196</v>
      </c>
      <c r="B938" s="1">
        <v>45274</v>
      </c>
      <c r="C938" t="s">
        <v>28</v>
      </c>
      <c r="D938">
        <v>62</v>
      </c>
      <c r="E938" t="s">
        <v>23</v>
      </c>
      <c r="F938" t="s">
        <v>54</v>
      </c>
      <c r="G938" t="s">
        <v>55</v>
      </c>
      <c r="H938">
        <v>2</v>
      </c>
      <c r="I938">
        <v>34600</v>
      </c>
      <c r="J938">
        <v>10</v>
      </c>
      <c r="K938" t="s">
        <v>41</v>
      </c>
      <c r="L938" t="s">
        <v>56</v>
      </c>
      <c r="M9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38">
        <v>62280</v>
      </c>
      <c r="O938" t="s">
        <v>38</v>
      </c>
      <c r="P938" t="str">
        <f>_xlfn.IFS(LEFT(indian_retail_raw_1000[[#This Row],[x]],1)="W", "West",LEFT(indian_retail_raw_1000[[#This Row],[x]],1)= "E","East",LEFT(O938,1) = "S", "South",LEFT(O938,1) = "N", "North")</f>
        <v>North</v>
      </c>
      <c r="Q938" t="s">
        <v>54</v>
      </c>
      <c r="R938" t="s">
        <v>23</v>
      </c>
      <c r="S938" t="str">
        <f>TEXT(indian_retail_raw_1000[[#This Row],[Order_Date]],"MMM")</f>
        <v>Dec</v>
      </c>
    </row>
    <row r="939" spans="1:19" x14ac:dyDescent="0.25">
      <c r="A939" t="s">
        <v>509</v>
      </c>
      <c r="B939" s="1">
        <v>45231</v>
      </c>
      <c r="C939" t="s">
        <v>217</v>
      </c>
      <c r="D939">
        <v>21</v>
      </c>
      <c r="E939" t="s">
        <v>16</v>
      </c>
      <c r="F939" t="s">
        <v>510</v>
      </c>
      <c r="G939" t="s">
        <v>88</v>
      </c>
      <c r="H939">
        <v>2</v>
      </c>
      <c r="I939">
        <v>54500</v>
      </c>
      <c r="J939">
        <v>15</v>
      </c>
      <c r="K939" t="s">
        <v>19</v>
      </c>
      <c r="L939" t="s">
        <v>51</v>
      </c>
      <c r="M9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39">
        <v>62650</v>
      </c>
      <c r="O939" t="s">
        <v>45</v>
      </c>
      <c r="P939" t="str">
        <f>_xlfn.IFS(LEFT(indian_retail_raw_1000[[#This Row],[x]],1)="W", "West",LEFT(indian_retail_raw_1000[[#This Row],[x]],1)= "E","East",LEFT(O939,1) = "S", "South",LEFT(O939,1) = "N", "North")</f>
        <v>East</v>
      </c>
      <c r="Q939" t="s">
        <v>54</v>
      </c>
      <c r="R939" t="s">
        <v>16</v>
      </c>
      <c r="S939" t="str">
        <f>TEXT(indian_retail_raw_1000[[#This Row],[Order_Date]],"MMM")</f>
        <v>Nov</v>
      </c>
    </row>
    <row r="940" spans="1:19" x14ac:dyDescent="0.25">
      <c r="A940" t="s">
        <v>448</v>
      </c>
      <c r="B940" s="1">
        <v>45140</v>
      </c>
      <c r="C940" t="s">
        <v>87</v>
      </c>
      <c r="D940">
        <v>55</v>
      </c>
      <c r="E940" t="s">
        <v>23</v>
      </c>
      <c r="F940" t="s">
        <v>54</v>
      </c>
      <c r="G940" t="s">
        <v>280</v>
      </c>
      <c r="H940">
        <v>1</v>
      </c>
      <c r="I940">
        <v>70400</v>
      </c>
      <c r="J940">
        <v>10</v>
      </c>
      <c r="K940" t="s">
        <v>25</v>
      </c>
      <c r="L940" t="s">
        <v>449</v>
      </c>
      <c r="M9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40">
        <v>63360</v>
      </c>
      <c r="O940" t="s">
        <v>26</v>
      </c>
      <c r="P940" t="str">
        <f>_xlfn.IFS(LEFT(indian_retail_raw_1000[[#This Row],[x]],1)="W", "West",LEFT(indian_retail_raw_1000[[#This Row],[x]],1)= "E","East",LEFT(O940,1) = "S", "South",LEFT(O940,1) = "N", "North")</f>
        <v>West</v>
      </c>
      <c r="Q940" t="s">
        <v>54</v>
      </c>
      <c r="R940" t="s">
        <v>23</v>
      </c>
      <c r="S940" t="str">
        <f>TEXT(indian_retail_raw_1000[[#This Row],[Order_Date]],"MMM")</f>
        <v>Aug</v>
      </c>
    </row>
    <row r="941" spans="1:19" x14ac:dyDescent="0.25">
      <c r="A941" t="s">
        <v>782</v>
      </c>
      <c r="B941" s="1" t="s">
        <v>1336</v>
      </c>
      <c r="C941" t="s">
        <v>128</v>
      </c>
      <c r="D941">
        <v>34</v>
      </c>
      <c r="E941" t="s">
        <v>16</v>
      </c>
      <c r="F941" t="s">
        <v>54</v>
      </c>
      <c r="G941" t="s">
        <v>88</v>
      </c>
      <c r="H941">
        <v>2</v>
      </c>
      <c r="I941">
        <v>53400</v>
      </c>
      <c r="J941">
        <v>40</v>
      </c>
      <c r="K941" t="s">
        <v>25</v>
      </c>
      <c r="L941" t="s">
        <v>51</v>
      </c>
      <c r="M9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41">
        <v>64080</v>
      </c>
      <c r="O941" t="s">
        <v>26</v>
      </c>
      <c r="P941" t="str">
        <f>_xlfn.IFS(LEFT(indian_retail_raw_1000[[#This Row],[x]],1)="W", "West",LEFT(indian_retail_raw_1000[[#This Row],[x]],1)= "E","East",LEFT(O941,1) = "S", "South",LEFT(O941,1) = "N", "North")</f>
        <v>West</v>
      </c>
      <c r="Q941" t="s">
        <v>54</v>
      </c>
      <c r="R941" t="s">
        <v>16</v>
      </c>
      <c r="S941" t="str">
        <f>TEXT(indian_retail_raw_1000[[#This Row],[Order_Date]],"MMM")</f>
        <v>Null</v>
      </c>
    </row>
    <row r="942" spans="1:19" x14ac:dyDescent="0.25">
      <c r="A942" t="s">
        <v>1021</v>
      </c>
      <c r="B942" s="1">
        <v>45110</v>
      </c>
      <c r="C942" t="s">
        <v>757</v>
      </c>
      <c r="D942">
        <v>55</v>
      </c>
      <c r="E942" t="s">
        <v>16</v>
      </c>
      <c r="F942" t="s">
        <v>30</v>
      </c>
      <c r="G942" t="s">
        <v>121</v>
      </c>
      <c r="H942">
        <v>9</v>
      </c>
      <c r="I942">
        <v>7153</v>
      </c>
      <c r="J942">
        <v>0</v>
      </c>
      <c r="K942" t="s">
        <v>19</v>
      </c>
      <c r="L942" t="s">
        <v>51</v>
      </c>
      <c r="M9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42">
        <v>64377</v>
      </c>
      <c r="O942" t="s">
        <v>26</v>
      </c>
      <c r="P942" t="str">
        <f>_xlfn.IFS(LEFT(indian_retail_raw_1000[[#This Row],[x]],1)="W", "West",LEFT(indian_retail_raw_1000[[#This Row],[x]],1)= "E","East",LEFT(O942,1) = "S", "South",LEFT(O942,1) = "N", "North")</f>
        <v>West</v>
      </c>
      <c r="Q942" t="s">
        <v>30</v>
      </c>
      <c r="R942" t="s">
        <v>16</v>
      </c>
      <c r="S942" t="str">
        <f>TEXT(indian_retail_raw_1000[[#This Row],[Order_Date]],"MMM")</f>
        <v>Jul</v>
      </c>
    </row>
    <row r="943" spans="1:19" x14ac:dyDescent="0.25">
      <c r="A943" t="s">
        <v>872</v>
      </c>
      <c r="B943" s="1">
        <v>45037</v>
      </c>
      <c r="C943" t="s">
        <v>28</v>
      </c>
      <c r="D943">
        <v>29</v>
      </c>
      <c r="E943" t="s">
        <v>23</v>
      </c>
      <c r="F943" t="s">
        <v>30</v>
      </c>
      <c r="G943" t="s">
        <v>135</v>
      </c>
      <c r="H943">
        <v>5</v>
      </c>
      <c r="I943">
        <v>14392</v>
      </c>
      <c r="J943">
        <v>10</v>
      </c>
      <c r="K943" t="s">
        <v>19</v>
      </c>
      <c r="L943" t="s">
        <v>20</v>
      </c>
      <c r="M9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43">
        <v>64764</v>
      </c>
      <c r="O943" t="s">
        <v>45</v>
      </c>
      <c r="P943" t="str">
        <f>_xlfn.IFS(LEFT(indian_retail_raw_1000[[#This Row],[x]],1)="W", "West",LEFT(indian_retail_raw_1000[[#This Row],[x]],1)= "E","East",LEFT(O943,1) = "S", "South",LEFT(O943,1) = "N", "North")</f>
        <v>East</v>
      </c>
      <c r="Q943" t="s">
        <v>30</v>
      </c>
      <c r="R943" t="s">
        <v>23</v>
      </c>
      <c r="S943" t="str">
        <f>TEXT(indian_retail_raw_1000[[#This Row],[Order_Date]],"MMM")</f>
        <v>Apr</v>
      </c>
    </row>
    <row r="944" spans="1:19" x14ac:dyDescent="0.25">
      <c r="A944" t="s">
        <v>743</v>
      </c>
      <c r="B944" s="1">
        <v>45032</v>
      </c>
      <c r="C944" t="s">
        <v>198</v>
      </c>
      <c r="D944">
        <v>46</v>
      </c>
      <c r="E944" t="s">
        <v>16</v>
      </c>
      <c r="F944" t="s">
        <v>54</v>
      </c>
      <c r="G944" t="s">
        <v>280</v>
      </c>
      <c r="H944">
        <v>20</v>
      </c>
      <c r="I944">
        <v>43700</v>
      </c>
      <c r="J944">
        <v>25</v>
      </c>
      <c r="K944" t="s">
        <v>261</v>
      </c>
      <c r="L944" t="s">
        <v>20</v>
      </c>
      <c r="M9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44">
        <v>65550</v>
      </c>
      <c r="O944" t="s">
        <v>21</v>
      </c>
      <c r="P944" t="str">
        <f>_xlfn.IFS(LEFT(indian_retail_raw_1000[[#This Row],[x]],1)="W", "West",LEFT(indian_retail_raw_1000[[#This Row],[x]],1)= "E","East",LEFT(O944,1) = "S", "South",LEFT(O944,1) = "N", "North")</f>
        <v>South</v>
      </c>
      <c r="Q944" t="s">
        <v>54</v>
      </c>
      <c r="R944" t="s">
        <v>16</v>
      </c>
      <c r="S944" t="str">
        <f>TEXT(indian_retail_raw_1000[[#This Row],[Order_Date]],"MMM")</f>
        <v>Apr</v>
      </c>
    </row>
    <row r="945" spans="1:19" x14ac:dyDescent="0.25">
      <c r="A945" t="s">
        <v>528</v>
      </c>
      <c r="B945" s="1">
        <v>45231</v>
      </c>
      <c r="C945" t="s">
        <v>318</v>
      </c>
      <c r="D945">
        <v>44</v>
      </c>
      <c r="E945" t="s">
        <v>16</v>
      </c>
      <c r="F945" t="s">
        <v>54</v>
      </c>
      <c r="G945" t="s">
        <v>237</v>
      </c>
      <c r="H945">
        <v>2</v>
      </c>
      <c r="I945">
        <v>47300</v>
      </c>
      <c r="J945">
        <v>30</v>
      </c>
      <c r="K945" t="s">
        <v>19</v>
      </c>
      <c r="L945" t="s">
        <v>56</v>
      </c>
      <c r="M9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45">
        <v>66220</v>
      </c>
      <c r="O945" t="s">
        <v>149</v>
      </c>
      <c r="P945" t="str">
        <f>_xlfn.IFS(LEFT(indian_retail_raw_1000[[#This Row],[x]],1)="W", "West",LEFT(indian_retail_raw_1000[[#This Row],[x]],1)= "E","East",LEFT(O945,1) = "S", "South",LEFT(O945,1) = "N", "North")</f>
        <v>West</v>
      </c>
      <c r="Q945" t="s">
        <v>54</v>
      </c>
      <c r="R945" t="s">
        <v>16</v>
      </c>
      <c r="S945" t="str">
        <f>TEXT(indian_retail_raw_1000[[#This Row],[Order_Date]],"MMM")</f>
        <v>Nov</v>
      </c>
    </row>
    <row r="946" spans="1:19" x14ac:dyDescent="0.25">
      <c r="A946" t="s">
        <v>886</v>
      </c>
      <c r="B946" s="1">
        <v>45280</v>
      </c>
      <c r="C946" t="s">
        <v>152</v>
      </c>
      <c r="D946">
        <v>19</v>
      </c>
      <c r="E946" t="s">
        <v>23</v>
      </c>
      <c r="F946" t="s">
        <v>54</v>
      </c>
      <c r="G946" t="s">
        <v>114</v>
      </c>
      <c r="H946">
        <v>2</v>
      </c>
      <c r="I946">
        <v>86900</v>
      </c>
      <c r="J946">
        <v>10</v>
      </c>
      <c r="K946" t="s">
        <v>41</v>
      </c>
      <c r="L946" t="s">
        <v>20</v>
      </c>
      <c r="M9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46">
        <v>66900</v>
      </c>
      <c r="O946" t="s">
        <v>45</v>
      </c>
      <c r="P946" t="str">
        <f>_xlfn.IFS(LEFT(indian_retail_raw_1000[[#This Row],[x]],1)="W", "West",LEFT(indian_retail_raw_1000[[#This Row],[x]],1)= "E","East",LEFT(O946,1) = "S", "South",LEFT(O946,1) = "N", "North")</f>
        <v>East</v>
      </c>
      <c r="Q946" t="s">
        <v>54</v>
      </c>
      <c r="R946" t="s">
        <v>23</v>
      </c>
      <c r="S946" t="str">
        <f>TEXT(indian_retail_raw_1000[[#This Row],[Order_Date]],"MMM")</f>
        <v>Dec</v>
      </c>
    </row>
    <row r="947" spans="1:19" x14ac:dyDescent="0.25">
      <c r="A947" t="s">
        <v>391</v>
      </c>
      <c r="B947" s="1" t="s">
        <v>1336</v>
      </c>
      <c r="C947" t="s">
        <v>170</v>
      </c>
      <c r="D947">
        <v>47</v>
      </c>
      <c r="E947" t="s">
        <v>143</v>
      </c>
      <c r="F947" t="s">
        <v>30</v>
      </c>
      <c r="G947" t="s">
        <v>268</v>
      </c>
      <c r="H947">
        <v>99</v>
      </c>
      <c r="I947">
        <v>1359</v>
      </c>
      <c r="J947">
        <v>50</v>
      </c>
      <c r="K947" t="s">
        <v>41</v>
      </c>
      <c r="L947" t="s">
        <v>56</v>
      </c>
      <c r="M9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47">
        <v>67270.5</v>
      </c>
      <c r="O947" t="s">
        <v>38</v>
      </c>
      <c r="P947" t="str">
        <f>_xlfn.IFS(LEFT(indian_retail_raw_1000[[#This Row],[x]],1)="W", "West",LEFT(indian_retail_raw_1000[[#This Row],[x]],1)= "E","East",LEFT(O947,1) = "S", "South",LEFT(O947,1) = "N", "North")</f>
        <v>North</v>
      </c>
      <c r="Q947" t="s">
        <v>30</v>
      </c>
      <c r="R947" t="s">
        <v>138</v>
      </c>
      <c r="S947" t="str">
        <f>TEXT(indian_retail_raw_1000[[#This Row],[Order_Date]],"MMM")</f>
        <v>Null</v>
      </c>
    </row>
    <row r="948" spans="1:19" x14ac:dyDescent="0.25">
      <c r="A948" t="s">
        <v>1039</v>
      </c>
      <c r="B948" s="1">
        <v>45184</v>
      </c>
      <c r="C948" t="s">
        <v>1336</v>
      </c>
      <c r="D948">
        <v>21</v>
      </c>
      <c r="E948" t="s">
        <v>23</v>
      </c>
      <c r="F948" t="s">
        <v>54</v>
      </c>
      <c r="G948" t="s">
        <v>88</v>
      </c>
      <c r="H948">
        <v>2</v>
      </c>
      <c r="I948">
        <v>51500</v>
      </c>
      <c r="J948">
        <v>5</v>
      </c>
      <c r="K948" t="s">
        <v>83</v>
      </c>
      <c r="L948" t="s">
        <v>51</v>
      </c>
      <c r="M9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48">
        <v>67850</v>
      </c>
      <c r="O948" t="s">
        <v>45</v>
      </c>
      <c r="P948" t="str">
        <f>_xlfn.IFS(LEFT(indian_retail_raw_1000[[#This Row],[x]],1)="W", "West",LEFT(indian_retail_raw_1000[[#This Row],[x]],1)= "E","East",LEFT(O948,1) = "S", "South",LEFT(O948,1) = "N", "North")</f>
        <v>East</v>
      </c>
      <c r="Q948" t="s">
        <v>54</v>
      </c>
      <c r="R948" t="s">
        <v>23</v>
      </c>
      <c r="S948" t="str">
        <f>TEXT(indian_retail_raw_1000[[#This Row],[Order_Date]],"MMM")</f>
        <v>Sep</v>
      </c>
    </row>
    <row r="949" spans="1:19" x14ac:dyDescent="0.25">
      <c r="A949" t="s">
        <v>453</v>
      </c>
      <c r="B949" s="1">
        <v>44988</v>
      </c>
      <c r="C949" t="s">
        <v>102</v>
      </c>
      <c r="D949">
        <v>21</v>
      </c>
      <c r="E949" t="s">
        <v>23</v>
      </c>
      <c r="F949" t="s">
        <v>54</v>
      </c>
      <c r="G949" t="s">
        <v>114</v>
      </c>
      <c r="H949">
        <v>1</v>
      </c>
      <c r="I949">
        <v>75800</v>
      </c>
      <c r="J949">
        <v>10</v>
      </c>
      <c r="K949" t="s">
        <v>222</v>
      </c>
      <c r="L949" t="s">
        <v>20</v>
      </c>
      <c r="M9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49">
        <v>68220</v>
      </c>
      <c r="O949" t="s">
        <v>21</v>
      </c>
      <c r="P949" t="str">
        <f>_xlfn.IFS(LEFT(indian_retail_raw_1000[[#This Row],[x]],1)="W", "West",LEFT(indian_retail_raw_1000[[#This Row],[x]],1)= "E","East",LEFT(O949,1) = "S", "South",LEFT(O949,1) = "N", "North")</f>
        <v>South</v>
      </c>
      <c r="Q949" t="s">
        <v>54</v>
      </c>
      <c r="R949" t="s">
        <v>23</v>
      </c>
      <c r="S949" t="str">
        <f>TEXT(indian_retail_raw_1000[[#This Row],[Order_Date]],"MMM")</f>
        <v>Mar</v>
      </c>
    </row>
    <row r="950" spans="1:19" x14ac:dyDescent="0.25">
      <c r="A950" t="s">
        <v>520</v>
      </c>
      <c r="B950" s="1">
        <v>45068</v>
      </c>
      <c r="C950" t="s">
        <v>72</v>
      </c>
      <c r="D950">
        <v>33</v>
      </c>
      <c r="E950" t="s">
        <v>23</v>
      </c>
      <c r="F950" t="s">
        <v>30</v>
      </c>
      <c r="G950" t="s">
        <v>67</v>
      </c>
      <c r="H950">
        <v>10</v>
      </c>
      <c r="I950">
        <v>3667</v>
      </c>
      <c r="J950">
        <v>5</v>
      </c>
      <c r="K950" t="s">
        <v>89</v>
      </c>
      <c r="L950" t="s">
        <v>20</v>
      </c>
      <c r="M9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0">
        <v>69673</v>
      </c>
      <c r="O950" t="s">
        <v>45</v>
      </c>
      <c r="P950" t="str">
        <f>_xlfn.IFS(LEFT(indian_retail_raw_1000[[#This Row],[x]],1)="W", "West",LEFT(indian_retail_raw_1000[[#This Row],[x]],1)= "E","East",LEFT(O950,1) = "S", "South",LEFT(O950,1) = "N", "North")</f>
        <v>East</v>
      </c>
      <c r="Q950" t="s">
        <v>30</v>
      </c>
      <c r="R950" t="s">
        <v>23</v>
      </c>
      <c r="S950" t="str">
        <f>TEXT(indian_retail_raw_1000[[#This Row],[Order_Date]],"MMM")</f>
        <v>May</v>
      </c>
    </row>
    <row r="951" spans="1:19" x14ac:dyDescent="0.25">
      <c r="A951" t="s">
        <v>329</v>
      </c>
      <c r="B951" s="1" t="s">
        <v>1336</v>
      </c>
      <c r="C951" t="s">
        <v>156</v>
      </c>
      <c r="D951">
        <v>48</v>
      </c>
      <c r="E951" t="s">
        <v>23</v>
      </c>
      <c r="F951" t="s">
        <v>35</v>
      </c>
      <c r="G951" t="s">
        <v>331</v>
      </c>
      <c r="H951">
        <v>10</v>
      </c>
      <c r="I951">
        <v>781586</v>
      </c>
      <c r="J951">
        <v>10</v>
      </c>
      <c r="K951" t="s">
        <v>50</v>
      </c>
      <c r="L951" t="s">
        <v>51</v>
      </c>
      <c r="M9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51">
        <v>70342</v>
      </c>
      <c r="O951" t="s">
        <v>332</v>
      </c>
      <c r="P951" t="str">
        <f>_xlfn.IFS(LEFT(indian_retail_raw_1000[[#This Row],[x]],1)="W", "West",LEFT(indian_retail_raw_1000[[#This Row],[x]],1)= "E","East",LEFT(O951,1) = "S", "South",LEFT(O951,1) = "N", "North")</f>
        <v>North</v>
      </c>
      <c r="Q951" t="s">
        <v>35</v>
      </c>
      <c r="R951" t="s">
        <v>23</v>
      </c>
      <c r="S951" t="str">
        <f>TEXT(indian_retail_raw_1000[[#This Row],[Order_Date]],"MMM")</f>
        <v>Null</v>
      </c>
    </row>
    <row r="952" spans="1:19" x14ac:dyDescent="0.25">
      <c r="A952" t="s">
        <v>329</v>
      </c>
      <c r="B952" s="1" t="s">
        <v>1336</v>
      </c>
      <c r="C952" t="s">
        <v>156</v>
      </c>
      <c r="D952">
        <v>48</v>
      </c>
      <c r="E952" t="s">
        <v>23</v>
      </c>
      <c r="F952" t="s">
        <v>35</v>
      </c>
      <c r="G952" t="s">
        <v>331</v>
      </c>
      <c r="H952">
        <v>10</v>
      </c>
      <c r="I952">
        <v>781586</v>
      </c>
      <c r="J952">
        <v>10</v>
      </c>
      <c r="K952" t="s">
        <v>50</v>
      </c>
      <c r="L952" t="s">
        <v>51</v>
      </c>
      <c r="M9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52">
        <v>70342</v>
      </c>
      <c r="O952" t="s">
        <v>332</v>
      </c>
      <c r="P952" t="str">
        <f>_xlfn.IFS(LEFT(indian_retail_raw_1000[[#This Row],[x]],1)="W", "West",LEFT(indian_retail_raw_1000[[#This Row],[x]],1)= "E","East",LEFT(O952,1) = "S", "South",LEFT(O952,1) = "N", "North")</f>
        <v>North</v>
      </c>
      <c r="Q952" t="s">
        <v>35</v>
      </c>
      <c r="R952" t="s">
        <v>23</v>
      </c>
      <c r="S952" t="str">
        <f>TEXT(indian_retail_raw_1000[[#This Row],[Order_Date]],"MMM")</f>
        <v>Null</v>
      </c>
    </row>
    <row r="953" spans="1:19" x14ac:dyDescent="0.25">
      <c r="A953" t="s">
        <v>780</v>
      </c>
      <c r="B953" s="1" t="s">
        <v>1336</v>
      </c>
      <c r="C953" t="s">
        <v>165</v>
      </c>
      <c r="D953">
        <v>35</v>
      </c>
      <c r="E953" t="s">
        <v>16</v>
      </c>
      <c r="F953" t="s">
        <v>54</v>
      </c>
      <c r="G953" t="s">
        <v>280</v>
      </c>
      <c r="H953">
        <v>1</v>
      </c>
      <c r="I953">
        <v>70600</v>
      </c>
      <c r="J953">
        <v>0</v>
      </c>
      <c r="K953" t="s">
        <v>25</v>
      </c>
      <c r="L953" t="s">
        <v>20</v>
      </c>
      <c r="M9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3">
        <v>70600</v>
      </c>
      <c r="O953" t="s">
        <v>45</v>
      </c>
      <c r="P953" t="str">
        <f>_xlfn.IFS(LEFT(indian_retail_raw_1000[[#This Row],[x]],1)="W", "West",LEFT(indian_retail_raw_1000[[#This Row],[x]],1)= "E","East",LEFT(O953,1) = "S", "South",LEFT(O953,1) = "N", "North")</f>
        <v>East</v>
      </c>
      <c r="Q953" t="s">
        <v>54</v>
      </c>
      <c r="R953" t="s">
        <v>16</v>
      </c>
      <c r="S953" t="str">
        <f>TEXT(indian_retail_raw_1000[[#This Row],[Order_Date]],"MMM")</f>
        <v>Null</v>
      </c>
    </row>
    <row r="954" spans="1:19" x14ac:dyDescent="0.25">
      <c r="A954" t="s">
        <v>1168</v>
      </c>
      <c r="B954" s="1">
        <v>45238</v>
      </c>
      <c r="C954" t="s">
        <v>43</v>
      </c>
      <c r="D954">
        <v>59</v>
      </c>
      <c r="E954" t="s">
        <v>23</v>
      </c>
      <c r="F954" t="s">
        <v>30</v>
      </c>
      <c r="G954" t="s">
        <v>60</v>
      </c>
      <c r="H954">
        <v>6</v>
      </c>
      <c r="I954">
        <v>8358</v>
      </c>
      <c r="J954">
        <v>25</v>
      </c>
      <c r="K954" t="s">
        <v>19</v>
      </c>
      <c r="L954" t="s">
        <v>56</v>
      </c>
      <c r="M9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54">
        <v>75222</v>
      </c>
      <c r="O954" t="s">
        <v>38</v>
      </c>
      <c r="P954" t="str">
        <f>_xlfn.IFS(LEFT(indian_retail_raw_1000[[#This Row],[x]],1)="W", "West",LEFT(indian_retail_raw_1000[[#This Row],[x]],1)= "E","East",LEFT(O954,1) = "S", "South",LEFT(O954,1) = "N", "North")</f>
        <v>North</v>
      </c>
      <c r="Q954" t="s">
        <v>30</v>
      </c>
      <c r="R954" t="s">
        <v>23</v>
      </c>
      <c r="S954" t="str">
        <f>TEXT(indian_retail_raw_1000[[#This Row],[Order_Date]],"MMM")</f>
        <v>Nov</v>
      </c>
    </row>
    <row r="955" spans="1:19" x14ac:dyDescent="0.25">
      <c r="A955" t="s">
        <v>588</v>
      </c>
      <c r="B955" s="1">
        <v>45058</v>
      </c>
      <c r="C955" t="s">
        <v>587</v>
      </c>
      <c r="D955">
        <v>51</v>
      </c>
      <c r="E955" t="s">
        <v>16</v>
      </c>
      <c r="F955" t="s">
        <v>30</v>
      </c>
      <c r="G955" t="s">
        <v>135</v>
      </c>
      <c r="H955">
        <v>7</v>
      </c>
      <c r="I955">
        <v>10792</v>
      </c>
      <c r="J955">
        <v>0</v>
      </c>
      <c r="K955" t="s">
        <v>41</v>
      </c>
      <c r="L955" t="s">
        <v>20</v>
      </c>
      <c r="M9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5">
        <v>75544</v>
      </c>
      <c r="O955" t="s">
        <v>26</v>
      </c>
      <c r="P955" t="str">
        <f>_xlfn.IFS(LEFT(indian_retail_raw_1000[[#This Row],[x]],1)="W", "West",LEFT(indian_retail_raw_1000[[#This Row],[x]],1)= "E","East",LEFT(O955,1) = "S", "South",LEFT(O955,1) = "N", "North")</f>
        <v>West</v>
      </c>
      <c r="Q955" t="s">
        <v>30</v>
      </c>
      <c r="R955" t="s">
        <v>16</v>
      </c>
      <c r="S955" t="str">
        <f>TEXT(indian_retail_raw_1000[[#This Row],[Order_Date]],"MMM")</f>
        <v>May</v>
      </c>
    </row>
    <row r="956" spans="1:19" x14ac:dyDescent="0.25">
      <c r="A956" t="s">
        <v>1129</v>
      </c>
      <c r="B956" s="1">
        <v>44992</v>
      </c>
      <c r="C956" t="s">
        <v>53</v>
      </c>
      <c r="D956">
        <v>58</v>
      </c>
      <c r="E956" t="s">
        <v>23</v>
      </c>
      <c r="F956" t="s">
        <v>54</v>
      </c>
      <c r="G956" t="s">
        <v>114</v>
      </c>
      <c r="H956">
        <v>1</v>
      </c>
      <c r="I956">
        <v>84900</v>
      </c>
      <c r="J956">
        <v>10</v>
      </c>
      <c r="K956" t="s">
        <v>50</v>
      </c>
      <c r="L956" t="s">
        <v>20</v>
      </c>
      <c r="M9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6">
        <v>76410</v>
      </c>
      <c r="O956" t="s">
        <v>21</v>
      </c>
      <c r="P956" t="str">
        <f>_xlfn.IFS(LEFT(indian_retail_raw_1000[[#This Row],[x]],1)="W", "West",LEFT(indian_retail_raw_1000[[#This Row],[x]],1)= "E","East",LEFT(O956,1) = "S", "South",LEFT(O956,1) = "N", "North")</f>
        <v>South</v>
      </c>
      <c r="Q956" t="s">
        <v>54</v>
      </c>
      <c r="R956" t="s">
        <v>23</v>
      </c>
      <c r="S956" t="str">
        <f>TEXT(indian_retail_raw_1000[[#This Row],[Order_Date]],"MMM")</f>
        <v>Mar</v>
      </c>
    </row>
    <row r="957" spans="1:19" x14ac:dyDescent="0.25">
      <c r="A957" t="s">
        <v>716</v>
      </c>
      <c r="B957" s="1">
        <v>45183</v>
      </c>
      <c r="C957" t="s">
        <v>1336</v>
      </c>
      <c r="D957">
        <v>55</v>
      </c>
      <c r="E957" t="s">
        <v>23</v>
      </c>
      <c r="F957" t="s">
        <v>17</v>
      </c>
      <c r="G957" t="s">
        <v>297</v>
      </c>
      <c r="H957">
        <v>3</v>
      </c>
      <c r="I957">
        <v>8000</v>
      </c>
      <c r="J957">
        <v>20</v>
      </c>
      <c r="K957" t="s">
        <v>19</v>
      </c>
      <c r="L957" t="s">
        <v>20</v>
      </c>
      <c r="M9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7">
        <v>76800</v>
      </c>
      <c r="O957" t="s">
        <v>352</v>
      </c>
      <c r="P957" t="str">
        <f>_xlfn.IFS(LEFT(indian_retail_raw_1000[[#This Row],[x]],1)="W", "West",LEFT(indian_retail_raw_1000[[#This Row],[x]],1)= "E","East",LEFT(O957,1) = "S", "South",LEFT(O957,1) = "N", "North")</f>
        <v>East</v>
      </c>
      <c r="Q957" t="s">
        <v>17</v>
      </c>
      <c r="R957" t="s">
        <v>23</v>
      </c>
      <c r="S957" t="str">
        <f>TEXT(indian_retail_raw_1000[[#This Row],[Order_Date]],"MMM")</f>
        <v>Sep</v>
      </c>
    </row>
    <row r="958" spans="1:19" x14ac:dyDescent="0.25">
      <c r="A958" t="s">
        <v>1233</v>
      </c>
      <c r="B958" s="1">
        <v>45198</v>
      </c>
      <c r="C958" t="s">
        <v>156</v>
      </c>
      <c r="D958">
        <v>20</v>
      </c>
      <c r="E958" t="s">
        <v>29</v>
      </c>
      <c r="F958" t="s">
        <v>54</v>
      </c>
      <c r="G958" t="s">
        <v>114</v>
      </c>
      <c r="H958">
        <v>1</v>
      </c>
      <c r="I958">
        <v>91100</v>
      </c>
      <c r="J958">
        <v>15</v>
      </c>
      <c r="K958" t="s">
        <v>326</v>
      </c>
      <c r="L958" t="s">
        <v>20</v>
      </c>
      <c r="M9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8">
        <v>77435</v>
      </c>
      <c r="O958" t="s">
        <v>38</v>
      </c>
      <c r="P958" t="str">
        <f>_xlfn.IFS(LEFT(indian_retail_raw_1000[[#This Row],[x]],1)="W", "West",LEFT(indian_retail_raw_1000[[#This Row],[x]],1)= "E","East",LEFT(O958,1) = "S", "South",LEFT(O958,1) = "N", "North")</f>
        <v>North</v>
      </c>
      <c r="Q958" t="s">
        <v>54</v>
      </c>
      <c r="R958" t="s">
        <v>16</v>
      </c>
      <c r="S958" t="str">
        <f>TEXT(indian_retail_raw_1000[[#This Row],[Order_Date]],"MMM")</f>
        <v>Sep</v>
      </c>
    </row>
    <row r="959" spans="1:19" x14ac:dyDescent="0.25">
      <c r="A959" t="s">
        <v>1211</v>
      </c>
      <c r="B959" s="1">
        <v>45130</v>
      </c>
      <c r="C959" t="s">
        <v>1336</v>
      </c>
      <c r="D959">
        <v>32</v>
      </c>
      <c r="E959" t="s">
        <v>16</v>
      </c>
      <c r="F959" t="s">
        <v>54</v>
      </c>
      <c r="G959" t="s">
        <v>237</v>
      </c>
      <c r="H959">
        <v>2</v>
      </c>
      <c r="I959">
        <v>43300</v>
      </c>
      <c r="J959">
        <v>10</v>
      </c>
      <c r="K959" t="s">
        <v>19</v>
      </c>
      <c r="L959" t="s">
        <v>20</v>
      </c>
      <c r="M9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9">
        <v>77940</v>
      </c>
      <c r="O959" t="s">
        <v>38</v>
      </c>
      <c r="P959" t="str">
        <f>_xlfn.IFS(LEFT(indian_retail_raw_1000[[#This Row],[x]],1)="W", "West",LEFT(indian_retail_raw_1000[[#This Row],[x]],1)= "E","East",LEFT(O959,1) = "S", "South",LEFT(O959,1) = "N", "North")</f>
        <v>North</v>
      </c>
      <c r="Q959" t="s">
        <v>54</v>
      </c>
      <c r="R959" t="s">
        <v>16</v>
      </c>
      <c r="S959" t="str">
        <f>TEXT(indian_retail_raw_1000[[#This Row],[Order_Date]],"MMM")</f>
        <v>Jul</v>
      </c>
    </row>
    <row r="960" spans="1:19" x14ac:dyDescent="0.25">
      <c r="A960" t="s">
        <v>560</v>
      </c>
      <c r="B960" s="1">
        <v>45175</v>
      </c>
      <c r="C960" t="s">
        <v>1336</v>
      </c>
      <c r="D960">
        <v>27</v>
      </c>
      <c r="E960" t="s">
        <v>23</v>
      </c>
      <c r="F960" t="s">
        <v>54</v>
      </c>
      <c r="G960" t="s">
        <v>88</v>
      </c>
      <c r="H960">
        <v>2</v>
      </c>
      <c r="I960">
        <v>52100</v>
      </c>
      <c r="J960">
        <v>5</v>
      </c>
      <c r="K960" t="s">
        <v>19</v>
      </c>
      <c r="L960" t="s">
        <v>20</v>
      </c>
      <c r="M9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0">
        <v>78990</v>
      </c>
      <c r="O960" t="s">
        <v>45</v>
      </c>
      <c r="P960" t="str">
        <f>_xlfn.IFS(LEFT(indian_retail_raw_1000[[#This Row],[x]],1)="W", "West",LEFT(indian_retail_raw_1000[[#This Row],[x]],1)= "E","East",LEFT(O960,1) = "S", "South",LEFT(O960,1) = "N", "North")</f>
        <v>East</v>
      </c>
      <c r="Q960" t="s">
        <v>54</v>
      </c>
      <c r="R960" t="s">
        <v>23</v>
      </c>
      <c r="S960" t="str">
        <f>TEXT(indian_retail_raw_1000[[#This Row],[Order_Date]],"MMM")</f>
        <v>Sep</v>
      </c>
    </row>
    <row r="961" spans="1:19" x14ac:dyDescent="0.25">
      <c r="A961" t="s">
        <v>420</v>
      </c>
      <c r="B961" s="1" t="s">
        <v>1336</v>
      </c>
      <c r="C961" t="s">
        <v>87</v>
      </c>
      <c r="D961">
        <v>62</v>
      </c>
      <c r="E961" t="s">
        <v>23</v>
      </c>
      <c r="F961" t="s">
        <v>17</v>
      </c>
      <c r="G961" t="s">
        <v>259</v>
      </c>
      <c r="H961">
        <v>20</v>
      </c>
      <c r="I961">
        <v>4950</v>
      </c>
      <c r="J961">
        <v>20</v>
      </c>
      <c r="K961" t="s">
        <v>115</v>
      </c>
      <c r="L961" t="s">
        <v>20</v>
      </c>
      <c r="M9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1">
        <v>79200</v>
      </c>
      <c r="O961" t="s">
        <v>45</v>
      </c>
      <c r="P961" t="str">
        <f>_xlfn.IFS(LEFT(indian_retail_raw_1000[[#This Row],[x]],1)="W", "West",LEFT(indian_retail_raw_1000[[#This Row],[x]],1)= "E","East",LEFT(O961,1) = "S", "South",LEFT(O961,1) = "N", "North")</f>
        <v>East</v>
      </c>
      <c r="Q961" t="s">
        <v>17</v>
      </c>
      <c r="R961" t="s">
        <v>23</v>
      </c>
      <c r="S961" t="str">
        <f>TEXT(indian_retail_raw_1000[[#This Row],[Order_Date]],"MMM")</f>
        <v>Null</v>
      </c>
    </row>
    <row r="962" spans="1:19" x14ac:dyDescent="0.25">
      <c r="A962" t="s">
        <v>563</v>
      </c>
      <c r="B962" s="1">
        <v>45224</v>
      </c>
      <c r="C962" t="s">
        <v>165</v>
      </c>
      <c r="D962">
        <v>50</v>
      </c>
      <c r="E962" t="s">
        <v>23</v>
      </c>
      <c r="F962" t="s">
        <v>54</v>
      </c>
      <c r="G962" t="s">
        <v>280</v>
      </c>
      <c r="H962">
        <v>2</v>
      </c>
      <c r="I962">
        <v>79800</v>
      </c>
      <c r="J962">
        <v>50</v>
      </c>
      <c r="K962" t="s">
        <v>41</v>
      </c>
      <c r="L962" t="s">
        <v>37</v>
      </c>
      <c r="M9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2">
        <v>59800</v>
      </c>
      <c r="O962" t="s">
        <v>45</v>
      </c>
      <c r="P962" t="str">
        <f>_xlfn.IFS(LEFT(indian_retail_raw_1000[[#This Row],[x]],1)="W", "West",LEFT(indian_retail_raw_1000[[#This Row],[x]],1)= "E","East",LEFT(O962,1) = "S", "South",LEFT(O962,1) = "N", "North")</f>
        <v>East</v>
      </c>
      <c r="Q962" t="s">
        <v>54</v>
      </c>
      <c r="R962" t="s">
        <v>23</v>
      </c>
      <c r="S962" t="str">
        <f>TEXT(indian_retail_raw_1000[[#This Row],[Order_Date]],"MMM")</f>
        <v>Oct</v>
      </c>
    </row>
    <row r="963" spans="1:19" x14ac:dyDescent="0.25">
      <c r="A963" t="s">
        <v>818</v>
      </c>
      <c r="B963" s="1">
        <v>44935</v>
      </c>
      <c r="C963" t="s">
        <v>1336</v>
      </c>
      <c r="D963">
        <v>39</v>
      </c>
      <c r="E963" t="s">
        <v>16</v>
      </c>
      <c r="F963" t="s">
        <v>54</v>
      </c>
      <c r="G963" t="s">
        <v>114</v>
      </c>
      <c r="H963">
        <v>1</v>
      </c>
      <c r="I963">
        <v>94500</v>
      </c>
      <c r="J963">
        <v>15</v>
      </c>
      <c r="K963" t="s">
        <v>19</v>
      </c>
      <c r="L963" t="s">
        <v>20</v>
      </c>
      <c r="M9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3">
        <v>60325</v>
      </c>
      <c r="O963" t="s">
        <v>38</v>
      </c>
      <c r="P963" t="str">
        <f>_xlfn.IFS(LEFT(indian_retail_raw_1000[[#This Row],[x]],1)="W", "West",LEFT(indian_retail_raw_1000[[#This Row],[x]],1)= "E","East",LEFT(O963,1) = "S", "South",LEFT(O963,1) = "N", "North")</f>
        <v>North</v>
      </c>
      <c r="Q963" t="s">
        <v>54</v>
      </c>
      <c r="R963" t="s">
        <v>16</v>
      </c>
      <c r="S963" t="str">
        <f>TEXT(indian_retail_raw_1000[[#This Row],[Order_Date]],"MMM")</f>
        <v>Jan</v>
      </c>
    </row>
    <row r="964" spans="1:19" x14ac:dyDescent="0.25">
      <c r="A964" t="s">
        <v>1244</v>
      </c>
      <c r="B964" s="1">
        <v>45247</v>
      </c>
      <c r="C964" t="s">
        <v>1336</v>
      </c>
      <c r="D964">
        <v>49</v>
      </c>
      <c r="E964" t="s">
        <v>443</v>
      </c>
      <c r="F964" t="s">
        <v>54</v>
      </c>
      <c r="G964" t="s">
        <v>280</v>
      </c>
      <c r="H964">
        <v>2</v>
      </c>
      <c r="I964">
        <v>40900</v>
      </c>
      <c r="J964">
        <v>0</v>
      </c>
      <c r="K964" t="s">
        <v>41</v>
      </c>
      <c r="L964" t="s">
        <v>20</v>
      </c>
      <c r="M9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4">
        <v>81800</v>
      </c>
      <c r="O964" t="s">
        <v>26</v>
      </c>
      <c r="P964" t="str">
        <f>_xlfn.IFS(LEFT(indian_retail_raw_1000[[#This Row],[x]],1)="W", "West",LEFT(indian_retail_raw_1000[[#This Row],[x]],1)= "E","East",LEFT(O964,1) = "S", "South",LEFT(O964,1) = "N", "North")</f>
        <v>West</v>
      </c>
      <c r="Q964" t="s">
        <v>54</v>
      </c>
      <c r="R964" t="s">
        <v>23</v>
      </c>
      <c r="S964" t="str">
        <f>TEXT(indian_retail_raw_1000[[#This Row],[Order_Date]],"MMM")</f>
        <v>Nov</v>
      </c>
    </row>
    <row r="965" spans="1:19" x14ac:dyDescent="0.25">
      <c r="A965" t="s">
        <v>980</v>
      </c>
      <c r="B965" s="1">
        <v>45172</v>
      </c>
      <c r="C965" t="s">
        <v>176</v>
      </c>
      <c r="D965">
        <v>7</v>
      </c>
      <c r="E965" t="s">
        <v>16</v>
      </c>
      <c r="F965" t="s">
        <v>54</v>
      </c>
      <c r="G965" t="s">
        <v>280</v>
      </c>
      <c r="H965">
        <v>2</v>
      </c>
      <c r="I965">
        <v>68300</v>
      </c>
      <c r="J965">
        <v>40</v>
      </c>
      <c r="K965" t="s">
        <v>25</v>
      </c>
      <c r="L965" t="s">
        <v>20</v>
      </c>
      <c r="M9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5">
        <v>81960</v>
      </c>
      <c r="O965" t="s">
        <v>21</v>
      </c>
      <c r="P965" t="str">
        <f>_xlfn.IFS(LEFT(indian_retail_raw_1000[[#This Row],[x]],1)="W", "West",LEFT(indian_retail_raw_1000[[#This Row],[x]],1)= "E","East",LEFT(O965,1) = "S", "South",LEFT(O965,1) = "N", "North")</f>
        <v>South</v>
      </c>
      <c r="Q965" t="s">
        <v>54</v>
      </c>
      <c r="R965" t="s">
        <v>16</v>
      </c>
      <c r="S965" t="str">
        <f>TEXT(indian_retail_raw_1000[[#This Row],[Order_Date]],"MMM")</f>
        <v>Sep</v>
      </c>
    </row>
    <row r="966" spans="1:19" x14ac:dyDescent="0.25">
      <c r="A966" t="s">
        <v>1286</v>
      </c>
      <c r="B966" s="1">
        <v>45268</v>
      </c>
      <c r="C966" t="s">
        <v>176</v>
      </c>
      <c r="D966">
        <v>42</v>
      </c>
      <c r="E966" t="s">
        <v>16</v>
      </c>
      <c r="F966" t="s">
        <v>54</v>
      </c>
      <c r="G966" t="s">
        <v>144</v>
      </c>
      <c r="H966">
        <v>1</v>
      </c>
      <c r="I966">
        <v>55400</v>
      </c>
      <c r="J966">
        <v>50</v>
      </c>
      <c r="K966" t="s">
        <v>19</v>
      </c>
      <c r="L966" t="s">
        <v>20</v>
      </c>
      <c r="M9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6">
        <v>83100</v>
      </c>
      <c r="O966" t="s">
        <v>21</v>
      </c>
      <c r="P966" t="str">
        <f>_xlfn.IFS(LEFT(indian_retail_raw_1000[[#This Row],[x]],1)="W", "West",LEFT(indian_retail_raw_1000[[#This Row],[x]],1)= "E","East",LEFT(O966,1) = "S", "South",LEFT(O966,1) = "N", "North")</f>
        <v>South</v>
      </c>
      <c r="Q966" t="s">
        <v>54</v>
      </c>
      <c r="R966" t="s">
        <v>16</v>
      </c>
      <c r="S966" t="str">
        <f>TEXT(indian_retail_raw_1000[[#This Row],[Order_Date]],"MMM")</f>
        <v>Dec</v>
      </c>
    </row>
    <row r="967" spans="1:19" x14ac:dyDescent="0.25">
      <c r="A967" t="s">
        <v>266</v>
      </c>
      <c r="B967" s="1">
        <v>45197</v>
      </c>
      <c r="C967" t="s">
        <v>192</v>
      </c>
      <c r="D967">
        <v>53</v>
      </c>
      <c r="E967" t="s">
        <v>23</v>
      </c>
      <c r="F967" t="s">
        <v>30</v>
      </c>
      <c r="G967" t="s">
        <v>235</v>
      </c>
      <c r="H967">
        <v>99</v>
      </c>
      <c r="I967">
        <v>1650</v>
      </c>
      <c r="J967">
        <v>15</v>
      </c>
      <c r="K967" t="s">
        <v>41</v>
      </c>
      <c r="L967" t="s">
        <v>20</v>
      </c>
      <c r="M9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7">
        <v>83884.5</v>
      </c>
      <c r="O967" t="s">
        <v>26</v>
      </c>
      <c r="P967" t="str">
        <f>_xlfn.IFS(LEFT(indian_retail_raw_1000[[#This Row],[x]],1)="W", "West",LEFT(indian_retail_raw_1000[[#This Row],[x]],1)= "E","East",LEFT(O967,1) = "S", "South",LEFT(O967,1) = "N", "North")</f>
        <v>West</v>
      </c>
      <c r="Q967" t="s">
        <v>30</v>
      </c>
      <c r="R967" t="s">
        <v>23</v>
      </c>
      <c r="S967" t="str">
        <f>TEXT(indian_retail_raw_1000[[#This Row],[Order_Date]],"MMM")</f>
        <v>Sep</v>
      </c>
    </row>
    <row r="968" spans="1:19" x14ac:dyDescent="0.25">
      <c r="A968" t="s">
        <v>239</v>
      </c>
      <c r="B968" s="1" t="s">
        <v>1336</v>
      </c>
      <c r="C968" t="s">
        <v>170</v>
      </c>
      <c r="E968" t="s">
        <v>16</v>
      </c>
      <c r="F968" t="s">
        <v>54</v>
      </c>
      <c r="G968" t="s">
        <v>114</v>
      </c>
      <c r="H968">
        <v>1</v>
      </c>
      <c r="I968">
        <v>94700</v>
      </c>
      <c r="J968">
        <v>10</v>
      </c>
      <c r="K968" t="s">
        <v>41</v>
      </c>
      <c r="L968" t="s">
        <v>20</v>
      </c>
      <c r="M9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8">
        <v>85230</v>
      </c>
      <c r="O968" t="s">
        <v>21</v>
      </c>
      <c r="P968" t="str">
        <f>_xlfn.IFS(LEFT(indian_retail_raw_1000[[#This Row],[x]],1)="W", "West",LEFT(indian_retail_raw_1000[[#This Row],[x]],1)= "E","East",LEFT(O968,1) = "S", "South",LEFT(O968,1) = "N", "North")</f>
        <v>South</v>
      </c>
      <c r="Q968" t="s">
        <v>54</v>
      </c>
      <c r="R968" t="s">
        <v>16</v>
      </c>
      <c r="S968" t="str">
        <f>TEXT(indian_retail_raw_1000[[#This Row],[Order_Date]],"MMM")</f>
        <v>Null</v>
      </c>
    </row>
    <row r="969" spans="1:19" x14ac:dyDescent="0.25">
      <c r="A969" t="s">
        <v>765</v>
      </c>
      <c r="B969" s="1">
        <v>45121</v>
      </c>
      <c r="C969" t="s">
        <v>431</v>
      </c>
      <c r="D969">
        <v>38</v>
      </c>
      <c r="E969" t="s">
        <v>23</v>
      </c>
      <c r="F969" t="s">
        <v>30</v>
      </c>
      <c r="G969" t="s">
        <v>224</v>
      </c>
      <c r="H969">
        <v>99</v>
      </c>
      <c r="I969">
        <v>862</v>
      </c>
      <c r="J969">
        <v>0</v>
      </c>
      <c r="K969" t="s">
        <v>50</v>
      </c>
      <c r="L969" t="s">
        <v>20</v>
      </c>
      <c r="M9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9">
        <v>85338</v>
      </c>
      <c r="O969" t="s">
        <v>26</v>
      </c>
      <c r="P969" t="str">
        <f>_xlfn.IFS(LEFT(indian_retail_raw_1000[[#This Row],[x]],1)="W", "West",LEFT(indian_retail_raw_1000[[#This Row],[x]],1)= "E","East",LEFT(O969,1) = "S", "South",LEFT(O969,1) = "N", "North")</f>
        <v>West</v>
      </c>
      <c r="Q969" t="s">
        <v>30</v>
      </c>
      <c r="R969" t="s">
        <v>23</v>
      </c>
      <c r="S969" t="str">
        <f>TEXT(indian_retail_raw_1000[[#This Row],[Order_Date]],"MMM")</f>
        <v>Jul</v>
      </c>
    </row>
    <row r="970" spans="1:19" x14ac:dyDescent="0.25">
      <c r="A970" t="s">
        <v>729</v>
      </c>
      <c r="B970" s="1" t="s">
        <v>1336</v>
      </c>
      <c r="C970" t="s">
        <v>1336</v>
      </c>
      <c r="D970">
        <v>32</v>
      </c>
      <c r="E970" t="s">
        <v>443</v>
      </c>
      <c r="F970" t="s">
        <v>91</v>
      </c>
      <c r="G970" t="s">
        <v>199</v>
      </c>
      <c r="H970">
        <v>2</v>
      </c>
      <c r="I970">
        <v>59700</v>
      </c>
      <c r="J970">
        <v>25</v>
      </c>
      <c r="K970" t="s">
        <v>19</v>
      </c>
      <c r="L970" t="s">
        <v>51</v>
      </c>
      <c r="M9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70">
        <v>89550</v>
      </c>
      <c r="O970" t="s">
        <v>21</v>
      </c>
      <c r="P970" t="str">
        <f>_xlfn.IFS(LEFT(indian_retail_raw_1000[[#This Row],[x]],1)="W", "West",LEFT(indian_retail_raw_1000[[#This Row],[x]],1)= "E","East",LEFT(O970,1) = "S", "South",LEFT(O970,1) = "N", "North")</f>
        <v>South</v>
      </c>
      <c r="Q970" t="s">
        <v>54</v>
      </c>
      <c r="R970" t="s">
        <v>23</v>
      </c>
      <c r="S970" t="str">
        <f>TEXT(indian_retail_raw_1000[[#This Row],[Order_Date]],"MMM")</f>
        <v>Null</v>
      </c>
    </row>
    <row r="971" spans="1:19" x14ac:dyDescent="0.25">
      <c r="A971" t="s">
        <v>1087</v>
      </c>
      <c r="B971" s="1">
        <v>44969</v>
      </c>
      <c r="C971" t="s">
        <v>87</v>
      </c>
      <c r="D971">
        <v>999</v>
      </c>
      <c r="E971" t="s">
        <v>16</v>
      </c>
      <c r="F971" t="s">
        <v>30</v>
      </c>
      <c r="G971" t="s">
        <v>135</v>
      </c>
      <c r="H971">
        <v>10</v>
      </c>
      <c r="I971">
        <v>11496</v>
      </c>
      <c r="J971">
        <v>10</v>
      </c>
      <c r="K971" t="s">
        <v>41</v>
      </c>
      <c r="L971" t="s">
        <v>20</v>
      </c>
      <c r="M9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71">
        <v>713464</v>
      </c>
      <c r="O971" t="s">
        <v>26</v>
      </c>
      <c r="P971" t="str">
        <f>_xlfn.IFS(LEFT(indian_retail_raw_1000[[#This Row],[x]],1)="W", "West",LEFT(indian_retail_raw_1000[[#This Row],[x]],1)= "E","East",LEFT(O971,1) = "S", "South",LEFT(O971,1) = "N", "North")</f>
        <v>West</v>
      </c>
      <c r="Q971" t="s">
        <v>30</v>
      </c>
      <c r="R971" t="s">
        <v>16</v>
      </c>
      <c r="S971" t="str">
        <f>TEXT(indian_retail_raw_1000[[#This Row],[Order_Date]],"MMM")</f>
        <v>Feb</v>
      </c>
    </row>
    <row r="972" spans="1:19" x14ac:dyDescent="0.25">
      <c r="A972" t="s">
        <v>904</v>
      </c>
      <c r="B972" s="1">
        <v>44958</v>
      </c>
      <c r="C972" t="s">
        <v>43</v>
      </c>
      <c r="D972">
        <v>60</v>
      </c>
      <c r="E972" t="s">
        <v>16</v>
      </c>
      <c r="F972" t="s">
        <v>54</v>
      </c>
      <c r="G972" t="s">
        <v>144</v>
      </c>
      <c r="H972">
        <v>1</v>
      </c>
      <c r="I972">
        <v>55400</v>
      </c>
      <c r="J972">
        <v>5</v>
      </c>
      <c r="K972" t="s">
        <v>326</v>
      </c>
      <c r="L972" t="s">
        <v>56</v>
      </c>
      <c r="M9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72">
        <v>505260</v>
      </c>
      <c r="O972" t="s">
        <v>26</v>
      </c>
      <c r="P972" t="str">
        <f>_xlfn.IFS(LEFT(indian_retail_raw_1000[[#This Row],[x]],1)="W", "West",LEFT(indian_retail_raw_1000[[#This Row],[x]],1)= "E","East",LEFT(O972,1) = "S", "South",LEFT(O972,1) = "N", "North")</f>
        <v>West</v>
      </c>
      <c r="Q972" t="s">
        <v>54</v>
      </c>
      <c r="R972" t="s">
        <v>16</v>
      </c>
      <c r="S972" t="str">
        <f>TEXT(indian_retail_raw_1000[[#This Row],[Order_Date]],"MMM")</f>
        <v>Feb</v>
      </c>
    </row>
    <row r="973" spans="1:19" x14ac:dyDescent="0.25">
      <c r="A973" t="s">
        <v>262</v>
      </c>
      <c r="B973" s="1">
        <v>45135</v>
      </c>
      <c r="C973" t="s">
        <v>142</v>
      </c>
      <c r="D973">
        <v>40</v>
      </c>
      <c r="E973" t="s">
        <v>16</v>
      </c>
      <c r="F973" t="s">
        <v>54</v>
      </c>
      <c r="G973" t="s">
        <v>199</v>
      </c>
      <c r="H973">
        <v>2</v>
      </c>
      <c r="I973">
        <v>63800</v>
      </c>
      <c r="J973">
        <v>15</v>
      </c>
      <c r="K973" t="s">
        <v>41</v>
      </c>
      <c r="L973" t="s">
        <v>56</v>
      </c>
      <c r="M9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73">
        <v>108460</v>
      </c>
      <c r="O973" t="s">
        <v>45</v>
      </c>
      <c r="P973" t="str">
        <f>_xlfn.IFS(LEFT(indian_retail_raw_1000[[#This Row],[x]],1)="W", "West",LEFT(indian_retail_raw_1000[[#This Row],[x]],1)= "E","East",LEFT(O973,1) = "S", "South",LEFT(O973,1) = "N", "North")</f>
        <v>East</v>
      </c>
      <c r="Q973" t="s">
        <v>54</v>
      </c>
      <c r="R973" t="s">
        <v>16</v>
      </c>
      <c r="S973" t="str">
        <f>TEXT(indian_retail_raw_1000[[#This Row],[Order_Date]],"MMM")</f>
        <v>Jul</v>
      </c>
    </row>
    <row r="974" spans="1:19" x14ac:dyDescent="0.25">
      <c r="A974" t="s">
        <v>303</v>
      </c>
      <c r="B974" s="1">
        <v>44934</v>
      </c>
      <c r="C974" t="s">
        <v>48</v>
      </c>
      <c r="D974">
        <v>54</v>
      </c>
      <c r="E974" t="s">
        <v>16</v>
      </c>
      <c r="F974" t="s">
        <v>30</v>
      </c>
      <c r="G974" t="s">
        <v>135</v>
      </c>
      <c r="H974">
        <v>8</v>
      </c>
      <c r="I974">
        <v>14370</v>
      </c>
      <c r="J974">
        <v>0</v>
      </c>
      <c r="K974" t="s">
        <v>41</v>
      </c>
      <c r="L974" t="s">
        <v>56</v>
      </c>
      <c r="M9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74">
        <v>114960</v>
      </c>
      <c r="O974" t="s">
        <v>45</v>
      </c>
      <c r="P974" t="str">
        <f>_xlfn.IFS(LEFT(indian_retail_raw_1000[[#This Row],[x]],1)="W", "West",LEFT(indian_retail_raw_1000[[#This Row],[x]],1)= "E","East",LEFT(O974,1) = "S", "South",LEFT(O974,1) = "N", "North")</f>
        <v>East</v>
      </c>
      <c r="Q974" t="s">
        <v>30</v>
      </c>
      <c r="R974" t="s">
        <v>16</v>
      </c>
      <c r="S974" t="str">
        <f>TEXT(indian_retail_raw_1000[[#This Row],[Order_Date]],"MMM")</f>
        <v>Jan</v>
      </c>
    </row>
    <row r="975" spans="1:19" x14ac:dyDescent="0.25">
      <c r="A975" t="s">
        <v>303</v>
      </c>
      <c r="B975" s="1">
        <v>44934</v>
      </c>
      <c r="C975" t="s">
        <v>48</v>
      </c>
      <c r="D975">
        <v>54</v>
      </c>
      <c r="E975" t="s">
        <v>16</v>
      </c>
      <c r="F975" t="s">
        <v>30</v>
      </c>
      <c r="G975" t="s">
        <v>135</v>
      </c>
      <c r="H975">
        <v>8</v>
      </c>
      <c r="I975">
        <v>14370</v>
      </c>
      <c r="J975">
        <v>0</v>
      </c>
      <c r="K975" t="s">
        <v>41</v>
      </c>
      <c r="L975" t="s">
        <v>56</v>
      </c>
      <c r="M9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75">
        <v>114960</v>
      </c>
      <c r="O975" t="s">
        <v>45</v>
      </c>
      <c r="P975" t="str">
        <f>_xlfn.IFS(LEFT(indian_retail_raw_1000[[#This Row],[x]],1)="W", "West",LEFT(indian_retail_raw_1000[[#This Row],[x]],1)= "E","East",LEFT(O975,1) = "S", "South",LEFT(O975,1) = "N", "North")</f>
        <v>East</v>
      </c>
      <c r="Q975" t="s">
        <v>30</v>
      </c>
      <c r="R975" t="s">
        <v>16</v>
      </c>
      <c r="S975" t="str">
        <f>TEXT(indian_retail_raw_1000[[#This Row],[Order_Date]],"MMM")</f>
        <v>Jan</v>
      </c>
    </row>
    <row r="976" spans="1:19" x14ac:dyDescent="0.25">
      <c r="A976" t="s">
        <v>806</v>
      </c>
      <c r="B976" s="1">
        <v>45051</v>
      </c>
      <c r="C976" t="s">
        <v>192</v>
      </c>
      <c r="D976">
        <v>31</v>
      </c>
      <c r="E976" t="s">
        <v>23</v>
      </c>
      <c r="F976" t="s">
        <v>54</v>
      </c>
      <c r="G976" t="s">
        <v>199</v>
      </c>
      <c r="H976">
        <v>2</v>
      </c>
      <c r="I976">
        <v>63900</v>
      </c>
      <c r="J976">
        <v>-5</v>
      </c>
      <c r="K976" t="s">
        <v>25</v>
      </c>
      <c r="L976" t="s">
        <v>20</v>
      </c>
      <c r="M9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76">
        <v>134190</v>
      </c>
      <c r="O976" t="s">
        <v>38</v>
      </c>
      <c r="P976" t="str">
        <f>_xlfn.IFS(LEFT(indian_retail_raw_1000[[#This Row],[x]],1)="W", "West",LEFT(indian_retail_raw_1000[[#This Row],[x]],1)= "E","East",LEFT(O976,1) = "S", "South",LEFT(O976,1) = "N", "North")</f>
        <v>North</v>
      </c>
      <c r="Q976" t="s">
        <v>54</v>
      </c>
      <c r="R976" t="s">
        <v>23</v>
      </c>
      <c r="S976" t="str">
        <f>TEXT(indian_retail_raw_1000[[#This Row],[Order_Date]],"MMM")</f>
        <v>May</v>
      </c>
    </row>
    <row r="977" spans="1:19" x14ac:dyDescent="0.25">
      <c r="A977" t="s">
        <v>1324</v>
      </c>
      <c r="B977" s="1" t="s">
        <v>1336</v>
      </c>
      <c r="C977" t="s">
        <v>165</v>
      </c>
      <c r="D977">
        <v>58</v>
      </c>
      <c r="E977" t="s">
        <v>23</v>
      </c>
      <c r="F977" t="s">
        <v>54</v>
      </c>
      <c r="G977" t="s">
        <v>144</v>
      </c>
      <c r="H977">
        <v>2</v>
      </c>
      <c r="I977">
        <v>73300</v>
      </c>
      <c r="J977">
        <v>5</v>
      </c>
      <c r="K977" t="s">
        <v>41</v>
      </c>
      <c r="L977" t="s">
        <v>20</v>
      </c>
      <c r="M9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77">
        <v>139270</v>
      </c>
      <c r="O977" t="s">
        <v>26</v>
      </c>
      <c r="P977" t="str">
        <f>_xlfn.IFS(LEFT(indian_retail_raw_1000[[#This Row],[x]],1)="W", "West",LEFT(indian_retail_raw_1000[[#This Row],[x]],1)= "E","East",LEFT(O977,1) = "S", "South",LEFT(O977,1) = "N", "North")</f>
        <v>West</v>
      </c>
      <c r="Q977" t="s">
        <v>54</v>
      </c>
      <c r="R977" t="s">
        <v>23</v>
      </c>
      <c r="S977" t="str">
        <f>TEXT(indian_retail_raw_1000[[#This Row],[Order_Date]],"MMM")</f>
        <v>Null</v>
      </c>
    </row>
    <row r="978" spans="1:19" x14ac:dyDescent="0.25">
      <c r="A978" t="s">
        <v>1238</v>
      </c>
      <c r="B978" s="1">
        <v>45179</v>
      </c>
      <c r="C978" t="s">
        <v>128</v>
      </c>
      <c r="D978">
        <v>33</v>
      </c>
      <c r="E978" t="s">
        <v>23</v>
      </c>
      <c r="F978" t="s">
        <v>54</v>
      </c>
      <c r="G978" t="s">
        <v>114</v>
      </c>
      <c r="H978">
        <v>2</v>
      </c>
      <c r="I978">
        <v>76800</v>
      </c>
      <c r="J978">
        <v>5</v>
      </c>
      <c r="K978" t="s">
        <v>41</v>
      </c>
      <c r="L978" t="s">
        <v>20</v>
      </c>
      <c r="M9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78">
        <v>145920</v>
      </c>
      <c r="O978" t="s">
        <v>45</v>
      </c>
      <c r="P978" t="str">
        <f>_xlfn.IFS(LEFT(indian_retail_raw_1000[[#This Row],[x]],1)="W", "West",LEFT(indian_retail_raw_1000[[#This Row],[x]],1)= "E","East",LEFT(O978,1) = "S", "South",LEFT(O978,1) = "N", "North")</f>
        <v>East</v>
      </c>
      <c r="Q978" t="s">
        <v>54</v>
      </c>
      <c r="R978" t="s">
        <v>23</v>
      </c>
      <c r="S978" t="str">
        <f>TEXT(indian_retail_raw_1000[[#This Row],[Order_Date]],"MMM")</f>
        <v>Sep</v>
      </c>
    </row>
    <row r="979" spans="1:19" x14ac:dyDescent="0.25">
      <c r="A979" t="s">
        <v>1139</v>
      </c>
      <c r="B979" s="1">
        <v>45084</v>
      </c>
      <c r="C979" t="s">
        <v>82</v>
      </c>
      <c r="D979">
        <v>34</v>
      </c>
      <c r="E979" t="s">
        <v>23</v>
      </c>
      <c r="F979" t="s">
        <v>347</v>
      </c>
      <c r="G979" t="s">
        <v>280</v>
      </c>
      <c r="H979">
        <v>2</v>
      </c>
      <c r="I979">
        <v>77100</v>
      </c>
      <c r="J979">
        <v>5</v>
      </c>
      <c r="K979" t="s">
        <v>19</v>
      </c>
      <c r="L979" t="s">
        <v>51</v>
      </c>
      <c r="M9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79">
        <v>146490</v>
      </c>
      <c r="O979" t="s">
        <v>26</v>
      </c>
      <c r="P979" t="str">
        <f>_xlfn.IFS(LEFT(indian_retail_raw_1000[[#This Row],[x]],1)="W", "West",LEFT(indian_retail_raw_1000[[#This Row],[x]],1)= "E","East",LEFT(O979,1) = "S", "South",LEFT(O979,1) = "N", "North")</f>
        <v>West</v>
      </c>
      <c r="Q979" t="s">
        <v>54</v>
      </c>
      <c r="R979" t="s">
        <v>23</v>
      </c>
      <c r="S979" t="str">
        <f>TEXT(indian_retail_raw_1000[[#This Row],[Order_Date]],"MMM")</f>
        <v>Jun</v>
      </c>
    </row>
    <row r="980" spans="1:19" x14ac:dyDescent="0.25">
      <c r="A980" t="s">
        <v>90</v>
      </c>
      <c r="B980" s="1">
        <v>45140</v>
      </c>
      <c r="C980" t="s">
        <v>53</v>
      </c>
      <c r="D980">
        <v>62</v>
      </c>
      <c r="E980" t="s">
        <v>16</v>
      </c>
      <c r="F980" t="s">
        <v>91</v>
      </c>
      <c r="G980" t="s">
        <v>92</v>
      </c>
      <c r="H980">
        <v>2</v>
      </c>
      <c r="J980">
        <v>30</v>
      </c>
      <c r="K980" t="s">
        <v>50</v>
      </c>
      <c r="L980" t="s">
        <v>51</v>
      </c>
      <c r="M9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80" t="s">
        <v>1336</v>
      </c>
      <c r="O980" t="s">
        <v>21</v>
      </c>
      <c r="P980" t="str">
        <f>_xlfn.IFS(LEFT(indian_retail_raw_1000[[#This Row],[x]],1)="W", "West",LEFT(indian_retail_raw_1000[[#This Row],[x]],1)= "E","East",LEFT(O980,1) = "S", "South",LEFT(O980,1) = "N", "North")</f>
        <v>South</v>
      </c>
      <c r="Q980" t="s">
        <v>54</v>
      </c>
      <c r="R980" t="s">
        <v>16</v>
      </c>
      <c r="S980" t="str">
        <f>TEXT(indian_retail_raw_1000[[#This Row],[Order_Date]],"MMM")</f>
        <v>Aug</v>
      </c>
    </row>
    <row r="981" spans="1:19" x14ac:dyDescent="0.25">
      <c r="A981" t="s">
        <v>151</v>
      </c>
      <c r="B981" s="1">
        <v>45251</v>
      </c>
      <c r="C981" t="s">
        <v>152</v>
      </c>
      <c r="D981">
        <v>44</v>
      </c>
      <c r="E981" t="s">
        <v>16</v>
      </c>
      <c r="F981" t="s">
        <v>30</v>
      </c>
      <c r="G981" t="s">
        <v>153</v>
      </c>
      <c r="H981">
        <v>9</v>
      </c>
      <c r="J981">
        <v>0</v>
      </c>
      <c r="K981" t="s">
        <v>41</v>
      </c>
      <c r="L981" t="s">
        <v>20</v>
      </c>
      <c r="M9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1" t="s">
        <v>1336</v>
      </c>
      <c r="O981" t="s">
        <v>38</v>
      </c>
      <c r="P981" t="str">
        <f>_xlfn.IFS(LEFT(indian_retail_raw_1000[[#This Row],[x]],1)="W", "West",LEFT(indian_retail_raw_1000[[#This Row],[x]],1)= "E","East",LEFT(O981,1) = "S", "South",LEFT(O981,1) = "N", "North")</f>
        <v>North</v>
      </c>
      <c r="Q981" t="s">
        <v>30</v>
      </c>
      <c r="R981" t="s">
        <v>16</v>
      </c>
      <c r="S981" t="str">
        <f>TEXT(indian_retail_raw_1000[[#This Row],[Order_Date]],"MMM")</f>
        <v>Nov</v>
      </c>
    </row>
    <row r="982" spans="1:19" x14ac:dyDescent="0.25">
      <c r="A982" t="s">
        <v>340</v>
      </c>
      <c r="B982" s="1">
        <v>45267</v>
      </c>
      <c r="C982" t="s">
        <v>28</v>
      </c>
      <c r="D982">
        <v>41</v>
      </c>
      <c r="E982" t="s">
        <v>23</v>
      </c>
      <c r="F982" t="s">
        <v>291</v>
      </c>
      <c r="G982" t="s">
        <v>24</v>
      </c>
      <c r="H982">
        <v>1</v>
      </c>
      <c r="J982">
        <v>5</v>
      </c>
      <c r="K982" t="s">
        <v>41</v>
      </c>
      <c r="L982" t="s">
        <v>51</v>
      </c>
      <c r="M9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82" t="s">
        <v>1336</v>
      </c>
      <c r="O982" t="s">
        <v>45</v>
      </c>
      <c r="P982" t="str">
        <f>_xlfn.IFS(LEFT(indian_retail_raw_1000[[#This Row],[x]],1)="W", "West",LEFT(indian_retail_raw_1000[[#This Row],[x]],1)= "E","East",LEFT(O982,1) = "S", "South",LEFT(O982,1) = "N", "North")</f>
        <v>East</v>
      </c>
      <c r="Q982" t="s">
        <v>17</v>
      </c>
      <c r="R982" t="s">
        <v>23</v>
      </c>
      <c r="S982" t="str">
        <f>TEXT(indian_retail_raw_1000[[#This Row],[Order_Date]],"MMM")</f>
        <v>Dec</v>
      </c>
    </row>
    <row r="983" spans="1:19" x14ac:dyDescent="0.25">
      <c r="A983" t="s">
        <v>373</v>
      </c>
      <c r="B983" s="1">
        <v>45223</v>
      </c>
      <c r="C983" t="s">
        <v>102</v>
      </c>
      <c r="D983">
        <v>30</v>
      </c>
      <c r="E983" t="s">
        <v>23</v>
      </c>
      <c r="F983" t="s">
        <v>17</v>
      </c>
      <c r="G983" t="s">
        <v>117</v>
      </c>
      <c r="H983">
        <v>3</v>
      </c>
      <c r="J983">
        <v>10</v>
      </c>
      <c r="K983" t="s">
        <v>50</v>
      </c>
      <c r="L983" t="s">
        <v>20</v>
      </c>
      <c r="M9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3" t="s">
        <v>1336</v>
      </c>
      <c r="O983" t="s">
        <v>45</v>
      </c>
      <c r="P983" t="str">
        <f>_xlfn.IFS(LEFT(indian_retail_raw_1000[[#This Row],[x]],1)="W", "West",LEFT(indian_retail_raw_1000[[#This Row],[x]],1)= "E","East",LEFT(O983,1) = "S", "South",LEFT(O983,1) = "N", "North")</f>
        <v>East</v>
      </c>
      <c r="Q983" t="s">
        <v>17</v>
      </c>
      <c r="R983" t="s">
        <v>23</v>
      </c>
      <c r="S983" t="str">
        <f>TEXT(indian_retail_raw_1000[[#This Row],[Order_Date]],"MMM")</f>
        <v>Oct</v>
      </c>
    </row>
    <row r="984" spans="1:19" x14ac:dyDescent="0.25">
      <c r="A984" t="s">
        <v>416</v>
      </c>
      <c r="B984" s="1" t="s">
        <v>1336</v>
      </c>
      <c r="C984" t="s">
        <v>358</v>
      </c>
      <c r="D984">
        <v>20</v>
      </c>
      <c r="E984" t="s">
        <v>16</v>
      </c>
      <c r="F984" t="s">
        <v>17</v>
      </c>
      <c r="G984" t="s">
        <v>189</v>
      </c>
      <c r="H984">
        <v>3</v>
      </c>
      <c r="J984">
        <v>25</v>
      </c>
      <c r="K984" t="s">
        <v>19</v>
      </c>
      <c r="L984" t="s">
        <v>417</v>
      </c>
      <c r="M9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84" t="s">
        <v>1336</v>
      </c>
      <c r="O984" t="s">
        <v>38</v>
      </c>
      <c r="P984" t="str">
        <f>_xlfn.IFS(LEFT(indian_retail_raw_1000[[#This Row],[x]],1)="W", "West",LEFT(indian_retail_raw_1000[[#This Row],[x]],1)= "E","East",LEFT(O984,1) = "S", "South",LEFT(O984,1) = "N", "North")</f>
        <v>North</v>
      </c>
      <c r="Q984" t="s">
        <v>17</v>
      </c>
      <c r="R984" t="s">
        <v>16</v>
      </c>
      <c r="S984" t="str">
        <f>TEXT(indian_retail_raw_1000[[#This Row],[Order_Date]],"MMM")</f>
        <v>Null</v>
      </c>
    </row>
    <row r="985" spans="1:19" x14ac:dyDescent="0.25">
      <c r="A985" t="s">
        <v>480</v>
      </c>
      <c r="B985" s="1" t="s">
        <v>1336</v>
      </c>
      <c r="C985" t="s">
        <v>48</v>
      </c>
      <c r="D985">
        <v>31</v>
      </c>
      <c r="E985" t="s">
        <v>475</v>
      </c>
      <c r="F985" t="s">
        <v>17</v>
      </c>
      <c r="G985" t="s">
        <v>297</v>
      </c>
      <c r="H985">
        <v>1</v>
      </c>
      <c r="J985">
        <v>20</v>
      </c>
      <c r="K985" t="s">
        <v>19</v>
      </c>
      <c r="L985" t="s">
        <v>20</v>
      </c>
      <c r="M9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5" t="s">
        <v>1336</v>
      </c>
      <c r="O985" t="s">
        <v>45</v>
      </c>
      <c r="P985" t="str">
        <f>_xlfn.IFS(LEFT(indian_retail_raw_1000[[#This Row],[x]],1)="W", "West",LEFT(indian_retail_raw_1000[[#This Row],[x]],1)= "E","East",LEFT(O985,1) = "S", "South",LEFT(O985,1) = "N", "North")</f>
        <v>East</v>
      </c>
      <c r="Q985" t="s">
        <v>17</v>
      </c>
      <c r="R985" t="s">
        <v>138</v>
      </c>
      <c r="S985" t="str">
        <f>TEXT(indian_retail_raw_1000[[#This Row],[Order_Date]],"MMM")</f>
        <v>Null</v>
      </c>
    </row>
    <row r="986" spans="1:19" x14ac:dyDescent="0.25">
      <c r="A986" t="s">
        <v>502</v>
      </c>
      <c r="B986" s="1" t="s">
        <v>1336</v>
      </c>
      <c r="C986" t="s">
        <v>43</v>
      </c>
      <c r="D986">
        <v>46</v>
      </c>
      <c r="E986" t="s">
        <v>16</v>
      </c>
      <c r="F986" t="s">
        <v>30</v>
      </c>
      <c r="G986" t="s">
        <v>31</v>
      </c>
      <c r="H986">
        <v>3</v>
      </c>
      <c r="J986">
        <v>40</v>
      </c>
      <c r="K986" t="s">
        <v>50</v>
      </c>
      <c r="L986" t="s">
        <v>51</v>
      </c>
      <c r="M9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86" t="s">
        <v>1336</v>
      </c>
      <c r="O986" t="s">
        <v>38</v>
      </c>
      <c r="P986" t="str">
        <f>_xlfn.IFS(LEFT(indian_retail_raw_1000[[#This Row],[x]],1)="W", "West",LEFT(indian_retail_raw_1000[[#This Row],[x]],1)= "E","East",LEFT(O986,1) = "S", "South",LEFT(O986,1) = "N", "North")</f>
        <v>North</v>
      </c>
      <c r="Q986" t="s">
        <v>30</v>
      </c>
      <c r="R986" t="s">
        <v>16</v>
      </c>
      <c r="S986" t="str">
        <f>TEXT(indian_retail_raw_1000[[#This Row],[Order_Date]],"MMM")</f>
        <v>Null</v>
      </c>
    </row>
    <row r="987" spans="1:19" x14ac:dyDescent="0.25">
      <c r="A987" t="s">
        <v>644</v>
      </c>
      <c r="B987" s="1">
        <v>44956</v>
      </c>
      <c r="C987" t="s">
        <v>265</v>
      </c>
      <c r="D987">
        <v>60</v>
      </c>
      <c r="E987" t="s">
        <v>16</v>
      </c>
      <c r="F987" t="s">
        <v>30</v>
      </c>
      <c r="G987" t="s">
        <v>218</v>
      </c>
      <c r="H987">
        <v>4</v>
      </c>
      <c r="J987">
        <v>5</v>
      </c>
      <c r="K987" t="s">
        <v>50</v>
      </c>
      <c r="L987" t="s">
        <v>56</v>
      </c>
      <c r="M9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87" t="s">
        <v>1336</v>
      </c>
      <c r="O987" t="s">
        <v>108</v>
      </c>
      <c r="P987" t="str">
        <f>_xlfn.IFS(LEFT(indian_retail_raw_1000[[#This Row],[x]],1)="W", "West",LEFT(indian_retail_raw_1000[[#This Row],[x]],1)= "E","East",LEFT(O987,1) = "S", "South",LEFT(O987,1) = "N", "North")</f>
        <v>East</v>
      </c>
      <c r="Q987" t="s">
        <v>30</v>
      </c>
      <c r="R987" t="s">
        <v>16</v>
      </c>
      <c r="S987" t="str">
        <f>TEXT(indian_retail_raw_1000[[#This Row],[Order_Date]],"MMM")</f>
        <v>Jan</v>
      </c>
    </row>
    <row r="988" spans="1:19" x14ac:dyDescent="0.25">
      <c r="A988" t="s">
        <v>645</v>
      </c>
      <c r="B988" s="1">
        <v>45273</v>
      </c>
      <c r="C988" t="s">
        <v>110</v>
      </c>
      <c r="D988">
        <v>19</v>
      </c>
      <c r="E988" t="s">
        <v>16</v>
      </c>
      <c r="F988" t="s">
        <v>35</v>
      </c>
      <c r="G988" t="s">
        <v>36</v>
      </c>
      <c r="H988">
        <v>9</v>
      </c>
      <c r="J988">
        <v>50</v>
      </c>
      <c r="K988" t="s">
        <v>41</v>
      </c>
      <c r="L988" t="s">
        <v>20</v>
      </c>
      <c r="M9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8" t="s">
        <v>1336</v>
      </c>
      <c r="O988" t="s">
        <v>45</v>
      </c>
      <c r="P988" t="str">
        <f>_xlfn.IFS(LEFT(indian_retail_raw_1000[[#This Row],[x]],1)="W", "West",LEFT(indian_retail_raw_1000[[#This Row],[x]],1)= "E","East",LEFT(O988,1) = "S", "South",LEFT(O988,1) = "N", "North")</f>
        <v>East</v>
      </c>
      <c r="Q988" t="s">
        <v>35</v>
      </c>
      <c r="R988" t="s">
        <v>16</v>
      </c>
      <c r="S988" t="str">
        <f>TEXT(indian_retail_raw_1000[[#This Row],[Order_Date]],"MMM")</f>
        <v>Dec</v>
      </c>
    </row>
    <row r="989" spans="1:19" x14ac:dyDescent="0.25">
      <c r="A989" t="s">
        <v>739</v>
      </c>
      <c r="B989" s="1">
        <v>45148</v>
      </c>
      <c r="C989" t="s">
        <v>192</v>
      </c>
      <c r="D989">
        <v>21</v>
      </c>
      <c r="E989" t="s">
        <v>741</v>
      </c>
      <c r="F989" t="s">
        <v>54</v>
      </c>
      <c r="G989" t="s">
        <v>311</v>
      </c>
      <c r="H989">
        <v>1</v>
      </c>
      <c r="J989">
        <v>20</v>
      </c>
      <c r="K989" t="s">
        <v>25</v>
      </c>
      <c r="L989" t="s">
        <v>20</v>
      </c>
      <c r="M9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9" t="s">
        <v>1336</v>
      </c>
      <c r="O989" t="s">
        <v>45</v>
      </c>
      <c r="P989" t="str">
        <f>_xlfn.IFS(LEFT(indian_retail_raw_1000[[#This Row],[x]],1)="W", "West",LEFT(indian_retail_raw_1000[[#This Row],[x]],1)= "E","East",LEFT(O989,1) = "S", "South",LEFT(O989,1) = "N", "North")</f>
        <v>East</v>
      </c>
      <c r="Q989" t="s">
        <v>54</v>
      </c>
      <c r="R989" t="s">
        <v>138</v>
      </c>
      <c r="S989" t="str">
        <f>TEXT(indian_retail_raw_1000[[#This Row],[Order_Date]],"MMM")</f>
        <v>Aug</v>
      </c>
    </row>
    <row r="990" spans="1:19" x14ac:dyDescent="0.25">
      <c r="A990" t="s">
        <v>831</v>
      </c>
      <c r="B990" s="1">
        <v>44989</v>
      </c>
      <c r="C990" t="s">
        <v>217</v>
      </c>
      <c r="D990">
        <v>43</v>
      </c>
      <c r="E990" t="s">
        <v>23</v>
      </c>
      <c r="F990" t="s">
        <v>17</v>
      </c>
      <c r="G990" t="s">
        <v>274</v>
      </c>
      <c r="H990">
        <v>1</v>
      </c>
      <c r="J990">
        <v>10</v>
      </c>
      <c r="K990" t="s">
        <v>41</v>
      </c>
      <c r="L990" t="s">
        <v>51</v>
      </c>
      <c r="M9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90" t="s">
        <v>1336</v>
      </c>
      <c r="O990" t="s">
        <v>356</v>
      </c>
      <c r="P990" t="str">
        <f>_xlfn.IFS(LEFT(indian_retail_raw_1000[[#This Row],[x]],1)="W", "West",LEFT(indian_retail_raw_1000[[#This Row],[x]],1)= "E","East",LEFT(O990,1) = "S", "South",LEFT(O990,1) = "N", "North")</f>
        <v>East</v>
      </c>
      <c r="Q990" t="s">
        <v>17</v>
      </c>
      <c r="R990" t="s">
        <v>23</v>
      </c>
      <c r="S990" t="str">
        <f>TEXT(indian_retail_raw_1000[[#This Row],[Order_Date]],"MMM")</f>
        <v>Mar</v>
      </c>
    </row>
    <row r="991" spans="1:19" x14ac:dyDescent="0.25">
      <c r="A991" t="s">
        <v>874</v>
      </c>
      <c r="B991" s="1" t="s">
        <v>1336</v>
      </c>
      <c r="C991" t="s">
        <v>217</v>
      </c>
      <c r="D991">
        <v>59</v>
      </c>
      <c r="E991" t="s">
        <v>16</v>
      </c>
      <c r="F991" t="s">
        <v>35</v>
      </c>
      <c r="G991" t="s">
        <v>36</v>
      </c>
      <c r="H991">
        <v>2</v>
      </c>
      <c r="J991">
        <v>5</v>
      </c>
      <c r="K991" t="s">
        <v>19</v>
      </c>
      <c r="L991" t="s">
        <v>20</v>
      </c>
      <c r="M9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1" t="s">
        <v>1336</v>
      </c>
      <c r="O991" t="s">
        <v>45</v>
      </c>
      <c r="P991" t="str">
        <f>_xlfn.IFS(LEFT(indian_retail_raw_1000[[#This Row],[x]],1)="W", "West",LEFT(indian_retail_raw_1000[[#This Row],[x]],1)= "E","East",LEFT(O991,1) = "S", "South",LEFT(O991,1) = "N", "North")</f>
        <v>East</v>
      </c>
      <c r="Q991" t="s">
        <v>35</v>
      </c>
      <c r="R991" t="s">
        <v>16</v>
      </c>
      <c r="S991" t="str">
        <f>TEXT(indian_retail_raw_1000[[#This Row],[Order_Date]],"MMM")</f>
        <v>Null</v>
      </c>
    </row>
    <row r="992" spans="1:19" x14ac:dyDescent="0.25">
      <c r="A992" t="s">
        <v>882</v>
      </c>
      <c r="B992" s="1">
        <v>45148</v>
      </c>
      <c r="C992" t="s">
        <v>128</v>
      </c>
      <c r="D992">
        <v>48</v>
      </c>
      <c r="E992" t="s">
        <v>44</v>
      </c>
      <c r="F992" t="s">
        <v>30</v>
      </c>
      <c r="G992" t="s">
        <v>121</v>
      </c>
      <c r="H992">
        <v>8</v>
      </c>
      <c r="J992">
        <v>25</v>
      </c>
      <c r="K992" t="s">
        <v>19</v>
      </c>
      <c r="L992" t="s">
        <v>51</v>
      </c>
      <c r="M9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92" t="s">
        <v>1336</v>
      </c>
      <c r="O992" t="s">
        <v>33</v>
      </c>
      <c r="P992" t="str">
        <f>_xlfn.IFS(LEFT(indian_retail_raw_1000[[#This Row],[x]],1)="W", "West",LEFT(indian_retail_raw_1000[[#This Row],[x]],1)= "E","East",LEFT(O992,1) = "S", "South",LEFT(O992,1) = "N", "North")</f>
        <v>West</v>
      </c>
      <c r="Q992" t="s">
        <v>30</v>
      </c>
      <c r="R992" t="s">
        <v>23</v>
      </c>
      <c r="S992" t="str">
        <f>TEXT(indian_retail_raw_1000[[#This Row],[Order_Date]],"MMM")</f>
        <v>Aug</v>
      </c>
    </row>
    <row r="993" spans="1:19" x14ac:dyDescent="0.25">
      <c r="A993" t="s">
        <v>1070</v>
      </c>
      <c r="B993" s="1" t="s">
        <v>1336</v>
      </c>
      <c r="C993" t="s">
        <v>160</v>
      </c>
      <c r="D993">
        <v>21</v>
      </c>
      <c r="E993" t="s">
        <v>16</v>
      </c>
      <c r="F993" t="s">
        <v>30</v>
      </c>
      <c r="G993" t="s">
        <v>130</v>
      </c>
      <c r="H993">
        <v>7</v>
      </c>
      <c r="J993">
        <v>0</v>
      </c>
      <c r="K993" t="s">
        <v>19</v>
      </c>
      <c r="L993" t="s">
        <v>20</v>
      </c>
      <c r="M9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3" t="s">
        <v>1336</v>
      </c>
      <c r="O993" t="s">
        <v>45</v>
      </c>
      <c r="P993" t="str">
        <f>_xlfn.IFS(LEFT(indian_retail_raw_1000[[#This Row],[x]],1)="W", "West",LEFT(indian_retail_raw_1000[[#This Row],[x]],1)= "E","East",LEFT(O993,1) = "S", "South",LEFT(O993,1) = "N", "North")</f>
        <v>East</v>
      </c>
      <c r="Q993" t="s">
        <v>30</v>
      </c>
      <c r="R993" t="s">
        <v>16</v>
      </c>
      <c r="S993" t="str">
        <f>TEXT(indian_retail_raw_1000[[#This Row],[Order_Date]],"MMM")</f>
        <v>Null</v>
      </c>
    </row>
    <row r="994" spans="1:19" x14ac:dyDescent="0.25">
      <c r="A994" t="s">
        <v>1120</v>
      </c>
      <c r="B994" s="1">
        <v>44928</v>
      </c>
      <c r="C994" t="s">
        <v>217</v>
      </c>
      <c r="D994">
        <v>33</v>
      </c>
      <c r="E994" t="s">
        <v>23</v>
      </c>
      <c r="F994" t="s">
        <v>30</v>
      </c>
      <c r="G994" t="s">
        <v>67</v>
      </c>
      <c r="H994">
        <v>4</v>
      </c>
      <c r="J994">
        <v>10</v>
      </c>
      <c r="K994" t="s">
        <v>19</v>
      </c>
      <c r="L994" t="s">
        <v>56</v>
      </c>
      <c r="M9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94" t="s">
        <v>1336</v>
      </c>
      <c r="O994" t="s">
        <v>45</v>
      </c>
      <c r="P994" t="str">
        <f>_xlfn.IFS(LEFT(indian_retail_raw_1000[[#This Row],[x]],1)="W", "West",LEFT(indian_retail_raw_1000[[#This Row],[x]],1)= "E","East",LEFT(O994,1) = "S", "South",LEFT(O994,1) = "N", "North")</f>
        <v>East</v>
      </c>
      <c r="Q994" t="s">
        <v>30</v>
      </c>
      <c r="R994" t="s">
        <v>23</v>
      </c>
      <c r="S994" t="str">
        <f>TEXT(indian_retail_raw_1000[[#This Row],[Order_Date]],"MMM")</f>
        <v>Jan</v>
      </c>
    </row>
    <row r="995" spans="1:19" x14ac:dyDescent="0.25">
      <c r="A995" t="s">
        <v>1128</v>
      </c>
      <c r="B995" s="1" t="s">
        <v>1336</v>
      </c>
      <c r="C995" t="s">
        <v>176</v>
      </c>
      <c r="D995">
        <v>18</v>
      </c>
      <c r="E995" t="s">
        <v>23</v>
      </c>
      <c r="F995" t="s">
        <v>30</v>
      </c>
      <c r="G995" t="s">
        <v>60</v>
      </c>
      <c r="H995">
        <v>4</v>
      </c>
      <c r="J995">
        <v>30</v>
      </c>
      <c r="K995" t="s">
        <v>50</v>
      </c>
      <c r="L995" t="s">
        <v>20</v>
      </c>
      <c r="M9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5" t="s">
        <v>1336</v>
      </c>
      <c r="O995" t="s">
        <v>74</v>
      </c>
      <c r="P995" t="str">
        <f>_xlfn.IFS(LEFT(indian_retail_raw_1000[[#This Row],[x]],1)="W", "West",LEFT(indian_retail_raw_1000[[#This Row],[x]],1)= "E","East",LEFT(O995,1) = "S", "South",LEFT(O995,1) = "N", "North")</f>
        <v>West</v>
      </c>
      <c r="Q995" t="s">
        <v>30</v>
      </c>
      <c r="R995" t="s">
        <v>23</v>
      </c>
      <c r="S995" t="str">
        <f>TEXT(indian_retail_raw_1000[[#This Row],[Order_Date]],"MMM")</f>
        <v>Null</v>
      </c>
    </row>
    <row r="996" spans="1:19" x14ac:dyDescent="0.25">
      <c r="A996" t="s">
        <v>1150</v>
      </c>
      <c r="B996" s="1" t="s">
        <v>1336</v>
      </c>
      <c r="C996" t="s">
        <v>152</v>
      </c>
      <c r="D996">
        <v>51</v>
      </c>
      <c r="E996" t="s">
        <v>16</v>
      </c>
      <c r="F996" t="s">
        <v>30</v>
      </c>
      <c r="G996" t="s">
        <v>153</v>
      </c>
      <c r="H996">
        <v>8</v>
      </c>
      <c r="J996">
        <v>40</v>
      </c>
      <c r="K996" t="s">
        <v>25</v>
      </c>
      <c r="L996" t="s">
        <v>20</v>
      </c>
      <c r="M9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6" t="s">
        <v>1336</v>
      </c>
      <c r="O996" t="s">
        <v>21</v>
      </c>
      <c r="P996" t="str">
        <f>_xlfn.IFS(LEFT(indian_retail_raw_1000[[#This Row],[x]],1)="W", "West",LEFT(indian_retail_raw_1000[[#This Row],[x]],1)= "E","East",LEFT(O996,1) = "S", "South",LEFT(O996,1) = "N", "North")</f>
        <v>South</v>
      </c>
      <c r="Q996" t="s">
        <v>30</v>
      </c>
      <c r="R996" t="s">
        <v>16</v>
      </c>
      <c r="S996" t="str">
        <f>TEXT(indian_retail_raw_1000[[#This Row],[Order_Date]],"MMM")</f>
        <v>Null</v>
      </c>
    </row>
    <row r="997" spans="1:19" x14ac:dyDescent="0.25">
      <c r="A997" t="s">
        <v>1152</v>
      </c>
      <c r="B997" s="1">
        <v>45211</v>
      </c>
      <c r="C997" t="s">
        <v>128</v>
      </c>
      <c r="D997">
        <v>40</v>
      </c>
      <c r="E997" t="s">
        <v>16</v>
      </c>
      <c r="F997" t="s">
        <v>30</v>
      </c>
      <c r="G997" t="s">
        <v>195</v>
      </c>
      <c r="H997">
        <v>8</v>
      </c>
      <c r="J997">
        <v>10</v>
      </c>
      <c r="K997" t="s">
        <v>105</v>
      </c>
      <c r="L997" t="s">
        <v>51</v>
      </c>
      <c r="M9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97" t="s">
        <v>1336</v>
      </c>
      <c r="O997" t="s">
        <v>108</v>
      </c>
      <c r="P997" t="str">
        <f>_xlfn.IFS(LEFT(indian_retail_raw_1000[[#This Row],[x]],1)="W", "West",LEFT(indian_retail_raw_1000[[#This Row],[x]],1)= "E","East",LEFT(O997,1) = "S", "South",LEFT(O997,1) = "N", "North")</f>
        <v>East</v>
      </c>
      <c r="Q997" t="s">
        <v>30</v>
      </c>
      <c r="R997" t="s">
        <v>16</v>
      </c>
      <c r="S997" t="str">
        <f>TEXT(indian_retail_raw_1000[[#This Row],[Order_Date]],"MMM")</f>
        <v>Oct</v>
      </c>
    </row>
    <row r="998" spans="1:19" x14ac:dyDescent="0.25">
      <c r="A998" t="s">
        <v>1263</v>
      </c>
      <c r="B998" s="1">
        <v>45052</v>
      </c>
      <c r="C998" t="s">
        <v>192</v>
      </c>
      <c r="D998">
        <v>41</v>
      </c>
      <c r="E998" t="s">
        <v>23</v>
      </c>
      <c r="F998" t="s">
        <v>30</v>
      </c>
      <c r="G998" t="s">
        <v>294</v>
      </c>
      <c r="H998">
        <v>5</v>
      </c>
      <c r="K998" t="s">
        <v>64</v>
      </c>
      <c r="L998" t="s">
        <v>20</v>
      </c>
      <c r="M9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8" t="s">
        <v>1336</v>
      </c>
      <c r="O998" t="s">
        <v>108</v>
      </c>
      <c r="P998" t="str">
        <f>_xlfn.IFS(LEFT(indian_retail_raw_1000[[#This Row],[x]],1)="W", "West",LEFT(indian_retail_raw_1000[[#This Row],[x]],1)= "E","East",LEFT(O998,1) = "S", "South",LEFT(O998,1) = "N", "North")</f>
        <v>East</v>
      </c>
      <c r="Q998" t="s">
        <v>30</v>
      </c>
      <c r="R998" t="s">
        <v>23</v>
      </c>
      <c r="S998" t="str">
        <f>TEXT(indian_retail_raw_1000[[#This Row],[Order_Date]],"MMM")</f>
        <v>May</v>
      </c>
    </row>
    <row r="999" spans="1:19" x14ac:dyDescent="0.25">
      <c r="A999" t="s">
        <v>1289</v>
      </c>
      <c r="B999" s="1" t="s">
        <v>1336</v>
      </c>
      <c r="C999" t="s">
        <v>28</v>
      </c>
      <c r="D999">
        <v>20</v>
      </c>
      <c r="E999" t="s">
        <v>16</v>
      </c>
      <c r="F999" t="s">
        <v>35</v>
      </c>
      <c r="G999" t="s">
        <v>99</v>
      </c>
      <c r="H999">
        <v>10</v>
      </c>
      <c r="J999">
        <v>10</v>
      </c>
      <c r="K999" t="s">
        <v>19</v>
      </c>
      <c r="L999" t="s">
        <v>20</v>
      </c>
      <c r="M9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9" t="s">
        <v>1336</v>
      </c>
      <c r="O999" t="s">
        <v>38</v>
      </c>
      <c r="P999" t="str">
        <f>_xlfn.IFS(LEFT(indian_retail_raw_1000[[#This Row],[x]],1)="W", "West",LEFT(indian_retail_raw_1000[[#This Row],[x]],1)= "E","East",LEFT(O999,1) = "S", "South",LEFT(O999,1) = "N", "North")</f>
        <v>North</v>
      </c>
      <c r="Q999" t="s">
        <v>35</v>
      </c>
      <c r="R999" t="s">
        <v>16</v>
      </c>
      <c r="S999" t="str">
        <f>TEXT(indian_retail_raw_1000[[#This Row],[Order_Date]],"MMM")</f>
        <v>Null</v>
      </c>
    </row>
    <row r="1000" spans="1:19" x14ac:dyDescent="0.25">
      <c r="A1000" t="s">
        <v>1293</v>
      </c>
      <c r="B1000" s="1">
        <v>45178</v>
      </c>
      <c r="C1000" t="s">
        <v>628</v>
      </c>
      <c r="D1000">
        <v>38</v>
      </c>
      <c r="E1000" t="s">
        <v>23</v>
      </c>
      <c r="F1000" t="s">
        <v>17</v>
      </c>
      <c r="G1000" t="s">
        <v>189</v>
      </c>
      <c r="H1000">
        <v>1</v>
      </c>
      <c r="J1000">
        <v>0</v>
      </c>
      <c r="K1000" t="s">
        <v>19</v>
      </c>
      <c r="L1000" t="s">
        <v>20</v>
      </c>
      <c r="M10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00" t="s">
        <v>1336</v>
      </c>
      <c r="O1000" t="s">
        <v>45</v>
      </c>
      <c r="P1000" t="str">
        <f>_xlfn.IFS(LEFT(indian_retail_raw_1000[[#This Row],[x]],1)="W", "West",LEFT(indian_retail_raw_1000[[#This Row],[x]],1)= "E","East",LEFT(O1000,1) = "S", "South",LEFT(O1000,1) = "N", "North")</f>
        <v>East</v>
      </c>
      <c r="Q1000" t="s">
        <v>17</v>
      </c>
      <c r="R1000" t="s">
        <v>23</v>
      </c>
      <c r="S1000" t="str">
        <f>TEXT(indian_retail_raw_1000[[#This Row],[Order_Date]],"MMM")</f>
        <v>Sep</v>
      </c>
    </row>
    <row r="1001" spans="1:19" x14ac:dyDescent="0.25">
      <c r="A1001" t="s">
        <v>1304</v>
      </c>
      <c r="B1001" s="1">
        <v>45215</v>
      </c>
      <c r="C1001" t="s">
        <v>110</v>
      </c>
      <c r="D1001">
        <v>32</v>
      </c>
      <c r="E1001" t="s">
        <v>44</v>
      </c>
      <c r="F1001" t="s">
        <v>17</v>
      </c>
      <c r="G1001" t="s">
        <v>40</v>
      </c>
      <c r="H1001">
        <v>2</v>
      </c>
      <c r="J1001">
        <v>40</v>
      </c>
      <c r="K1001" t="s">
        <v>50</v>
      </c>
      <c r="L1001" t="s">
        <v>20</v>
      </c>
      <c r="M10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01" t="s">
        <v>1336</v>
      </c>
      <c r="O1001" t="s">
        <v>38</v>
      </c>
      <c r="P1001" t="str">
        <f>_xlfn.IFS(LEFT(indian_retail_raw_1000[[#This Row],[x]],1)="W", "West",LEFT(indian_retail_raw_1000[[#This Row],[x]],1)= "E","East",LEFT(O1001,1) = "S", "South",LEFT(O1001,1) = "N", "North")</f>
        <v>North</v>
      </c>
      <c r="Q1001" t="s">
        <v>17</v>
      </c>
      <c r="R1001" t="s">
        <v>23</v>
      </c>
      <c r="S1001" t="str">
        <f>TEXT(indian_retail_raw_1000[[#This Row],[Order_Date]],"MMM")</f>
        <v>Oct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43D1-CF74-443E-814B-E40BEDFE05A4}">
  <dimension ref="A1:N1001"/>
  <sheetViews>
    <sheetView workbookViewId="0">
      <selection activeCell="O1" sqref="O1:O1048576"/>
    </sheetView>
  </sheetViews>
  <sheetFormatPr defaultRowHeight="15" x14ac:dyDescent="0.25"/>
  <cols>
    <col min="2" max="2" width="10.7109375" style="5" bestFit="1" customWidth="1"/>
  </cols>
  <sheetData>
    <row r="1" spans="1:14" x14ac:dyDescent="0.25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5">
        <v>44933</v>
      </c>
      <c r="C2" t="s">
        <v>15</v>
      </c>
      <c r="D2">
        <v>62</v>
      </c>
      <c r="E2" t="s">
        <v>16</v>
      </c>
      <c r="F2" t="s">
        <v>17</v>
      </c>
      <c r="G2" t="s">
        <v>18</v>
      </c>
      <c r="H2">
        <v>1</v>
      </c>
      <c r="I2">
        <v>3600</v>
      </c>
      <c r="J2">
        <v>10</v>
      </c>
      <c r="K2" t="s">
        <v>19</v>
      </c>
      <c r="L2" t="s">
        <v>20</v>
      </c>
      <c r="M2">
        <v>3600</v>
      </c>
      <c r="N2" t="s">
        <v>21</v>
      </c>
    </row>
    <row r="3" spans="1:14" x14ac:dyDescent="0.25">
      <c r="A3" t="s">
        <v>22</v>
      </c>
      <c r="B3" s="5">
        <v>45095</v>
      </c>
      <c r="D3">
        <v>55</v>
      </c>
      <c r="E3" t="s">
        <v>23</v>
      </c>
      <c r="F3" t="s">
        <v>17</v>
      </c>
      <c r="G3" t="s">
        <v>24</v>
      </c>
      <c r="H3">
        <v>20</v>
      </c>
      <c r="I3">
        <v>3000</v>
      </c>
      <c r="J3">
        <v>5</v>
      </c>
      <c r="K3" t="s">
        <v>25</v>
      </c>
      <c r="L3" t="s">
        <v>20</v>
      </c>
      <c r="M3">
        <v>57000</v>
      </c>
      <c r="N3" t="s">
        <v>26</v>
      </c>
    </row>
    <row r="4" spans="1:14" x14ac:dyDescent="0.25">
      <c r="A4" t="s">
        <v>27</v>
      </c>
      <c r="B4" s="5">
        <v>45170</v>
      </c>
      <c r="C4" t="s">
        <v>28</v>
      </c>
      <c r="D4">
        <v>64</v>
      </c>
      <c r="E4" t="s">
        <v>29</v>
      </c>
      <c r="F4" t="s">
        <v>30</v>
      </c>
      <c r="G4" t="s">
        <v>31</v>
      </c>
      <c r="H4">
        <v>10</v>
      </c>
      <c r="I4">
        <v>2911</v>
      </c>
      <c r="J4">
        <v>25</v>
      </c>
      <c r="K4" t="s">
        <v>32</v>
      </c>
      <c r="L4" t="s">
        <v>20</v>
      </c>
      <c r="M4">
        <v>29110</v>
      </c>
      <c r="N4" t="s">
        <v>33</v>
      </c>
    </row>
    <row r="5" spans="1:14" ht="14.25" customHeight="1" x14ac:dyDescent="0.25">
      <c r="A5" t="s">
        <v>34</v>
      </c>
      <c r="B5" s="5">
        <v>45236</v>
      </c>
      <c r="D5">
        <v>47</v>
      </c>
      <c r="E5" t="s">
        <v>16</v>
      </c>
      <c r="F5" t="s">
        <v>35</v>
      </c>
      <c r="G5" t="s">
        <v>36</v>
      </c>
      <c r="H5">
        <v>6</v>
      </c>
      <c r="I5">
        <v>706198</v>
      </c>
      <c r="J5">
        <v>40</v>
      </c>
      <c r="K5" t="s">
        <v>25</v>
      </c>
      <c r="L5" t="s">
        <v>37</v>
      </c>
      <c r="M5">
        <v>2542312.7999999998</v>
      </c>
      <c r="N5" t="s">
        <v>38</v>
      </c>
    </row>
    <row r="6" spans="1:14" x14ac:dyDescent="0.25">
      <c r="A6" t="s">
        <v>39</v>
      </c>
      <c r="B6" s="5">
        <v>45143</v>
      </c>
      <c r="D6">
        <v>56</v>
      </c>
      <c r="E6" t="s">
        <v>23</v>
      </c>
      <c r="F6" t="s">
        <v>17</v>
      </c>
      <c r="G6" t="s">
        <v>40</v>
      </c>
      <c r="H6">
        <v>2</v>
      </c>
      <c r="I6">
        <v>5000</v>
      </c>
      <c r="J6">
        <v>5</v>
      </c>
      <c r="K6" t="s">
        <v>41</v>
      </c>
      <c r="L6" t="s">
        <v>20</v>
      </c>
      <c r="M6">
        <v>9500</v>
      </c>
      <c r="N6" t="s">
        <v>26</v>
      </c>
    </row>
    <row r="7" spans="1:14" x14ac:dyDescent="0.25">
      <c r="A7" t="s">
        <v>42</v>
      </c>
      <c r="B7" s="5">
        <v>45017</v>
      </c>
      <c r="C7" t="s">
        <v>43</v>
      </c>
      <c r="D7">
        <v>29</v>
      </c>
      <c r="E7" t="s">
        <v>44</v>
      </c>
      <c r="F7" t="s">
        <v>35</v>
      </c>
      <c r="G7" t="s">
        <v>36</v>
      </c>
      <c r="H7">
        <v>6</v>
      </c>
      <c r="I7">
        <v>1052</v>
      </c>
      <c r="J7">
        <v>80</v>
      </c>
      <c r="K7" t="s">
        <v>19</v>
      </c>
      <c r="L7" t="s">
        <v>20</v>
      </c>
      <c r="M7">
        <v>1262.4000000000001</v>
      </c>
      <c r="N7" t="s">
        <v>45</v>
      </c>
    </row>
    <row r="8" spans="1:14" x14ac:dyDescent="0.25">
      <c r="A8" t="s">
        <v>46</v>
      </c>
      <c r="B8" s="5" t="s">
        <v>47</v>
      </c>
      <c r="C8" t="s">
        <v>48</v>
      </c>
      <c r="D8">
        <v>45</v>
      </c>
      <c r="E8" t="s">
        <v>16</v>
      </c>
      <c r="F8" t="s">
        <v>17</v>
      </c>
      <c r="G8" t="s">
        <v>49</v>
      </c>
      <c r="H8">
        <v>3</v>
      </c>
      <c r="I8">
        <v>2</v>
      </c>
      <c r="J8">
        <v>0</v>
      </c>
      <c r="K8" t="s">
        <v>50</v>
      </c>
      <c r="L8" t="s">
        <v>51</v>
      </c>
      <c r="M8">
        <v>6</v>
      </c>
      <c r="N8" t="s">
        <v>45</v>
      </c>
    </row>
    <row r="9" spans="1:14" x14ac:dyDescent="0.25">
      <c r="A9" t="s">
        <v>52</v>
      </c>
      <c r="B9" s="5">
        <v>45127</v>
      </c>
      <c r="C9" t="s">
        <v>53</v>
      </c>
      <c r="D9">
        <v>34</v>
      </c>
      <c r="E9" t="s">
        <v>23</v>
      </c>
      <c r="F9" t="s">
        <v>54</v>
      </c>
      <c r="G9" t="s">
        <v>55</v>
      </c>
      <c r="H9">
        <v>2</v>
      </c>
      <c r="I9">
        <v>29000</v>
      </c>
      <c r="J9">
        <v>15</v>
      </c>
      <c r="K9" t="s">
        <v>50</v>
      </c>
      <c r="L9" t="s">
        <v>56</v>
      </c>
      <c r="M9">
        <v>49300</v>
      </c>
      <c r="N9" t="s">
        <v>57</v>
      </c>
    </row>
    <row r="10" spans="1:14" x14ac:dyDescent="0.25">
      <c r="A10" t="s">
        <v>58</v>
      </c>
      <c r="B10" s="5">
        <v>45251</v>
      </c>
      <c r="C10" t="s">
        <v>59</v>
      </c>
      <c r="D10">
        <v>34</v>
      </c>
      <c r="E10" t="s">
        <v>16</v>
      </c>
      <c r="F10" t="s">
        <v>30</v>
      </c>
      <c r="G10" t="s">
        <v>60</v>
      </c>
      <c r="H10">
        <v>7</v>
      </c>
      <c r="I10">
        <v>6507</v>
      </c>
      <c r="J10">
        <v>20</v>
      </c>
      <c r="K10" t="s">
        <v>50</v>
      </c>
      <c r="L10" t="s">
        <v>20</v>
      </c>
      <c r="M10">
        <v>36439.199999999997</v>
      </c>
      <c r="N10" t="s">
        <v>38</v>
      </c>
    </row>
    <row r="11" spans="1:14" x14ac:dyDescent="0.25">
      <c r="A11" t="s">
        <v>61</v>
      </c>
      <c r="B11" s="5">
        <v>45262</v>
      </c>
      <c r="C11" t="s">
        <v>62</v>
      </c>
      <c r="D11">
        <v>60</v>
      </c>
      <c r="E11" t="s">
        <v>29</v>
      </c>
      <c r="F11" t="s">
        <v>35</v>
      </c>
      <c r="G11" t="s">
        <v>63</v>
      </c>
      <c r="H11">
        <v>4</v>
      </c>
      <c r="I11">
        <v>4225</v>
      </c>
      <c r="J11">
        <v>15</v>
      </c>
      <c r="K11" t="s">
        <v>64</v>
      </c>
      <c r="L11" t="s">
        <v>20</v>
      </c>
      <c r="M11">
        <v>14365</v>
      </c>
      <c r="N11" t="s">
        <v>45</v>
      </c>
    </row>
    <row r="12" spans="1:14" x14ac:dyDescent="0.25">
      <c r="A12" t="s">
        <v>65</v>
      </c>
      <c r="B12" s="5">
        <v>45028</v>
      </c>
      <c r="C12" t="s">
        <v>66</v>
      </c>
      <c r="D12">
        <v>61</v>
      </c>
      <c r="E12" t="s">
        <v>16</v>
      </c>
      <c r="F12" t="s">
        <v>30</v>
      </c>
      <c r="G12" t="s">
        <v>67</v>
      </c>
      <c r="H12">
        <v>5</v>
      </c>
      <c r="I12">
        <v>4220</v>
      </c>
      <c r="J12">
        <v>30</v>
      </c>
      <c r="K12" t="s">
        <v>41</v>
      </c>
      <c r="L12" t="s">
        <v>51</v>
      </c>
      <c r="M12">
        <v>14770</v>
      </c>
      <c r="N12" t="s">
        <v>38</v>
      </c>
    </row>
    <row r="13" spans="1:14" x14ac:dyDescent="0.25">
      <c r="A13" t="s">
        <v>68</v>
      </c>
      <c r="B13" s="5">
        <v>45027</v>
      </c>
      <c r="C13" t="s">
        <v>69</v>
      </c>
      <c r="D13">
        <v>64</v>
      </c>
      <c r="E13" t="s">
        <v>23</v>
      </c>
      <c r="F13" t="s">
        <v>70</v>
      </c>
      <c r="G13" t="s">
        <v>49</v>
      </c>
      <c r="H13">
        <v>1</v>
      </c>
      <c r="I13">
        <v>1200</v>
      </c>
      <c r="J13">
        <v>5</v>
      </c>
      <c r="K13" t="s">
        <v>41</v>
      </c>
      <c r="L13" t="s">
        <v>20</v>
      </c>
      <c r="M13">
        <v>1140</v>
      </c>
      <c r="N13" t="s">
        <v>21</v>
      </c>
    </row>
    <row r="14" spans="1:14" x14ac:dyDescent="0.25">
      <c r="A14" t="s">
        <v>71</v>
      </c>
      <c r="B14" s="5">
        <v>45182</v>
      </c>
      <c r="C14" t="s">
        <v>72</v>
      </c>
      <c r="D14">
        <v>36</v>
      </c>
      <c r="E14" t="s">
        <v>73</v>
      </c>
      <c r="F14" t="s">
        <v>30</v>
      </c>
      <c r="G14" t="s">
        <v>31</v>
      </c>
      <c r="H14">
        <v>2</v>
      </c>
      <c r="I14">
        <v>2218</v>
      </c>
      <c r="J14">
        <v>50</v>
      </c>
      <c r="K14" t="s">
        <v>41</v>
      </c>
      <c r="L14" t="s">
        <v>20</v>
      </c>
      <c r="M14">
        <v>2218</v>
      </c>
      <c r="N14" t="s">
        <v>74</v>
      </c>
    </row>
    <row r="15" spans="1:14" x14ac:dyDescent="0.25">
      <c r="A15" t="s">
        <v>75</v>
      </c>
      <c r="B15" s="5">
        <v>45279</v>
      </c>
      <c r="C15" t="s">
        <v>76</v>
      </c>
      <c r="D15">
        <v>37</v>
      </c>
      <c r="E15" t="s">
        <v>44</v>
      </c>
      <c r="F15" t="s">
        <v>54</v>
      </c>
      <c r="G15" t="s">
        <v>77</v>
      </c>
      <c r="H15">
        <v>2</v>
      </c>
      <c r="I15">
        <v>17200</v>
      </c>
      <c r="K15" t="s">
        <v>19</v>
      </c>
      <c r="L15" t="s">
        <v>20</v>
      </c>
      <c r="M15">
        <v>34400</v>
      </c>
      <c r="N15" t="s">
        <v>21</v>
      </c>
    </row>
    <row r="16" spans="1:14" x14ac:dyDescent="0.25">
      <c r="A16" t="s">
        <v>78</v>
      </c>
      <c r="B16" s="5">
        <v>45181</v>
      </c>
      <c r="C16" t="s">
        <v>79</v>
      </c>
      <c r="D16">
        <v>23</v>
      </c>
      <c r="E16" t="s">
        <v>73</v>
      </c>
      <c r="F16" t="s">
        <v>17</v>
      </c>
      <c r="G16" t="s">
        <v>80</v>
      </c>
      <c r="H16">
        <v>3</v>
      </c>
      <c r="I16">
        <v>5750</v>
      </c>
      <c r="J16">
        <v>40</v>
      </c>
      <c r="K16" t="s">
        <v>19</v>
      </c>
      <c r="L16" t="s">
        <v>20</v>
      </c>
      <c r="M16">
        <v>10350</v>
      </c>
      <c r="N16" t="s">
        <v>38</v>
      </c>
    </row>
    <row r="17" spans="1:14" x14ac:dyDescent="0.25">
      <c r="A17" t="s">
        <v>81</v>
      </c>
      <c r="B17" s="5">
        <v>45277</v>
      </c>
      <c r="C17" t="s">
        <v>82</v>
      </c>
      <c r="D17">
        <v>38</v>
      </c>
      <c r="E17" t="s">
        <v>16</v>
      </c>
      <c r="F17" t="s">
        <v>30</v>
      </c>
      <c r="G17" t="s">
        <v>31</v>
      </c>
      <c r="H17">
        <v>6</v>
      </c>
      <c r="I17">
        <v>2795</v>
      </c>
      <c r="J17">
        <v>40</v>
      </c>
      <c r="K17" t="s">
        <v>83</v>
      </c>
      <c r="L17" t="s">
        <v>20</v>
      </c>
      <c r="M17">
        <v>10062</v>
      </c>
      <c r="N17" t="s">
        <v>45</v>
      </c>
    </row>
    <row r="18" spans="1:14" x14ac:dyDescent="0.25">
      <c r="A18" t="s">
        <v>84</v>
      </c>
      <c r="B18" s="5" t="s">
        <v>1356</v>
      </c>
      <c r="D18">
        <v>57</v>
      </c>
      <c r="E18" t="s">
        <v>16</v>
      </c>
      <c r="F18" t="s">
        <v>17</v>
      </c>
      <c r="G18" t="s">
        <v>24</v>
      </c>
      <c r="H18">
        <v>3</v>
      </c>
      <c r="I18">
        <v>1700</v>
      </c>
      <c r="J18">
        <v>30</v>
      </c>
      <c r="K18" t="s">
        <v>41</v>
      </c>
      <c r="L18" t="s">
        <v>20</v>
      </c>
      <c r="M18">
        <v>3570</v>
      </c>
      <c r="N18" t="s">
        <v>45</v>
      </c>
    </row>
    <row r="19" spans="1:14" x14ac:dyDescent="0.25">
      <c r="A19" t="s">
        <v>85</v>
      </c>
      <c r="B19" s="5" t="s">
        <v>86</v>
      </c>
      <c r="C19" t="s">
        <v>87</v>
      </c>
      <c r="D19">
        <v>55</v>
      </c>
      <c r="E19" t="s">
        <v>23</v>
      </c>
      <c r="F19" t="s">
        <v>54</v>
      </c>
      <c r="G19" t="s">
        <v>88</v>
      </c>
      <c r="H19">
        <v>1</v>
      </c>
      <c r="I19">
        <v>49400</v>
      </c>
      <c r="J19">
        <v>75</v>
      </c>
      <c r="K19" t="s">
        <v>89</v>
      </c>
      <c r="L19" t="s">
        <v>51</v>
      </c>
      <c r="M19">
        <v>12350</v>
      </c>
      <c r="N19" t="s">
        <v>45</v>
      </c>
    </row>
    <row r="20" spans="1:14" x14ac:dyDescent="0.25">
      <c r="A20" t="s">
        <v>90</v>
      </c>
      <c r="B20" s="5">
        <v>45140</v>
      </c>
      <c r="C20" t="s">
        <v>53</v>
      </c>
      <c r="D20">
        <v>62</v>
      </c>
      <c r="E20" t="s">
        <v>16</v>
      </c>
      <c r="F20" t="s">
        <v>91</v>
      </c>
      <c r="G20" t="s">
        <v>92</v>
      </c>
      <c r="H20">
        <v>2</v>
      </c>
      <c r="J20">
        <v>30</v>
      </c>
      <c r="K20" t="s">
        <v>50</v>
      </c>
      <c r="L20" t="s">
        <v>51</v>
      </c>
      <c r="N20" t="s">
        <v>21</v>
      </c>
    </row>
    <row r="21" spans="1:14" x14ac:dyDescent="0.25">
      <c r="A21" t="s">
        <v>93</v>
      </c>
      <c r="B21" s="5">
        <v>45240</v>
      </c>
      <c r="C21" t="s">
        <v>76</v>
      </c>
      <c r="D21">
        <v>150</v>
      </c>
      <c r="E21" t="s">
        <v>23</v>
      </c>
      <c r="F21" t="s">
        <v>17</v>
      </c>
      <c r="G21" t="s">
        <v>94</v>
      </c>
      <c r="H21">
        <v>3</v>
      </c>
      <c r="I21">
        <v>1700</v>
      </c>
      <c r="J21">
        <v>50</v>
      </c>
      <c r="K21" t="s">
        <v>95</v>
      </c>
      <c r="L21" t="s">
        <v>51</v>
      </c>
      <c r="M21">
        <v>2550</v>
      </c>
      <c r="N21" t="s">
        <v>38</v>
      </c>
    </row>
    <row r="22" spans="1:14" x14ac:dyDescent="0.25">
      <c r="A22" t="s">
        <v>96</v>
      </c>
      <c r="B22" s="5">
        <v>45261</v>
      </c>
      <c r="E22" t="s">
        <v>16</v>
      </c>
      <c r="F22" t="s">
        <v>97</v>
      </c>
      <c r="G22" t="s">
        <v>67</v>
      </c>
      <c r="H22">
        <v>7</v>
      </c>
      <c r="I22">
        <v>3636</v>
      </c>
      <c r="J22">
        <v>0</v>
      </c>
      <c r="K22" t="s">
        <v>32</v>
      </c>
      <c r="L22" t="s">
        <v>20</v>
      </c>
      <c r="M22">
        <v>25452</v>
      </c>
      <c r="N22" t="s">
        <v>45</v>
      </c>
    </row>
    <row r="23" spans="1:14" x14ac:dyDescent="0.25">
      <c r="A23" t="s">
        <v>98</v>
      </c>
      <c r="B23" s="5">
        <v>45268</v>
      </c>
      <c r="C23" t="s">
        <v>76</v>
      </c>
      <c r="D23">
        <v>52</v>
      </c>
      <c r="E23" t="s">
        <v>23</v>
      </c>
      <c r="F23" t="s">
        <v>35</v>
      </c>
      <c r="G23" t="s">
        <v>99</v>
      </c>
      <c r="H23">
        <v>3</v>
      </c>
      <c r="I23">
        <v>1174</v>
      </c>
      <c r="J23">
        <v>50</v>
      </c>
      <c r="K23" t="s">
        <v>19</v>
      </c>
      <c r="L23" t="s">
        <v>100</v>
      </c>
      <c r="M23">
        <v>1761</v>
      </c>
      <c r="N23" t="s">
        <v>21</v>
      </c>
    </row>
    <row r="24" spans="1:14" x14ac:dyDescent="0.25">
      <c r="A24" t="s">
        <v>101</v>
      </c>
      <c r="B24" s="5">
        <v>44949</v>
      </c>
      <c r="C24" t="s">
        <v>102</v>
      </c>
      <c r="D24">
        <v>51</v>
      </c>
      <c r="E24" t="s">
        <v>23</v>
      </c>
      <c r="F24" t="s">
        <v>103</v>
      </c>
      <c r="G24" t="s">
        <v>104</v>
      </c>
      <c r="H24">
        <v>2</v>
      </c>
      <c r="I24">
        <v>12700</v>
      </c>
      <c r="J24">
        <v>25</v>
      </c>
      <c r="K24" t="s">
        <v>105</v>
      </c>
      <c r="L24" t="s">
        <v>20</v>
      </c>
      <c r="M24">
        <v>19050</v>
      </c>
      <c r="N24" t="s">
        <v>26</v>
      </c>
    </row>
    <row r="25" spans="1:14" x14ac:dyDescent="0.25">
      <c r="A25" t="s">
        <v>106</v>
      </c>
      <c r="B25" s="5">
        <v>44964</v>
      </c>
      <c r="D25">
        <v>47</v>
      </c>
      <c r="E25" t="s">
        <v>23</v>
      </c>
      <c r="F25" t="s">
        <v>17</v>
      </c>
      <c r="G25" t="s">
        <v>49</v>
      </c>
      <c r="H25">
        <v>1</v>
      </c>
      <c r="I25">
        <v>1450</v>
      </c>
      <c r="J25">
        <v>10</v>
      </c>
      <c r="K25" t="s">
        <v>19</v>
      </c>
      <c r="L25" t="s">
        <v>107</v>
      </c>
      <c r="M25">
        <v>1305</v>
      </c>
      <c r="N25" t="s">
        <v>108</v>
      </c>
    </row>
    <row r="26" spans="1:14" x14ac:dyDescent="0.25">
      <c r="A26" t="s">
        <v>109</v>
      </c>
      <c r="B26" s="5">
        <v>45172</v>
      </c>
      <c r="C26" t="s">
        <v>110</v>
      </c>
      <c r="D26">
        <v>28</v>
      </c>
      <c r="E26" t="s">
        <v>16</v>
      </c>
      <c r="F26" t="s">
        <v>35</v>
      </c>
      <c r="G26" t="s">
        <v>111</v>
      </c>
      <c r="H26">
        <v>3</v>
      </c>
      <c r="I26">
        <v>401</v>
      </c>
      <c r="J26">
        <v>0</v>
      </c>
      <c r="K26" t="s">
        <v>50</v>
      </c>
      <c r="L26" t="s">
        <v>20</v>
      </c>
      <c r="M26">
        <v>1203</v>
      </c>
      <c r="N26" t="s">
        <v>45</v>
      </c>
    </row>
    <row r="27" spans="1:14" x14ac:dyDescent="0.25">
      <c r="A27" t="s">
        <v>112</v>
      </c>
      <c r="B27" s="5">
        <v>45180</v>
      </c>
      <c r="C27" t="s">
        <v>48</v>
      </c>
      <c r="D27">
        <v>55</v>
      </c>
      <c r="E27" t="s">
        <v>16</v>
      </c>
      <c r="F27" t="s">
        <v>30</v>
      </c>
      <c r="G27" t="s">
        <v>31</v>
      </c>
      <c r="H27">
        <v>10</v>
      </c>
      <c r="I27">
        <v>1685</v>
      </c>
      <c r="J27">
        <v>10</v>
      </c>
      <c r="K27" t="s">
        <v>19</v>
      </c>
      <c r="L27" t="s">
        <v>56</v>
      </c>
      <c r="M27">
        <v>15165</v>
      </c>
      <c r="N27" t="s">
        <v>45</v>
      </c>
    </row>
    <row r="28" spans="1:14" x14ac:dyDescent="0.25">
      <c r="A28" t="s">
        <v>113</v>
      </c>
      <c r="B28" s="5">
        <v>45244</v>
      </c>
      <c r="C28" t="s">
        <v>48</v>
      </c>
      <c r="D28">
        <v>55</v>
      </c>
      <c r="E28" t="s">
        <v>23</v>
      </c>
      <c r="F28" t="s">
        <v>54</v>
      </c>
      <c r="G28" t="s">
        <v>114</v>
      </c>
      <c r="H28">
        <v>2</v>
      </c>
      <c r="I28">
        <v>84700</v>
      </c>
      <c r="J28">
        <v>10</v>
      </c>
      <c r="K28" t="s">
        <v>115</v>
      </c>
      <c r="L28" t="s">
        <v>56</v>
      </c>
      <c r="M28">
        <v>152460</v>
      </c>
      <c r="N28" t="s">
        <v>21</v>
      </c>
    </row>
    <row r="29" spans="1:14" x14ac:dyDescent="0.25">
      <c r="A29" t="s">
        <v>116</v>
      </c>
      <c r="B29" s="5">
        <v>45146</v>
      </c>
      <c r="C29" t="s">
        <v>48</v>
      </c>
      <c r="D29">
        <v>28</v>
      </c>
      <c r="E29" t="s">
        <v>16</v>
      </c>
      <c r="F29" t="s">
        <v>17</v>
      </c>
      <c r="G29" t="s">
        <v>117</v>
      </c>
      <c r="H29">
        <v>1</v>
      </c>
      <c r="I29">
        <v>6000</v>
      </c>
      <c r="J29">
        <v>5</v>
      </c>
      <c r="K29" t="s">
        <v>41</v>
      </c>
      <c r="L29" t="s">
        <v>56</v>
      </c>
      <c r="M29">
        <v>6000</v>
      </c>
      <c r="N29" t="s">
        <v>26</v>
      </c>
    </row>
    <row r="30" spans="1:14" x14ac:dyDescent="0.25">
      <c r="A30" t="s">
        <v>118</v>
      </c>
      <c r="B30" s="5">
        <v>44948</v>
      </c>
      <c r="D30">
        <v>25</v>
      </c>
      <c r="E30" t="s">
        <v>16</v>
      </c>
      <c r="F30" t="s">
        <v>30</v>
      </c>
      <c r="G30" t="s">
        <v>31</v>
      </c>
      <c r="H30">
        <v>10</v>
      </c>
      <c r="I30">
        <v>1907</v>
      </c>
      <c r="J30">
        <v>25</v>
      </c>
      <c r="K30" t="s">
        <v>41</v>
      </c>
      <c r="L30" t="s">
        <v>51</v>
      </c>
      <c r="M30">
        <v>14302.5</v>
      </c>
      <c r="N30" t="s">
        <v>38</v>
      </c>
    </row>
    <row r="31" spans="1:14" x14ac:dyDescent="0.25">
      <c r="A31" t="s">
        <v>119</v>
      </c>
      <c r="B31" s="5" t="s">
        <v>120</v>
      </c>
      <c r="C31" t="s">
        <v>53</v>
      </c>
      <c r="D31">
        <v>32</v>
      </c>
      <c r="E31" t="s">
        <v>16</v>
      </c>
      <c r="F31" t="s">
        <v>97</v>
      </c>
      <c r="G31" t="s">
        <v>121</v>
      </c>
      <c r="H31">
        <v>10</v>
      </c>
      <c r="I31">
        <v>3242</v>
      </c>
      <c r="J31">
        <v>10</v>
      </c>
      <c r="K31" t="s">
        <v>50</v>
      </c>
      <c r="L31" t="s">
        <v>20</v>
      </c>
      <c r="M31">
        <v>29178</v>
      </c>
      <c r="N31" t="s">
        <v>122</v>
      </c>
    </row>
    <row r="32" spans="1:14" x14ac:dyDescent="0.25">
      <c r="A32" t="s">
        <v>123</v>
      </c>
      <c r="B32" s="5">
        <v>45089</v>
      </c>
      <c r="C32" t="s">
        <v>43</v>
      </c>
      <c r="D32">
        <v>27</v>
      </c>
      <c r="E32" t="s">
        <v>16</v>
      </c>
      <c r="F32" t="s">
        <v>17</v>
      </c>
      <c r="G32" t="s">
        <v>124</v>
      </c>
      <c r="H32">
        <v>1</v>
      </c>
      <c r="I32">
        <v>7300</v>
      </c>
      <c r="J32">
        <v>0</v>
      </c>
      <c r="K32" t="s">
        <v>41</v>
      </c>
      <c r="L32" t="s">
        <v>20</v>
      </c>
      <c r="M32">
        <v>7300</v>
      </c>
      <c r="N32" t="s">
        <v>21</v>
      </c>
    </row>
    <row r="33" spans="1:14" x14ac:dyDescent="0.25">
      <c r="A33" t="s">
        <v>125</v>
      </c>
      <c r="B33" s="5">
        <v>45064</v>
      </c>
      <c r="C33" t="s">
        <v>66</v>
      </c>
      <c r="D33">
        <v>62</v>
      </c>
      <c r="E33" t="s">
        <v>23</v>
      </c>
      <c r="F33" t="s">
        <v>35</v>
      </c>
      <c r="G33" t="s">
        <v>126</v>
      </c>
      <c r="H33">
        <v>4</v>
      </c>
      <c r="I33">
        <v>357</v>
      </c>
      <c r="K33" t="s">
        <v>41</v>
      </c>
      <c r="L33" t="s">
        <v>20</v>
      </c>
      <c r="M33">
        <v>1428</v>
      </c>
      <c r="N33" t="s">
        <v>38</v>
      </c>
    </row>
    <row r="34" spans="1:14" x14ac:dyDescent="0.25">
      <c r="A34" t="s">
        <v>127</v>
      </c>
      <c r="B34" s="5">
        <v>45246</v>
      </c>
      <c r="C34" t="s">
        <v>128</v>
      </c>
      <c r="D34">
        <v>21</v>
      </c>
      <c r="E34" t="s">
        <v>16</v>
      </c>
      <c r="F34" t="s">
        <v>129</v>
      </c>
      <c r="G34" t="s">
        <v>130</v>
      </c>
      <c r="H34">
        <v>3</v>
      </c>
      <c r="I34">
        <v>9</v>
      </c>
      <c r="J34">
        <v>50</v>
      </c>
      <c r="K34" t="s">
        <v>115</v>
      </c>
      <c r="L34" t="s">
        <v>20</v>
      </c>
      <c r="M34">
        <v>13.5</v>
      </c>
      <c r="N34" t="s">
        <v>26</v>
      </c>
    </row>
    <row r="35" spans="1:14" x14ac:dyDescent="0.25">
      <c r="A35" t="s">
        <v>131</v>
      </c>
      <c r="B35" s="5">
        <v>44993</v>
      </c>
      <c r="C35" t="s">
        <v>132</v>
      </c>
      <c r="D35">
        <v>65</v>
      </c>
      <c r="E35" t="s">
        <v>16</v>
      </c>
      <c r="F35" t="s">
        <v>30</v>
      </c>
      <c r="G35" t="s">
        <v>67</v>
      </c>
      <c r="H35">
        <v>1</v>
      </c>
      <c r="I35">
        <v>2557</v>
      </c>
      <c r="J35">
        <v>5</v>
      </c>
      <c r="K35" t="s">
        <v>41</v>
      </c>
      <c r="L35" t="s">
        <v>51</v>
      </c>
      <c r="M35">
        <v>2429.15</v>
      </c>
      <c r="N35" t="s">
        <v>45</v>
      </c>
    </row>
    <row r="36" spans="1:14" x14ac:dyDescent="0.25">
      <c r="A36" t="s">
        <v>133</v>
      </c>
      <c r="B36" s="5" t="s">
        <v>134</v>
      </c>
      <c r="C36" t="s">
        <v>48</v>
      </c>
      <c r="D36">
        <v>40</v>
      </c>
      <c r="E36" t="s">
        <v>23</v>
      </c>
      <c r="F36" t="s">
        <v>30</v>
      </c>
      <c r="G36" t="s">
        <v>135</v>
      </c>
      <c r="H36">
        <v>7</v>
      </c>
      <c r="I36">
        <v>8092</v>
      </c>
      <c r="J36">
        <v>20</v>
      </c>
      <c r="K36" t="s">
        <v>19</v>
      </c>
      <c r="L36" t="s">
        <v>56</v>
      </c>
      <c r="M36">
        <v>45315.199999999997</v>
      </c>
      <c r="N36" t="s">
        <v>26</v>
      </c>
    </row>
    <row r="37" spans="1:14" x14ac:dyDescent="0.25">
      <c r="A37" t="s">
        <v>136</v>
      </c>
      <c r="B37" s="5" t="s">
        <v>330</v>
      </c>
      <c r="C37" t="s">
        <v>48</v>
      </c>
      <c r="D37">
        <v>52</v>
      </c>
      <c r="E37" t="s">
        <v>16</v>
      </c>
      <c r="F37" t="s">
        <v>17</v>
      </c>
      <c r="G37" t="s">
        <v>94</v>
      </c>
      <c r="H37">
        <v>3</v>
      </c>
      <c r="I37">
        <v>2650</v>
      </c>
      <c r="J37">
        <v>0</v>
      </c>
      <c r="K37" t="s">
        <v>50</v>
      </c>
      <c r="L37" t="s">
        <v>51</v>
      </c>
      <c r="M37">
        <v>7950</v>
      </c>
      <c r="N37" t="s">
        <v>45</v>
      </c>
    </row>
    <row r="38" spans="1:14" x14ac:dyDescent="0.25">
      <c r="A38" t="s">
        <v>137</v>
      </c>
      <c r="B38" s="5">
        <v>45269</v>
      </c>
      <c r="C38" t="s">
        <v>66</v>
      </c>
      <c r="D38">
        <v>26</v>
      </c>
      <c r="E38" t="s">
        <v>138</v>
      </c>
      <c r="F38" t="s">
        <v>35</v>
      </c>
      <c r="G38" t="s">
        <v>139</v>
      </c>
      <c r="H38">
        <v>2</v>
      </c>
      <c r="I38">
        <v>446</v>
      </c>
      <c r="J38">
        <v>5</v>
      </c>
      <c r="K38" t="s">
        <v>25</v>
      </c>
      <c r="L38" t="s">
        <v>20</v>
      </c>
      <c r="M38">
        <v>847.4</v>
      </c>
      <c r="N38" t="s">
        <v>38</v>
      </c>
    </row>
    <row r="39" spans="1:14" x14ac:dyDescent="0.25">
      <c r="A39" t="s">
        <v>140</v>
      </c>
      <c r="B39" s="5" t="s">
        <v>141</v>
      </c>
      <c r="C39" t="s">
        <v>142</v>
      </c>
      <c r="D39">
        <v>49</v>
      </c>
      <c r="E39" t="s">
        <v>143</v>
      </c>
      <c r="F39" t="s">
        <v>54</v>
      </c>
      <c r="G39" t="s">
        <v>144</v>
      </c>
      <c r="H39">
        <v>1</v>
      </c>
      <c r="I39">
        <v>59600</v>
      </c>
      <c r="J39">
        <v>10</v>
      </c>
      <c r="K39" t="s">
        <v>19</v>
      </c>
      <c r="L39" t="s">
        <v>20</v>
      </c>
      <c r="M39">
        <v>53640</v>
      </c>
      <c r="N39" t="s">
        <v>38</v>
      </c>
    </row>
    <row r="40" spans="1:14" x14ac:dyDescent="0.25">
      <c r="A40" t="s">
        <v>145</v>
      </c>
      <c r="B40" s="5">
        <v>45026</v>
      </c>
      <c r="C40" t="s">
        <v>62</v>
      </c>
      <c r="D40">
        <v>29</v>
      </c>
      <c r="E40" t="s">
        <v>146</v>
      </c>
      <c r="F40" t="s">
        <v>35</v>
      </c>
      <c r="G40" t="s">
        <v>147</v>
      </c>
      <c r="H40">
        <v>8</v>
      </c>
      <c r="I40">
        <v>434</v>
      </c>
      <c r="J40">
        <v>5</v>
      </c>
      <c r="K40" t="s">
        <v>41</v>
      </c>
      <c r="L40" t="s">
        <v>51</v>
      </c>
      <c r="M40">
        <v>3298.4</v>
      </c>
      <c r="N40" t="s">
        <v>45</v>
      </c>
    </row>
    <row r="41" spans="1:14" x14ac:dyDescent="0.25">
      <c r="A41" t="s">
        <v>148</v>
      </c>
      <c r="B41" s="5">
        <v>45289</v>
      </c>
      <c r="D41">
        <v>29</v>
      </c>
      <c r="E41" t="s">
        <v>73</v>
      </c>
      <c r="F41" t="s">
        <v>17</v>
      </c>
      <c r="G41" t="s">
        <v>80</v>
      </c>
      <c r="H41">
        <v>1</v>
      </c>
      <c r="I41">
        <v>7850</v>
      </c>
      <c r="J41">
        <v>10</v>
      </c>
      <c r="K41" t="s">
        <v>25</v>
      </c>
      <c r="L41" t="s">
        <v>20</v>
      </c>
      <c r="M41">
        <v>7065</v>
      </c>
      <c r="N41" t="s">
        <v>149</v>
      </c>
    </row>
    <row r="42" spans="1:14" x14ac:dyDescent="0.25">
      <c r="A42" t="s">
        <v>150</v>
      </c>
      <c r="B42" s="5">
        <v>44960</v>
      </c>
      <c r="D42">
        <v>45</v>
      </c>
      <c r="E42" t="s">
        <v>138</v>
      </c>
      <c r="F42" t="s">
        <v>30</v>
      </c>
      <c r="G42" t="s">
        <v>60</v>
      </c>
      <c r="H42">
        <v>2</v>
      </c>
      <c r="I42">
        <v>6974</v>
      </c>
      <c r="J42">
        <v>5</v>
      </c>
      <c r="K42" t="s">
        <v>50</v>
      </c>
      <c r="L42" t="s">
        <v>20</v>
      </c>
      <c r="M42">
        <v>13250.6</v>
      </c>
      <c r="N42" t="s">
        <v>38</v>
      </c>
    </row>
    <row r="43" spans="1:14" x14ac:dyDescent="0.25">
      <c r="A43" t="s">
        <v>151</v>
      </c>
      <c r="B43" s="5">
        <v>45251</v>
      </c>
      <c r="C43" t="s">
        <v>152</v>
      </c>
      <c r="D43">
        <v>44</v>
      </c>
      <c r="E43" t="s">
        <v>16</v>
      </c>
      <c r="F43" t="s">
        <v>30</v>
      </c>
      <c r="G43" t="s">
        <v>153</v>
      </c>
      <c r="H43">
        <v>9</v>
      </c>
      <c r="J43">
        <v>0</v>
      </c>
      <c r="K43" t="s">
        <v>41</v>
      </c>
      <c r="L43" t="s">
        <v>20</v>
      </c>
      <c r="N43" t="s">
        <v>38</v>
      </c>
    </row>
    <row r="44" spans="1:14" x14ac:dyDescent="0.25">
      <c r="A44" t="s">
        <v>154</v>
      </c>
      <c r="B44" s="5" t="s">
        <v>155</v>
      </c>
      <c r="C44" t="s">
        <v>156</v>
      </c>
      <c r="D44">
        <v>26</v>
      </c>
      <c r="E44" t="s">
        <v>23</v>
      </c>
      <c r="F44" t="s">
        <v>30</v>
      </c>
      <c r="G44" t="s">
        <v>121</v>
      </c>
      <c r="H44">
        <v>3</v>
      </c>
      <c r="I44">
        <v>6012</v>
      </c>
      <c r="J44">
        <v>20</v>
      </c>
      <c r="K44" t="s">
        <v>41</v>
      </c>
      <c r="L44" t="s">
        <v>51</v>
      </c>
      <c r="M44">
        <v>14428.8</v>
      </c>
      <c r="N44" t="s">
        <v>21</v>
      </c>
    </row>
    <row r="45" spans="1:14" x14ac:dyDescent="0.25">
      <c r="A45" t="s">
        <v>157</v>
      </c>
      <c r="B45" s="5">
        <v>45144</v>
      </c>
      <c r="C45" t="s">
        <v>66</v>
      </c>
      <c r="D45">
        <v>52</v>
      </c>
      <c r="E45" t="s">
        <v>73</v>
      </c>
      <c r="F45" t="s">
        <v>35</v>
      </c>
      <c r="G45" t="s">
        <v>158</v>
      </c>
      <c r="H45">
        <v>9</v>
      </c>
      <c r="I45">
        <v>795</v>
      </c>
      <c r="J45">
        <v>50</v>
      </c>
      <c r="K45" t="s">
        <v>89</v>
      </c>
      <c r="L45" t="s">
        <v>20</v>
      </c>
      <c r="M45">
        <v>3577.5</v>
      </c>
      <c r="N45" t="s">
        <v>45</v>
      </c>
    </row>
    <row r="46" spans="1:14" x14ac:dyDescent="0.25">
      <c r="A46" t="s">
        <v>159</v>
      </c>
      <c r="B46" s="5" t="s">
        <v>1356</v>
      </c>
      <c r="C46" t="s">
        <v>160</v>
      </c>
      <c r="D46">
        <v>64</v>
      </c>
      <c r="E46" t="s">
        <v>138</v>
      </c>
      <c r="F46" t="s">
        <v>30</v>
      </c>
      <c r="G46" t="s">
        <v>60</v>
      </c>
      <c r="H46">
        <v>4</v>
      </c>
      <c r="I46">
        <v>8636</v>
      </c>
      <c r="J46">
        <v>30</v>
      </c>
      <c r="K46" t="s">
        <v>41</v>
      </c>
      <c r="L46" t="s">
        <v>20</v>
      </c>
      <c r="M46">
        <v>24180.799999999999</v>
      </c>
      <c r="N46" t="s">
        <v>45</v>
      </c>
    </row>
    <row r="47" spans="1:14" x14ac:dyDescent="0.25">
      <c r="A47" t="s">
        <v>161</v>
      </c>
      <c r="B47" s="5">
        <v>45140</v>
      </c>
      <c r="D47">
        <v>35</v>
      </c>
      <c r="E47" t="s">
        <v>16</v>
      </c>
      <c r="F47" t="s">
        <v>35</v>
      </c>
      <c r="G47" t="s">
        <v>126</v>
      </c>
      <c r="H47">
        <v>9</v>
      </c>
      <c r="I47">
        <v>475</v>
      </c>
      <c r="J47">
        <v>40</v>
      </c>
      <c r="K47" t="s">
        <v>41</v>
      </c>
      <c r="L47" t="s">
        <v>20</v>
      </c>
      <c r="M47">
        <v>2565</v>
      </c>
      <c r="N47" t="s">
        <v>45</v>
      </c>
    </row>
    <row r="48" spans="1:14" x14ac:dyDescent="0.25">
      <c r="A48" t="s">
        <v>162</v>
      </c>
      <c r="B48" s="5">
        <v>45021</v>
      </c>
      <c r="C48" t="s">
        <v>163</v>
      </c>
      <c r="D48">
        <v>28</v>
      </c>
      <c r="E48" t="s">
        <v>16</v>
      </c>
      <c r="F48" t="s">
        <v>30</v>
      </c>
      <c r="G48" t="s">
        <v>135</v>
      </c>
      <c r="H48">
        <v>6</v>
      </c>
      <c r="I48">
        <v>9379</v>
      </c>
      <c r="J48">
        <v>40</v>
      </c>
      <c r="K48" t="s">
        <v>19</v>
      </c>
      <c r="L48" t="s">
        <v>20</v>
      </c>
      <c r="M48">
        <v>33764.400000000001</v>
      </c>
      <c r="N48" t="s">
        <v>21</v>
      </c>
    </row>
    <row r="49" spans="1:14" x14ac:dyDescent="0.25">
      <c r="A49" t="s">
        <v>164</v>
      </c>
      <c r="B49" s="5">
        <v>45048</v>
      </c>
      <c r="C49" t="s">
        <v>165</v>
      </c>
      <c r="D49">
        <v>33</v>
      </c>
      <c r="E49" t="s">
        <v>16</v>
      </c>
      <c r="F49" t="s">
        <v>35</v>
      </c>
      <c r="G49" t="s">
        <v>166</v>
      </c>
      <c r="H49">
        <v>5</v>
      </c>
      <c r="I49">
        <v>731</v>
      </c>
      <c r="J49">
        <v>40</v>
      </c>
      <c r="K49" t="s">
        <v>19</v>
      </c>
      <c r="L49" t="s">
        <v>20</v>
      </c>
      <c r="M49">
        <v>2193</v>
      </c>
      <c r="N49" t="s">
        <v>167</v>
      </c>
    </row>
    <row r="50" spans="1:14" x14ac:dyDescent="0.25">
      <c r="A50" t="s">
        <v>168</v>
      </c>
      <c r="B50" s="5">
        <v>45037</v>
      </c>
      <c r="D50">
        <v>65</v>
      </c>
      <c r="E50" t="s">
        <v>23</v>
      </c>
      <c r="F50" t="s">
        <v>35</v>
      </c>
      <c r="G50" t="s">
        <v>99</v>
      </c>
      <c r="H50">
        <v>1</v>
      </c>
      <c r="I50">
        <v>1107</v>
      </c>
      <c r="J50">
        <v>10</v>
      </c>
      <c r="K50" t="s">
        <v>41</v>
      </c>
      <c r="L50" t="s">
        <v>51</v>
      </c>
      <c r="M50">
        <v>996.3</v>
      </c>
      <c r="N50" t="s">
        <v>21</v>
      </c>
    </row>
    <row r="51" spans="1:14" x14ac:dyDescent="0.25">
      <c r="A51" t="s">
        <v>169</v>
      </c>
      <c r="B51" s="5" t="s">
        <v>1357</v>
      </c>
      <c r="C51" t="s">
        <v>170</v>
      </c>
      <c r="E51" t="s">
        <v>171</v>
      </c>
      <c r="F51" t="s">
        <v>54</v>
      </c>
      <c r="G51" t="s">
        <v>144</v>
      </c>
      <c r="H51">
        <v>2</v>
      </c>
      <c r="I51">
        <v>56100</v>
      </c>
      <c r="J51">
        <v>10</v>
      </c>
      <c r="K51" t="s">
        <v>19</v>
      </c>
      <c r="L51" t="s">
        <v>20</v>
      </c>
      <c r="M51">
        <v>100980</v>
      </c>
      <c r="N51" t="s">
        <v>45</v>
      </c>
    </row>
    <row r="52" spans="1:14" x14ac:dyDescent="0.25">
      <c r="A52" t="s">
        <v>172</v>
      </c>
      <c r="B52" s="5">
        <v>44981</v>
      </c>
      <c r="C52" t="s">
        <v>173</v>
      </c>
      <c r="D52">
        <v>32</v>
      </c>
      <c r="E52" t="s">
        <v>171</v>
      </c>
      <c r="F52" t="s">
        <v>17</v>
      </c>
      <c r="G52" t="s">
        <v>49</v>
      </c>
      <c r="H52">
        <v>2</v>
      </c>
      <c r="I52">
        <v>1550</v>
      </c>
      <c r="J52">
        <v>15</v>
      </c>
      <c r="K52" t="s">
        <v>50</v>
      </c>
      <c r="L52" t="s">
        <v>20</v>
      </c>
      <c r="M52">
        <v>2635</v>
      </c>
      <c r="N52" t="s">
        <v>38</v>
      </c>
    </row>
    <row r="53" spans="1:14" x14ac:dyDescent="0.25">
      <c r="A53" t="s">
        <v>174</v>
      </c>
      <c r="B53" s="5" t="s">
        <v>175</v>
      </c>
      <c r="C53" t="s">
        <v>176</v>
      </c>
      <c r="D53">
        <v>20</v>
      </c>
      <c r="E53" t="s">
        <v>23</v>
      </c>
      <c r="F53" t="s">
        <v>177</v>
      </c>
      <c r="G53" t="s">
        <v>111</v>
      </c>
      <c r="H53">
        <v>5</v>
      </c>
      <c r="I53">
        <v>239</v>
      </c>
      <c r="J53">
        <v>15</v>
      </c>
      <c r="K53" t="s">
        <v>64</v>
      </c>
      <c r="L53" t="s">
        <v>20</v>
      </c>
      <c r="M53">
        <v>1015.75</v>
      </c>
      <c r="N53" t="s">
        <v>45</v>
      </c>
    </row>
    <row r="54" spans="1:14" x14ac:dyDescent="0.25">
      <c r="A54" t="s">
        <v>178</v>
      </c>
      <c r="B54" s="5">
        <v>45184</v>
      </c>
      <c r="C54" t="s">
        <v>179</v>
      </c>
      <c r="D54">
        <v>64</v>
      </c>
      <c r="E54" t="s">
        <v>23</v>
      </c>
      <c r="F54" t="s">
        <v>54</v>
      </c>
      <c r="G54" t="s">
        <v>180</v>
      </c>
      <c r="H54">
        <v>1</v>
      </c>
      <c r="I54">
        <v>25800</v>
      </c>
      <c r="J54">
        <v>0</v>
      </c>
      <c r="K54" t="s">
        <v>25</v>
      </c>
      <c r="L54" t="s">
        <v>20</v>
      </c>
      <c r="M54">
        <v>-25800</v>
      </c>
      <c r="N54" t="s">
        <v>26</v>
      </c>
    </row>
    <row r="55" spans="1:14" x14ac:dyDescent="0.25">
      <c r="A55" t="s">
        <v>181</v>
      </c>
      <c r="B55" s="5">
        <v>45275</v>
      </c>
      <c r="C55" t="s">
        <v>182</v>
      </c>
      <c r="D55">
        <v>47</v>
      </c>
      <c r="E55" t="s">
        <v>16</v>
      </c>
      <c r="F55" t="s">
        <v>17</v>
      </c>
      <c r="G55" t="s">
        <v>18</v>
      </c>
      <c r="H55">
        <v>1</v>
      </c>
      <c r="I55">
        <v>2300</v>
      </c>
      <c r="J55">
        <v>5</v>
      </c>
      <c r="K55" t="s">
        <v>50</v>
      </c>
      <c r="L55" t="s">
        <v>51</v>
      </c>
      <c r="M55">
        <v>2185</v>
      </c>
      <c r="N55" t="s">
        <v>26</v>
      </c>
    </row>
    <row r="56" spans="1:14" x14ac:dyDescent="0.25">
      <c r="A56" t="s">
        <v>183</v>
      </c>
      <c r="B56" s="5">
        <v>45152</v>
      </c>
      <c r="C56" t="s">
        <v>102</v>
      </c>
      <c r="D56">
        <v>19</v>
      </c>
      <c r="E56" t="s">
        <v>16</v>
      </c>
      <c r="F56" t="s">
        <v>30</v>
      </c>
      <c r="G56" t="s">
        <v>130</v>
      </c>
      <c r="H56">
        <v>4</v>
      </c>
      <c r="I56">
        <v>2143</v>
      </c>
      <c r="J56">
        <v>30</v>
      </c>
      <c r="K56" t="s">
        <v>41</v>
      </c>
      <c r="L56" t="s">
        <v>20</v>
      </c>
      <c r="M56">
        <v>6000.4</v>
      </c>
      <c r="N56" t="s">
        <v>45</v>
      </c>
    </row>
    <row r="57" spans="1:14" x14ac:dyDescent="0.25">
      <c r="A57" t="s">
        <v>184</v>
      </c>
      <c r="B57" s="5" t="s">
        <v>185</v>
      </c>
      <c r="C57" t="s">
        <v>87</v>
      </c>
      <c r="D57">
        <v>44</v>
      </c>
      <c r="E57" t="s">
        <v>16</v>
      </c>
      <c r="F57" t="s">
        <v>17</v>
      </c>
      <c r="G57" t="s">
        <v>186</v>
      </c>
      <c r="H57">
        <v>1</v>
      </c>
      <c r="I57">
        <v>1650</v>
      </c>
      <c r="J57">
        <v>50</v>
      </c>
      <c r="K57" t="s">
        <v>50</v>
      </c>
      <c r="L57" t="s">
        <v>51</v>
      </c>
      <c r="M57">
        <v>825</v>
      </c>
      <c r="N57" t="s">
        <v>45</v>
      </c>
    </row>
    <row r="58" spans="1:14" x14ac:dyDescent="0.25">
      <c r="A58" t="s">
        <v>187</v>
      </c>
      <c r="B58" s="5">
        <v>44982</v>
      </c>
      <c r="C58" t="s">
        <v>188</v>
      </c>
      <c r="D58">
        <v>35</v>
      </c>
      <c r="E58" t="s">
        <v>23</v>
      </c>
      <c r="F58" t="s">
        <v>17</v>
      </c>
      <c r="G58" t="s">
        <v>189</v>
      </c>
      <c r="H58">
        <v>1</v>
      </c>
      <c r="I58">
        <v>2650</v>
      </c>
      <c r="J58">
        <v>10</v>
      </c>
      <c r="K58" t="s">
        <v>41</v>
      </c>
      <c r="L58" t="s">
        <v>51</v>
      </c>
      <c r="M58">
        <v>2385</v>
      </c>
      <c r="N58" t="s">
        <v>26</v>
      </c>
    </row>
    <row r="59" spans="1:14" x14ac:dyDescent="0.25">
      <c r="A59" t="s">
        <v>190</v>
      </c>
      <c r="B59" s="5">
        <v>44963</v>
      </c>
      <c r="C59" t="s">
        <v>48</v>
      </c>
      <c r="D59">
        <v>61</v>
      </c>
      <c r="E59" t="s">
        <v>16</v>
      </c>
      <c r="F59" t="s">
        <v>17</v>
      </c>
      <c r="G59" t="s">
        <v>117</v>
      </c>
      <c r="H59">
        <v>2</v>
      </c>
      <c r="I59">
        <v>7800</v>
      </c>
      <c r="J59">
        <v>5</v>
      </c>
      <c r="K59" t="s">
        <v>41</v>
      </c>
      <c r="L59" t="s">
        <v>20</v>
      </c>
      <c r="M59">
        <v>14820</v>
      </c>
      <c r="N59" t="s">
        <v>26</v>
      </c>
    </row>
    <row r="60" spans="1:14" x14ac:dyDescent="0.25">
      <c r="A60" t="s">
        <v>191</v>
      </c>
      <c r="B60" s="5">
        <v>45139</v>
      </c>
      <c r="C60" t="s">
        <v>192</v>
      </c>
      <c r="D60">
        <v>31</v>
      </c>
      <c r="E60" t="s">
        <v>23</v>
      </c>
      <c r="F60" t="s">
        <v>30</v>
      </c>
      <c r="G60" t="s">
        <v>130</v>
      </c>
      <c r="H60">
        <v>10</v>
      </c>
      <c r="I60">
        <v>1926</v>
      </c>
      <c r="J60">
        <v>40</v>
      </c>
      <c r="K60" t="s">
        <v>41</v>
      </c>
      <c r="L60" t="s">
        <v>20</v>
      </c>
      <c r="M60">
        <v>11556</v>
      </c>
      <c r="N60" t="s">
        <v>26</v>
      </c>
    </row>
    <row r="61" spans="1:14" x14ac:dyDescent="0.25">
      <c r="A61" t="s">
        <v>193</v>
      </c>
      <c r="B61" s="5" t="s">
        <v>194</v>
      </c>
      <c r="C61" t="s">
        <v>165</v>
      </c>
      <c r="D61">
        <v>56</v>
      </c>
      <c r="E61" t="s">
        <v>16</v>
      </c>
      <c r="F61" t="s">
        <v>30</v>
      </c>
      <c r="G61" t="s">
        <v>195</v>
      </c>
      <c r="H61">
        <v>9</v>
      </c>
      <c r="I61">
        <v>2789</v>
      </c>
      <c r="J61">
        <v>0</v>
      </c>
      <c r="K61" t="s">
        <v>19</v>
      </c>
      <c r="L61" t="s">
        <v>51</v>
      </c>
      <c r="M61">
        <v>25101</v>
      </c>
      <c r="N61" t="s">
        <v>26</v>
      </c>
    </row>
    <row r="62" spans="1:14" x14ac:dyDescent="0.25">
      <c r="A62" t="s">
        <v>196</v>
      </c>
      <c r="B62" s="5">
        <v>45274</v>
      </c>
      <c r="C62" t="s">
        <v>28</v>
      </c>
      <c r="D62">
        <v>62</v>
      </c>
      <c r="E62" t="s">
        <v>23</v>
      </c>
      <c r="F62" t="s">
        <v>54</v>
      </c>
      <c r="G62" t="s">
        <v>55</v>
      </c>
      <c r="H62">
        <v>2</v>
      </c>
      <c r="I62">
        <v>34600</v>
      </c>
      <c r="J62">
        <v>10</v>
      </c>
      <c r="K62" t="s">
        <v>41</v>
      </c>
      <c r="L62" t="s">
        <v>56</v>
      </c>
      <c r="M62">
        <v>62280</v>
      </c>
      <c r="N62" t="s">
        <v>38</v>
      </c>
    </row>
    <row r="63" spans="1:14" x14ac:dyDescent="0.25">
      <c r="A63" t="s">
        <v>197</v>
      </c>
      <c r="B63" s="5">
        <v>45265</v>
      </c>
      <c r="C63" t="s">
        <v>198</v>
      </c>
      <c r="D63">
        <v>52</v>
      </c>
      <c r="E63" t="s">
        <v>44</v>
      </c>
      <c r="F63" t="s">
        <v>54</v>
      </c>
      <c r="G63" t="s">
        <v>199</v>
      </c>
      <c r="H63">
        <v>1</v>
      </c>
      <c r="I63">
        <v>59300</v>
      </c>
      <c r="J63">
        <v>5</v>
      </c>
      <c r="K63" t="s">
        <v>19</v>
      </c>
      <c r="L63" t="s">
        <v>51</v>
      </c>
      <c r="M63">
        <v>56335</v>
      </c>
      <c r="N63" t="s">
        <v>21</v>
      </c>
    </row>
    <row r="64" spans="1:14" x14ac:dyDescent="0.25">
      <c r="A64" t="s">
        <v>200</v>
      </c>
      <c r="B64" s="5">
        <v>45083</v>
      </c>
      <c r="C64" t="s">
        <v>48</v>
      </c>
      <c r="D64">
        <v>26</v>
      </c>
      <c r="E64" t="s">
        <v>16</v>
      </c>
      <c r="F64" t="s">
        <v>54</v>
      </c>
      <c r="G64" t="s">
        <v>92</v>
      </c>
      <c r="H64">
        <v>1</v>
      </c>
      <c r="I64">
        <v>12000</v>
      </c>
      <c r="J64">
        <v>0</v>
      </c>
      <c r="K64" t="s">
        <v>50</v>
      </c>
      <c r="L64" t="s">
        <v>20</v>
      </c>
      <c r="M64">
        <v>-12000</v>
      </c>
      <c r="N64" t="s">
        <v>38</v>
      </c>
    </row>
    <row r="65" spans="1:14" x14ac:dyDescent="0.25">
      <c r="A65" t="s">
        <v>201</v>
      </c>
      <c r="B65" s="5">
        <v>45231</v>
      </c>
      <c r="D65">
        <v>63</v>
      </c>
      <c r="E65" t="s">
        <v>23</v>
      </c>
      <c r="F65" t="s">
        <v>30</v>
      </c>
      <c r="G65" t="s">
        <v>130</v>
      </c>
      <c r="H65">
        <v>10</v>
      </c>
      <c r="I65">
        <v>1938</v>
      </c>
      <c r="J65">
        <v>0</v>
      </c>
      <c r="K65" t="s">
        <v>50</v>
      </c>
      <c r="L65" t="s">
        <v>56</v>
      </c>
      <c r="M65">
        <v>19380</v>
      </c>
      <c r="N65" t="s">
        <v>38</v>
      </c>
    </row>
    <row r="66" spans="1:14" x14ac:dyDescent="0.25">
      <c r="A66" t="s">
        <v>202</v>
      </c>
      <c r="B66" s="5">
        <v>45237</v>
      </c>
      <c r="C66" t="s">
        <v>192</v>
      </c>
      <c r="D66">
        <v>26</v>
      </c>
      <c r="E66" t="s">
        <v>16</v>
      </c>
      <c r="F66" t="s">
        <v>35</v>
      </c>
      <c r="G66" t="s">
        <v>203</v>
      </c>
      <c r="H66">
        <v>9</v>
      </c>
      <c r="I66">
        <v>988</v>
      </c>
      <c r="J66">
        <v>15</v>
      </c>
      <c r="K66" t="s">
        <v>95</v>
      </c>
      <c r="L66" t="s">
        <v>204</v>
      </c>
      <c r="M66">
        <v>30232.799999999999</v>
      </c>
      <c r="N66" t="s">
        <v>38</v>
      </c>
    </row>
    <row r="67" spans="1:14" x14ac:dyDescent="0.25">
      <c r="A67" t="s">
        <v>205</v>
      </c>
      <c r="B67" s="5">
        <v>45175</v>
      </c>
      <c r="C67" t="s">
        <v>165</v>
      </c>
      <c r="D67">
        <v>52</v>
      </c>
      <c r="E67" t="s">
        <v>16</v>
      </c>
      <c r="F67" t="s">
        <v>30</v>
      </c>
      <c r="G67" t="s">
        <v>121</v>
      </c>
      <c r="H67">
        <v>4</v>
      </c>
      <c r="I67">
        <v>4130</v>
      </c>
      <c r="J67">
        <v>50</v>
      </c>
      <c r="K67" t="s">
        <v>19</v>
      </c>
      <c r="L67" t="s">
        <v>20</v>
      </c>
      <c r="M67">
        <v>8260</v>
      </c>
      <c r="N67" t="s">
        <v>26</v>
      </c>
    </row>
    <row r="68" spans="1:14" x14ac:dyDescent="0.25">
      <c r="A68" t="s">
        <v>206</v>
      </c>
      <c r="B68" s="5">
        <v>45020</v>
      </c>
      <c r="C68" t="s">
        <v>207</v>
      </c>
      <c r="D68">
        <v>37</v>
      </c>
      <c r="E68" t="s">
        <v>16</v>
      </c>
      <c r="F68" t="s">
        <v>17</v>
      </c>
      <c r="G68" t="s">
        <v>80</v>
      </c>
      <c r="H68">
        <v>1</v>
      </c>
      <c r="I68">
        <v>5650</v>
      </c>
      <c r="J68">
        <v>5</v>
      </c>
      <c r="K68" t="s">
        <v>25</v>
      </c>
      <c r="L68" t="s">
        <v>20</v>
      </c>
      <c r="M68">
        <v>5367.5</v>
      </c>
      <c r="N68" t="s">
        <v>26</v>
      </c>
    </row>
    <row r="69" spans="1:14" x14ac:dyDescent="0.25">
      <c r="A69" t="s">
        <v>208</v>
      </c>
      <c r="B69" s="5">
        <v>45083</v>
      </c>
      <c r="D69">
        <v>43</v>
      </c>
      <c r="E69" t="s">
        <v>16</v>
      </c>
      <c r="F69" t="s">
        <v>35</v>
      </c>
      <c r="G69" t="s">
        <v>126</v>
      </c>
      <c r="H69">
        <v>99</v>
      </c>
      <c r="I69">
        <v>645</v>
      </c>
      <c r="J69">
        <v>20</v>
      </c>
      <c r="K69" t="s">
        <v>41</v>
      </c>
      <c r="L69" t="s">
        <v>20</v>
      </c>
      <c r="M69">
        <v>51084</v>
      </c>
      <c r="N69" t="s">
        <v>45</v>
      </c>
    </row>
    <row r="70" spans="1:14" x14ac:dyDescent="0.25">
      <c r="A70" t="s">
        <v>209</v>
      </c>
      <c r="B70" s="5">
        <v>45113</v>
      </c>
      <c r="C70" t="s">
        <v>165</v>
      </c>
      <c r="D70">
        <v>42</v>
      </c>
      <c r="E70" t="s">
        <v>23</v>
      </c>
      <c r="F70" t="s">
        <v>17</v>
      </c>
      <c r="G70" t="s">
        <v>117</v>
      </c>
      <c r="H70">
        <v>1</v>
      </c>
      <c r="I70">
        <v>5350</v>
      </c>
      <c r="J70">
        <v>10</v>
      </c>
      <c r="K70" t="s">
        <v>19</v>
      </c>
      <c r="L70" t="s">
        <v>20</v>
      </c>
      <c r="M70">
        <v>4815</v>
      </c>
      <c r="N70" t="s">
        <v>26</v>
      </c>
    </row>
    <row r="71" spans="1:14" x14ac:dyDescent="0.25">
      <c r="A71" t="s">
        <v>210</v>
      </c>
      <c r="B71" s="5">
        <v>44956</v>
      </c>
      <c r="C71" t="s">
        <v>211</v>
      </c>
      <c r="D71">
        <v>37</v>
      </c>
      <c r="E71" t="s">
        <v>23</v>
      </c>
      <c r="F71" t="s">
        <v>54</v>
      </c>
      <c r="G71" t="s">
        <v>77</v>
      </c>
      <c r="H71">
        <v>2</v>
      </c>
      <c r="I71">
        <v>17200</v>
      </c>
      <c r="J71">
        <v>5</v>
      </c>
      <c r="K71" t="s">
        <v>19</v>
      </c>
      <c r="L71" t="s">
        <v>107</v>
      </c>
      <c r="M71">
        <v>32680</v>
      </c>
      <c r="N71" t="s">
        <v>26</v>
      </c>
    </row>
    <row r="72" spans="1:14" x14ac:dyDescent="0.25">
      <c r="A72" t="s">
        <v>212</v>
      </c>
      <c r="B72" s="5">
        <v>45152</v>
      </c>
      <c r="D72">
        <v>44</v>
      </c>
      <c r="E72" t="s">
        <v>16</v>
      </c>
      <c r="F72" t="s">
        <v>35</v>
      </c>
      <c r="G72" t="s">
        <v>213</v>
      </c>
      <c r="H72">
        <v>5</v>
      </c>
      <c r="I72">
        <v>686</v>
      </c>
      <c r="J72">
        <v>15</v>
      </c>
      <c r="K72" t="s">
        <v>50</v>
      </c>
      <c r="L72" t="s">
        <v>20</v>
      </c>
      <c r="M72">
        <v>2915.5</v>
      </c>
      <c r="N72" t="s">
        <v>45</v>
      </c>
    </row>
    <row r="73" spans="1:14" x14ac:dyDescent="0.25">
      <c r="A73" t="s">
        <v>214</v>
      </c>
      <c r="B73" s="5">
        <v>45204</v>
      </c>
      <c r="D73">
        <v>19</v>
      </c>
      <c r="E73" t="s">
        <v>73</v>
      </c>
      <c r="F73" t="s">
        <v>30</v>
      </c>
      <c r="G73" t="s">
        <v>67</v>
      </c>
      <c r="H73">
        <v>8</v>
      </c>
      <c r="I73">
        <v>2650</v>
      </c>
      <c r="J73">
        <v>0</v>
      </c>
      <c r="K73" t="s">
        <v>95</v>
      </c>
      <c r="L73" t="s">
        <v>20</v>
      </c>
      <c r="M73">
        <v>21200</v>
      </c>
      <c r="N73" t="s">
        <v>45</v>
      </c>
    </row>
    <row r="74" spans="1:14" x14ac:dyDescent="0.25">
      <c r="A74" t="s">
        <v>215</v>
      </c>
      <c r="B74" s="5">
        <v>44997</v>
      </c>
      <c r="D74">
        <v>37</v>
      </c>
      <c r="E74" t="s">
        <v>23</v>
      </c>
      <c r="F74" t="s">
        <v>17</v>
      </c>
      <c r="G74" t="s">
        <v>189</v>
      </c>
      <c r="H74">
        <v>2</v>
      </c>
      <c r="I74">
        <v>2500</v>
      </c>
      <c r="J74">
        <v>10</v>
      </c>
      <c r="K74" t="s">
        <v>25</v>
      </c>
      <c r="L74" t="s">
        <v>20</v>
      </c>
      <c r="M74">
        <v>4500</v>
      </c>
      <c r="N74" t="s">
        <v>21</v>
      </c>
    </row>
    <row r="75" spans="1:14" x14ac:dyDescent="0.25">
      <c r="A75" t="s">
        <v>216</v>
      </c>
      <c r="B75" s="5">
        <v>45028</v>
      </c>
      <c r="C75" t="s">
        <v>217</v>
      </c>
      <c r="D75">
        <v>65</v>
      </c>
      <c r="E75" t="s">
        <v>23</v>
      </c>
      <c r="F75" t="s">
        <v>30</v>
      </c>
      <c r="G75" t="s">
        <v>218</v>
      </c>
      <c r="H75">
        <v>8</v>
      </c>
      <c r="I75">
        <v>3724</v>
      </c>
      <c r="J75">
        <v>0</v>
      </c>
      <c r="K75" t="s">
        <v>50</v>
      </c>
      <c r="L75" t="s">
        <v>20</v>
      </c>
      <c r="M75">
        <v>29792</v>
      </c>
      <c r="N75" t="s">
        <v>45</v>
      </c>
    </row>
    <row r="76" spans="1:14" x14ac:dyDescent="0.25">
      <c r="A76" t="s">
        <v>219</v>
      </c>
      <c r="B76" s="5">
        <v>45139</v>
      </c>
      <c r="C76" t="s">
        <v>43</v>
      </c>
      <c r="D76">
        <v>47</v>
      </c>
      <c r="E76" t="s">
        <v>16</v>
      </c>
      <c r="F76" t="s">
        <v>220</v>
      </c>
      <c r="G76" t="s">
        <v>67</v>
      </c>
      <c r="H76">
        <v>5</v>
      </c>
      <c r="I76">
        <v>2723</v>
      </c>
      <c r="J76">
        <v>-5</v>
      </c>
      <c r="K76" t="s">
        <v>19</v>
      </c>
      <c r="L76" t="s">
        <v>51</v>
      </c>
      <c r="M76">
        <v>14295.75</v>
      </c>
      <c r="N76" t="s">
        <v>45</v>
      </c>
    </row>
    <row r="77" spans="1:14" x14ac:dyDescent="0.25">
      <c r="A77" t="s">
        <v>221</v>
      </c>
      <c r="B77" s="5">
        <v>45070</v>
      </c>
      <c r="C77" t="s">
        <v>102</v>
      </c>
      <c r="D77">
        <v>34</v>
      </c>
      <c r="E77" t="s">
        <v>23</v>
      </c>
      <c r="F77" t="s">
        <v>17</v>
      </c>
      <c r="G77" t="s">
        <v>24</v>
      </c>
      <c r="H77">
        <v>99</v>
      </c>
      <c r="I77">
        <v>2000</v>
      </c>
      <c r="J77">
        <v>50</v>
      </c>
      <c r="K77" t="s">
        <v>222</v>
      </c>
      <c r="L77" t="s">
        <v>20</v>
      </c>
      <c r="M77">
        <v>99000</v>
      </c>
      <c r="N77" t="s">
        <v>38</v>
      </c>
    </row>
    <row r="78" spans="1:14" x14ac:dyDescent="0.25">
      <c r="A78" t="s">
        <v>223</v>
      </c>
      <c r="B78" s="5">
        <v>45251</v>
      </c>
      <c r="C78" t="s">
        <v>176</v>
      </c>
      <c r="D78">
        <v>36</v>
      </c>
      <c r="E78" t="s">
        <v>23</v>
      </c>
      <c r="F78" t="s">
        <v>30</v>
      </c>
      <c r="G78" t="s">
        <v>224</v>
      </c>
      <c r="H78">
        <v>7</v>
      </c>
      <c r="I78">
        <v>1286</v>
      </c>
      <c r="J78">
        <v>0</v>
      </c>
      <c r="K78" t="s">
        <v>19</v>
      </c>
      <c r="L78" t="s">
        <v>20</v>
      </c>
      <c r="M78">
        <v>9002</v>
      </c>
      <c r="N78" t="s">
        <v>225</v>
      </c>
    </row>
    <row r="79" spans="1:14" x14ac:dyDescent="0.25">
      <c r="A79" t="s">
        <v>226</v>
      </c>
      <c r="B79" s="5">
        <v>45252</v>
      </c>
      <c r="C79" t="s">
        <v>62</v>
      </c>
      <c r="D79">
        <v>52</v>
      </c>
      <c r="E79" t="s">
        <v>143</v>
      </c>
      <c r="F79" t="s">
        <v>17</v>
      </c>
      <c r="G79" t="s">
        <v>40</v>
      </c>
      <c r="H79">
        <v>3</v>
      </c>
      <c r="I79">
        <v>5300</v>
      </c>
      <c r="J79">
        <v>15</v>
      </c>
      <c r="K79" t="s">
        <v>19</v>
      </c>
      <c r="L79" t="s">
        <v>20</v>
      </c>
      <c r="M79">
        <v>13515</v>
      </c>
      <c r="N79" t="s">
        <v>167</v>
      </c>
    </row>
    <row r="80" spans="1:14" x14ac:dyDescent="0.25">
      <c r="A80" t="s">
        <v>227</v>
      </c>
      <c r="B80" s="5">
        <v>45282</v>
      </c>
      <c r="C80" t="s">
        <v>156</v>
      </c>
      <c r="D80">
        <v>30</v>
      </c>
      <c r="E80" t="s">
        <v>23</v>
      </c>
      <c r="F80" t="s">
        <v>35</v>
      </c>
      <c r="G80" t="s">
        <v>166</v>
      </c>
      <c r="H80">
        <v>6</v>
      </c>
      <c r="I80">
        <v>873</v>
      </c>
      <c r="J80">
        <v>15</v>
      </c>
      <c r="K80" t="s">
        <v>19</v>
      </c>
      <c r="L80" t="s">
        <v>51</v>
      </c>
      <c r="M80">
        <v>4452.3</v>
      </c>
      <c r="N80" t="s">
        <v>21</v>
      </c>
    </row>
    <row r="81" spans="1:14" x14ac:dyDescent="0.25">
      <c r="A81" t="s">
        <v>228</v>
      </c>
      <c r="B81" s="5" t="s">
        <v>229</v>
      </c>
      <c r="C81" t="s">
        <v>198</v>
      </c>
      <c r="D81">
        <v>45</v>
      </c>
      <c r="E81" t="s">
        <v>23</v>
      </c>
      <c r="F81" t="s">
        <v>35</v>
      </c>
      <c r="G81" t="s">
        <v>99</v>
      </c>
      <c r="H81">
        <v>9</v>
      </c>
      <c r="I81">
        <v>1244</v>
      </c>
      <c r="J81">
        <v>10</v>
      </c>
      <c r="K81" t="s">
        <v>19</v>
      </c>
      <c r="L81" t="s">
        <v>20</v>
      </c>
      <c r="M81">
        <v>10076.4</v>
      </c>
      <c r="N81" t="s">
        <v>21</v>
      </c>
    </row>
    <row r="82" spans="1:14" x14ac:dyDescent="0.25">
      <c r="A82" t="s">
        <v>230</v>
      </c>
      <c r="B82" s="5">
        <v>45126</v>
      </c>
      <c r="D82">
        <v>35</v>
      </c>
      <c r="E82" t="s">
        <v>16</v>
      </c>
      <c r="F82" t="s">
        <v>30</v>
      </c>
      <c r="G82" t="s">
        <v>135</v>
      </c>
      <c r="H82">
        <v>4</v>
      </c>
      <c r="I82">
        <v>8496</v>
      </c>
      <c r="J82">
        <v>0</v>
      </c>
      <c r="K82" t="s">
        <v>41</v>
      </c>
      <c r="L82" t="s">
        <v>20</v>
      </c>
      <c r="M82">
        <v>33984</v>
      </c>
      <c r="N82" t="s">
        <v>38</v>
      </c>
    </row>
    <row r="83" spans="1:14" x14ac:dyDescent="0.25">
      <c r="A83" t="s">
        <v>231</v>
      </c>
      <c r="B83" s="5" t="s">
        <v>232</v>
      </c>
      <c r="C83" t="s">
        <v>217</v>
      </c>
      <c r="D83">
        <v>43</v>
      </c>
      <c r="E83" t="s">
        <v>16</v>
      </c>
      <c r="F83" t="s">
        <v>30</v>
      </c>
      <c r="G83" t="s">
        <v>130</v>
      </c>
      <c r="H83">
        <v>10</v>
      </c>
      <c r="I83">
        <v>3817</v>
      </c>
      <c r="J83">
        <v>15</v>
      </c>
      <c r="K83" t="s">
        <v>25</v>
      </c>
      <c r="L83" t="s">
        <v>20</v>
      </c>
      <c r="M83">
        <v>32444.5</v>
      </c>
      <c r="N83" t="s">
        <v>38</v>
      </c>
    </row>
    <row r="84" spans="1:14" x14ac:dyDescent="0.25">
      <c r="A84" t="s">
        <v>233</v>
      </c>
      <c r="B84" s="5">
        <v>45210</v>
      </c>
      <c r="C84" t="s">
        <v>160</v>
      </c>
      <c r="D84">
        <v>29</v>
      </c>
      <c r="E84" t="s">
        <v>23</v>
      </c>
      <c r="F84" t="s">
        <v>17</v>
      </c>
      <c r="G84" t="s">
        <v>186</v>
      </c>
      <c r="H84">
        <v>0</v>
      </c>
      <c r="I84">
        <v>1250</v>
      </c>
      <c r="J84">
        <v>40</v>
      </c>
      <c r="K84" t="s">
        <v>19</v>
      </c>
      <c r="L84" t="s">
        <v>51</v>
      </c>
      <c r="M84">
        <v>0</v>
      </c>
      <c r="N84" t="s">
        <v>38</v>
      </c>
    </row>
    <row r="85" spans="1:14" x14ac:dyDescent="0.25">
      <c r="A85" t="s">
        <v>234</v>
      </c>
      <c r="B85" s="5">
        <v>45131</v>
      </c>
      <c r="C85" t="s">
        <v>179</v>
      </c>
      <c r="D85">
        <v>34</v>
      </c>
      <c r="E85" t="s">
        <v>16</v>
      </c>
      <c r="F85" t="s">
        <v>30</v>
      </c>
      <c r="G85" t="s">
        <v>235</v>
      </c>
      <c r="H85">
        <v>8</v>
      </c>
      <c r="I85">
        <v>2949</v>
      </c>
      <c r="J85">
        <v>0</v>
      </c>
      <c r="K85" t="s">
        <v>25</v>
      </c>
      <c r="L85" t="s">
        <v>20</v>
      </c>
      <c r="M85">
        <v>2949</v>
      </c>
      <c r="N85" t="s">
        <v>38</v>
      </c>
    </row>
    <row r="86" spans="1:14" x14ac:dyDescent="0.25">
      <c r="A86" t="s">
        <v>236</v>
      </c>
      <c r="B86" s="5">
        <v>44988</v>
      </c>
      <c r="C86" t="s">
        <v>217</v>
      </c>
      <c r="D86">
        <v>60</v>
      </c>
      <c r="E86" t="s">
        <v>16</v>
      </c>
      <c r="F86" t="s">
        <v>54</v>
      </c>
      <c r="G86" t="s">
        <v>237</v>
      </c>
      <c r="H86">
        <v>2</v>
      </c>
      <c r="I86">
        <v>49600</v>
      </c>
      <c r="J86">
        <v>5</v>
      </c>
      <c r="K86" t="s">
        <v>50</v>
      </c>
      <c r="L86" t="s">
        <v>20</v>
      </c>
      <c r="M86">
        <v>49600</v>
      </c>
      <c r="N86" t="s">
        <v>26</v>
      </c>
    </row>
    <row r="87" spans="1:14" x14ac:dyDescent="0.25">
      <c r="A87" t="s">
        <v>238</v>
      </c>
      <c r="B87" s="5" t="s">
        <v>1358</v>
      </c>
      <c r="D87">
        <v>48</v>
      </c>
      <c r="E87" t="s">
        <v>16</v>
      </c>
      <c r="F87" t="s">
        <v>54</v>
      </c>
      <c r="G87" t="s">
        <v>77</v>
      </c>
      <c r="H87">
        <v>1</v>
      </c>
      <c r="I87">
        <v>24000</v>
      </c>
      <c r="J87">
        <v>5</v>
      </c>
      <c r="K87" t="s">
        <v>41</v>
      </c>
      <c r="L87" t="s">
        <v>20</v>
      </c>
      <c r="M87">
        <v>22800</v>
      </c>
      <c r="N87" t="s">
        <v>33</v>
      </c>
    </row>
    <row r="88" spans="1:14" x14ac:dyDescent="0.25">
      <c r="A88" t="s">
        <v>239</v>
      </c>
      <c r="B88" s="5" t="s">
        <v>1359</v>
      </c>
      <c r="C88" t="s">
        <v>170</v>
      </c>
      <c r="E88" t="s">
        <v>16</v>
      </c>
      <c r="F88" t="s">
        <v>54</v>
      </c>
      <c r="G88" t="s">
        <v>114</v>
      </c>
      <c r="H88">
        <v>1</v>
      </c>
      <c r="I88">
        <v>94700</v>
      </c>
      <c r="J88">
        <v>10</v>
      </c>
      <c r="K88" t="s">
        <v>41</v>
      </c>
      <c r="L88" t="s">
        <v>20</v>
      </c>
      <c r="M88">
        <v>85230</v>
      </c>
      <c r="N88" t="s">
        <v>21</v>
      </c>
    </row>
    <row r="89" spans="1:14" x14ac:dyDescent="0.25">
      <c r="A89" t="s">
        <v>240</v>
      </c>
      <c r="B89" s="5">
        <v>45022</v>
      </c>
      <c r="C89" t="s">
        <v>241</v>
      </c>
      <c r="D89">
        <v>31</v>
      </c>
      <c r="E89" t="s">
        <v>29</v>
      </c>
      <c r="F89" t="s">
        <v>35</v>
      </c>
      <c r="G89" t="s">
        <v>63</v>
      </c>
      <c r="H89">
        <v>4</v>
      </c>
      <c r="I89">
        <v>4324</v>
      </c>
      <c r="J89">
        <v>0</v>
      </c>
      <c r="K89" t="s">
        <v>41</v>
      </c>
      <c r="L89" t="s">
        <v>20</v>
      </c>
      <c r="M89">
        <v>4324</v>
      </c>
      <c r="N89" t="s">
        <v>26</v>
      </c>
    </row>
    <row r="90" spans="1:14" x14ac:dyDescent="0.25">
      <c r="A90" t="s">
        <v>242</v>
      </c>
      <c r="B90" s="5" t="s">
        <v>1360</v>
      </c>
      <c r="C90" t="s">
        <v>243</v>
      </c>
      <c r="D90">
        <v>42</v>
      </c>
      <c r="E90" t="s">
        <v>16</v>
      </c>
      <c r="F90" t="s">
        <v>54</v>
      </c>
      <c r="G90" t="s">
        <v>104</v>
      </c>
      <c r="H90">
        <v>2</v>
      </c>
      <c r="I90">
        <v>9800</v>
      </c>
      <c r="J90">
        <v>0</v>
      </c>
      <c r="K90" t="s">
        <v>19</v>
      </c>
      <c r="L90" t="s">
        <v>56</v>
      </c>
      <c r="M90">
        <v>19600</v>
      </c>
      <c r="N90" t="s">
        <v>21</v>
      </c>
    </row>
    <row r="91" spans="1:14" x14ac:dyDescent="0.25">
      <c r="A91" t="s">
        <v>244</v>
      </c>
      <c r="B91" s="5" t="s">
        <v>1356</v>
      </c>
      <c r="C91" t="s">
        <v>245</v>
      </c>
      <c r="D91">
        <v>20</v>
      </c>
      <c r="E91" t="s">
        <v>16</v>
      </c>
      <c r="F91" t="s">
        <v>17</v>
      </c>
      <c r="G91" t="s">
        <v>80</v>
      </c>
      <c r="H91">
        <v>2</v>
      </c>
      <c r="I91">
        <v>5550</v>
      </c>
      <c r="J91">
        <v>50</v>
      </c>
      <c r="K91" t="s">
        <v>19</v>
      </c>
      <c r="L91" t="s">
        <v>37</v>
      </c>
      <c r="M91">
        <v>5550</v>
      </c>
      <c r="N91" t="s">
        <v>21</v>
      </c>
    </row>
    <row r="92" spans="1:14" x14ac:dyDescent="0.25">
      <c r="A92" t="s">
        <v>246</v>
      </c>
      <c r="B92" s="5">
        <v>45289</v>
      </c>
      <c r="D92">
        <v>23</v>
      </c>
      <c r="E92" t="s">
        <v>23</v>
      </c>
      <c r="F92" t="s">
        <v>17</v>
      </c>
      <c r="G92" t="s">
        <v>80</v>
      </c>
      <c r="H92">
        <v>-1</v>
      </c>
      <c r="I92">
        <v>7550</v>
      </c>
      <c r="J92">
        <v>0</v>
      </c>
      <c r="K92" t="s">
        <v>25</v>
      </c>
      <c r="L92" t="s">
        <v>20</v>
      </c>
      <c r="M92">
        <v>-7550</v>
      </c>
      <c r="N92" t="s">
        <v>26</v>
      </c>
    </row>
    <row r="93" spans="1:14" x14ac:dyDescent="0.25">
      <c r="A93" t="s">
        <v>247</v>
      </c>
      <c r="B93" s="5" t="s">
        <v>1265</v>
      </c>
      <c r="C93" t="s">
        <v>170</v>
      </c>
      <c r="D93">
        <v>51</v>
      </c>
      <c r="E93" t="s">
        <v>16</v>
      </c>
      <c r="F93" t="s">
        <v>30</v>
      </c>
      <c r="G93" t="s">
        <v>130</v>
      </c>
      <c r="H93">
        <v>5</v>
      </c>
      <c r="I93">
        <v>1927</v>
      </c>
      <c r="J93">
        <v>50</v>
      </c>
      <c r="K93" t="s">
        <v>41</v>
      </c>
      <c r="L93" t="s">
        <v>20</v>
      </c>
      <c r="M93">
        <v>4817.5</v>
      </c>
      <c r="N93" t="s">
        <v>26</v>
      </c>
    </row>
    <row r="94" spans="1:14" x14ac:dyDescent="0.25">
      <c r="A94" t="s">
        <v>248</v>
      </c>
      <c r="B94" s="5">
        <v>45245</v>
      </c>
      <c r="C94" t="s">
        <v>48</v>
      </c>
      <c r="D94">
        <v>22</v>
      </c>
      <c r="E94" t="s">
        <v>143</v>
      </c>
      <c r="F94" t="s">
        <v>35</v>
      </c>
      <c r="G94" t="s">
        <v>213</v>
      </c>
      <c r="H94">
        <v>8</v>
      </c>
      <c r="I94">
        <v>520</v>
      </c>
      <c r="J94">
        <v>5</v>
      </c>
      <c r="K94" t="s">
        <v>41</v>
      </c>
      <c r="L94" t="s">
        <v>20</v>
      </c>
      <c r="M94">
        <v>3952</v>
      </c>
      <c r="N94" t="s">
        <v>45</v>
      </c>
    </row>
    <row r="95" spans="1:14" x14ac:dyDescent="0.25">
      <c r="A95" t="s">
        <v>249</v>
      </c>
      <c r="B95" s="5">
        <v>45040</v>
      </c>
      <c r="C95" t="s">
        <v>217</v>
      </c>
      <c r="D95">
        <v>64</v>
      </c>
      <c r="E95" t="s">
        <v>23</v>
      </c>
      <c r="F95" t="s">
        <v>250</v>
      </c>
      <c r="G95" t="s">
        <v>186</v>
      </c>
      <c r="H95">
        <v>1</v>
      </c>
      <c r="I95">
        <v>2050</v>
      </c>
      <c r="J95">
        <v>5</v>
      </c>
      <c r="K95" t="s">
        <v>41</v>
      </c>
      <c r="L95" t="s">
        <v>56</v>
      </c>
      <c r="M95">
        <v>1947.5</v>
      </c>
      <c r="N95" t="s">
        <v>26</v>
      </c>
    </row>
    <row r="96" spans="1:14" x14ac:dyDescent="0.25">
      <c r="A96" t="s">
        <v>251</v>
      </c>
      <c r="B96" s="5">
        <v>45101</v>
      </c>
      <c r="C96" t="s">
        <v>198</v>
      </c>
      <c r="D96">
        <v>18</v>
      </c>
      <c r="E96" t="s">
        <v>16</v>
      </c>
      <c r="F96" t="s">
        <v>35</v>
      </c>
      <c r="G96" t="s">
        <v>111</v>
      </c>
      <c r="H96">
        <v>5</v>
      </c>
      <c r="I96">
        <v>398</v>
      </c>
      <c r="J96">
        <v>5</v>
      </c>
      <c r="K96" t="s">
        <v>41</v>
      </c>
      <c r="L96" t="s">
        <v>51</v>
      </c>
      <c r="M96">
        <v>1890.5</v>
      </c>
      <c r="N96" t="s">
        <v>26</v>
      </c>
    </row>
    <row r="97" spans="1:14" x14ac:dyDescent="0.25">
      <c r="A97" t="s">
        <v>252</v>
      </c>
      <c r="B97" s="5" t="s">
        <v>253</v>
      </c>
      <c r="C97" t="s">
        <v>48</v>
      </c>
      <c r="D97">
        <v>50</v>
      </c>
      <c r="E97" t="s">
        <v>23</v>
      </c>
      <c r="F97" t="s">
        <v>254</v>
      </c>
      <c r="G97" t="s">
        <v>180</v>
      </c>
      <c r="H97">
        <v>1</v>
      </c>
      <c r="I97">
        <v>24100</v>
      </c>
      <c r="J97">
        <v>15</v>
      </c>
      <c r="K97" t="s">
        <v>25</v>
      </c>
      <c r="L97" t="s">
        <v>20</v>
      </c>
      <c r="M97">
        <v>20485</v>
      </c>
      <c r="N97" t="s">
        <v>38</v>
      </c>
    </row>
    <row r="98" spans="1:14" x14ac:dyDescent="0.25">
      <c r="A98" t="s">
        <v>255</v>
      </c>
      <c r="B98" s="5">
        <v>45049</v>
      </c>
      <c r="C98" t="s">
        <v>256</v>
      </c>
      <c r="D98">
        <v>22</v>
      </c>
      <c r="E98" t="s">
        <v>23</v>
      </c>
      <c r="F98" t="s">
        <v>35</v>
      </c>
      <c r="G98" t="s">
        <v>257</v>
      </c>
      <c r="H98">
        <v>8</v>
      </c>
      <c r="I98">
        <v>1133</v>
      </c>
      <c r="K98" t="s">
        <v>25</v>
      </c>
      <c r="L98" t="s">
        <v>56</v>
      </c>
      <c r="M98">
        <v>9064</v>
      </c>
      <c r="N98" t="s">
        <v>45</v>
      </c>
    </row>
    <row r="99" spans="1:14" x14ac:dyDescent="0.25">
      <c r="A99" t="s">
        <v>258</v>
      </c>
      <c r="B99" s="5">
        <v>45058</v>
      </c>
      <c r="C99" t="s">
        <v>165</v>
      </c>
      <c r="D99">
        <v>62</v>
      </c>
      <c r="E99" t="s">
        <v>23</v>
      </c>
      <c r="F99" t="s">
        <v>17</v>
      </c>
      <c r="G99" t="s">
        <v>259</v>
      </c>
      <c r="H99">
        <v>2</v>
      </c>
      <c r="I99">
        <v>4600</v>
      </c>
      <c r="J99">
        <v>5</v>
      </c>
      <c r="K99" t="s">
        <v>19</v>
      </c>
      <c r="L99" t="s">
        <v>20</v>
      </c>
      <c r="M99">
        <v>8740</v>
      </c>
      <c r="N99" t="s">
        <v>45</v>
      </c>
    </row>
    <row r="100" spans="1:14" x14ac:dyDescent="0.25">
      <c r="A100" t="s">
        <v>260</v>
      </c>
      <c r="B100" s="5" t="s">
        <v>1361</v>
      </c>
      <c r="C100" t="s">
        <v>188</v>
      </c>
      <c r="E100" t="s">
        <v>16</v>
      </c>
      <c r="F100" t="s">
        <v>30</v>
      </c>
      <c r="G100" t="s">
        <v>121</v>
      </c>
      <c r="H100">
        <v>2</v>
      </c>
      <c r="I100">
        <v>6020</v>
      </c>
      <c r="J100">
        <v>0</v>
      </c>
      <c r="K100" t="s">
        <v>261</v>
      </c>
      <c r="L100" t="s">
        <v>51</v>
      </c>
      <c r="M100">
        <v>12040</v>
      </c>
      <c r="N100" t="s">
        <v>26</v>
      </c>
    </row>
    <row r="101" spans="1:14" x14ac:dyDescent="0.25">
      <c r="A101" t="s">
        <v>262</v>
      </c>
      <c r="B101" s="5">
        <v>45135</v>
      </c>
      <c r="C101" t="s">
        <v>142</v>
      </c>
      <c r="D101">
        <v>40</v>
      </c>
      <c r="E101" t="s">
        <v>16</v>
      </c>
      <c r="F101" t="s">
        <v>54</v>
      </c>
      <c r="G101" t="s">
        <v>199</v>
      </c>
      <c r="H101">
        <v>2</v>
      </c>
      <c r="I101">
        <v>63800</v>
      </c>
      <c r="J101">
        <v>15</v>
      </c>
      <c r="K101" t="s">
        <v>41</v>
      </c>
      <c r="L101" t="s">
        <v>56</v>
      </c>
      <c r="M101">
        <v>108460</v>
      </c>
      <c r="N101" t="s">
        <v>45</v>
      </c>
    </row>
    <row r="102" spans="1:14" x14ac:dyDescent="0.25">
      <c r="A102" t="s">
        <v>263</v>
      </c>
      <c r="B102" s="5">
        <v>45221</v>
      </c>
      <c r="C102" t="s">
        <v>160</v>
      </c>
      <c r="D102">
        <v>52</v>
      </c>
      <c r="E102" t="s">
        <v>23</v>
      </c>
      <c r="F102" t="s">
        <v>17</v>
      </c>
      <c r="G102" t="s">
        <v>49</v>
      </c>
      <c r="H102">
        <v>3</v>
      </c>
      <c r="I102">
        <v>950</v>
      </c>
      <c r="J102">
        <v>0</v>
      </c>
      <c r="K102" t="s">
        <v>19</v>
      </c>
      <c r="L102" t="s">
        <v>20</v>
      </c>
      <c r="M102">
        <v>2850</v>
      </c>
      <c r="N102" t="s">
        <v>45</v>
      </c>
    </row>
    <row r="103" spans="1:14" x14ac:dyDescent="0.25">
      <c r="A103" t="s">
        <v>264</v>
      </c>
      <c r="B103" s="5">
        <v>45246</v>
      </c>
      <c r="C103" t="s">
        <v>265</v>
      </c>
      <c r="D103">
        <v>19</v>
      </c>
      <c r="E103" t="s">
        <v>16</v>
      </c>
      <c r="F103" t="s">
        <v>35</v>
      </c>
      <c r="G103" t="s">
        <v>111</v>
      </c>
      <c r="H103">
        <v>3</v>
      </c>
      <c r="I103">
        <v>401</v>
      </c>
      <c r="J103">
        <v>20</v>
      </c>
      <c r="K103" t="s">
        <v>25</v>
      </c>
      <c r="L103" t="s">
        <v>20</v>
      </c>
      <c r="M103">
        <v>962.4</v>
      </c>
      <c r="N103" t="s">
        <v>45</v>
      </c>
    </row>
    <row r="104" spans="1:14" x14ac:dyDescent="0.25">
      <c r="A104" t="s">
        <v>266</v>
      </c>
      <c r="B104" s="5">
        <v>45197</v>
      </c>
      <c r="C104" t="s">
        <v>192</v>
      </c>
      <c r="D104">
        <v>53</v>
      </c>
      <c r="E104" t="s">
        <v>23</v>
      </c>
      <c r="F104" t="s">
        <v>30</v>
      </c>
      <c r="G104" t="s">
        <v>235</v>
      </c>
      <c r="H104">
        <v>99</v>
      </c>
      <c r="I104">
        <v>1650</v>
      </c>
      <c r="J104">
        <v>15</v>
      </c>
      <c r="K104" t="s">
        <v>41</v>
      </c>
      <c r="L104" t="s">
        <v>20</v>
      </c>
      <c r="M104">
        <v>138847.5</v>
      </c>
      <c r="N104" t="s">
        <v>26</v>
      </c>
    </row>
    <row r="105" spans="1:14" x14ac:dyDescent="0.25">
      <c r="A105" t="s">
        <v>267</v>
      </c>
      <c r="B105" s="5" t="s">
        <v>1362</v>
      </c>
      <c r="C105" t="s">
        <v>156</v>
      </c>
      <c r="D105">
        <v>24</v>
      </c>
      <c r="E105" t="s">
        <v>23</v>
      </c>
      <c r="F105" t="s">
        <v>30</v>
      </c>
      <c r="G105" t="s">
        <v>268</v>
      </c>
      <c r="H105">
        <v>2</v>
      </c>
      <c r="I105">
        <v>1227</v>
      </c>
      <c r="J105">
        <v>0</v>
      </c>
      <c r="K105" t="s">
        <v>95</v>
      </c>
      <c r="L105" t="s">
        <v>20</v>
      </c>
      <c r="M105">
        <v>2454</v>
      </c>
      <c r="N105" t="s">
        <v>26</v>
      </c>
    </row>
    <row r="106" spans="1:14" x14ac:dyDescent="0.25">
      <c r="A106" t="s">
        <v>269</v>
      </c>
      <c r="B106" s="5" t="s">
        <v>134</v>
      </c>
      <c r="C106" t="s">
        <v>192</v>
      </c>
      <c r="D106">
        <v>58</v>
      </c>
      <c r="E106" t="s">
        <v>16</v>
      </c>
      <c r="F106" t="s">
        <v>35</v>
      </c>
      <c r="G106" t="s">
        <v>166</v>
      </c>
      <c r="H106">
        <v>8</v>
      </c>
      <c r="I106">
        <v>599</v>
      </c>
      <c r="J106">
        <v>5</v>
      </c>
      <c r="K106" t="s">
        <v>41</v>
      </c>
      <c r="L106" t="s">
        <v>51</v>
      </c>
      <c r="M106">
        <v>4552.3999999999996</v>
      </c>
      <c r="N106" t="s">
        <v>38</v>
      </c>
    </row>
    <row r="107" spans="1:14" x14ac:dyDescent="0.25">
      <c r="A107" t="s">
        <v>270</v>
      </c>
      <c r="B107" s="5">
        <v>45231</v>
      </c>
      <c r="C107" t="s">
        <v>173</v>
      </c>
      <c r="D107">
        <v>49</v>
      </c>
      <c r="E107" t="s">
        <v>16</v>
      </c>
      <c r="F107" t="s">
        <v>35</v>
      </c>
      <c r="G107" t="s">
        <v>271</v>
      </c>
      <c r="H107">
        <v>2</v>
      </c>
      <c r="I107">
        <v>590</v>
      </c>
      <c r="J107">
        <v>50</v>
      </c>
      <c r="K107" t="s">
        <v>41</v>
      </c>
      <c r="L107" t="s">
        <v>51</v>
      </c>
      <c r="M107">
        <v>590</v>
      </c>
      <c r="N107" t="s">
        <v>21</v>
      </c>
    </row>
    <row r="108" spans="1:14" x14ac:dyDescent="0.25">
      <c r="A108" t="s">
        <v>272</v>
      </c>
      <c r="B108" s="5" t="s">
        <v>273</v>
      </c>
      <c r="C108" t="s">
        <v>207</v>
      </c>
      <c r="D108">
        <v>52</v>
      </c>
      <c r="E108" t="s">
        <v>16</v>
      </c>
      <c r="F108" t="s">
        <v>17</v>
      </c>
      <c r="G108" t="s">
        <v>274</v>
      </c>
      <c r="H108">
        <v>3</v>
      </c>
      <c r="I108">
        <v>2650</v>
      </c>
      <c r="J108">
        <v>5</v>
      </c>
      <c r="K108" t="s">
        <v>41</v>
      </c>
      <c r="L108" t="s">
        <v>20</v>
      </c>
      <c r="M108">
        <v>7552.5</v>
      </c>
      <c r="N108" t="s">
        <v>33</v>
      </c>
    </row>
    <row r="109" spans="1:14" x14ac:dyDescent="0.25">
      <c r="A109" t="s">
        <v>275</v>
      </c>
      <c r="B109" s="5">
        <v>45116</v>
      </c>
      <c r="C109" t="s">
        <v>66</v>
      </c>
      <c r="D109">
        <v>50</v>
      </c>
      <c r="E109" t="s">
        <v>23</v>
      </c>
      <c r="F109" t="s">
        <v>54</v>
      </c>
      <c r="G109" t="s">
        <v>77</v>
      </c>
      <c r="H109">
        <v>1</v>
      </c>
      <c r="I109">
        <v>18300</v>
      </c>
      <c r="J109">
        <v>0</v>
      </c>
      <c r="K109" t="s">
        <v>25</v>
      </c>
      <c r="L109" t="s">
        <v>20</v>
      </c>
      <c r="M109">
        <v>18300</v>
      </c>
      <c r="N109" t="s">
        <v>276</v>
      </c>
    </row>
    <row r="110" spans="1:14" x14ac:dyDescent="0.25">
      <c r="A110" t="s">
        <v>277</v>
      </c>
      <c r="B110" s="5" t="s">
        <v>278</v>
      </c>
      <c r="C110" t="s">
        <v>170</v>
      </c>
      <c r="D110">
        <v>19</v>
      </c>
      <c r="E110" t="s">
        <v>23</v>
      </c>
      <c r="F110" t="s">
        <v>17</v>
      </c>
      <c r="G110" t="s">
        <v>49</v>
      </c>
      <c r="H110">
        <v>2</v>
      </c>
      <c r="I110">
        <v>1850</v>
      </c>
      <c r="J110">
        <v>10</v>
      </c>
      <c r="K110" t="s">
        <v>19</v>
      </c>
      <c r="L110" t="s">
        <v>56</v>
      </c>
      <c r="M110">
        <v>6660</v>
      </c>
      <c r="N110" t="s">
        <v>26</v>
      </c>
    </row>
    <row r="111" spans="1:14" x14ac:dyDescent="0.25">
      <c r="A111" t="s">
        <v>279</v>
      </c>
      <c r="B111" s="5" t="s">
        <v>229</v>
      </c>
      <c r="C111" t="s">
        <v>152</v>
      </c>
      <c r="D111">
        <v>48</v>
      </c>
      <c r="E111" t="s">
        <v>16</v>
      </c>
      <c r="F111" t="s">
        <v>54</v>
      </c>
      <c r="G111" t="s">
        <v>280</v>
      </c>
      <c r="H111">
        <v>1</v>
      </c>
      <c r="I111">
        <v>42700</v>
      </c>
      <c r="J111">
        <v>5</v>
      </c>
      <c r="K111" t="s">
        <v>32</v>
      </c>
      <c r="L111" t="s">
        <v>51</v>
      </c>
      <c r="M111">
        <v>40565</v>
      </c>
      <c r="N111" t="s">
        <v>38</v>
      </c>
    </row>
    <row r="112" spans="1:14" x14ac:dyDescent="0.25">
      <c r="A112" t="s">
        <v>281</v>
      </c>
      <c r="B112" s="5" t="s">
        <v>1356</v>
      </c>
      <c r="D112">
        <v>63</v>
      </c>
      <c r="E112" t="s">
        <v>16</v>
      </c>
      <c r="F112" t="s">
        <v>54</v>
      </c>
      <c r="G112" t="s">
        <v>282</v>
      </c>
      <c r="H112">
        <v>1</v>
      </c>
      <c r="I112">
        <v>18000</v>
      </c>
      <c r="J112">
        <v>5</v>
      </c>
      <c r="K112" t="s">
        <v>19</v>
      </c>
      <c r="L112" t="s">
        <v>20</v>
      </c>
      <c r="M112">
        <v>17100</v>
      </c>
      <c r="N112" t="s">
        <v>21</v>
      </c>
    </row>
    <row r="113" spans="1:14" x14ac:dyDescent="0.25">
      <c r="A113" t="s">
        <v>283</v>
      </c>
      <c r="B113" s="5">
        <v>45257</v>
      </c>
      <c r="C113" t="s">
        <v>160</v>
      </c>
      <c r="D113">
        <v>43</v>
      </c>
      <c r="E113" t="s">
        <v>23</v>
      </c>
      <c r="F113" t="s">
        <v>30</v>
      </c>
      <c r="G113" t="s">
        <v>195</v>
      </c>
      <c r="H113">
        <v>9</v>
      </c>
      <c r="I113">
        <v>4831</v>
      </c>
      <c r="J113">
        <v>0</v>
      </c>
      <c r="K113" t="s">
        <v>64</v>
      </c>
      <c r="L113" t="s">
        <v>51</v>
      </c>
      <c r="M113">
        <v>43479</v>
      </c>
      <c r="N113" t="s">
        <v>21</v>
      </c>
    </row>
    <row r="114" spans="1:14" x14ac:dyDescent="0.25">
      <c r="A114" t="s">
        <v>284</v>
      </c>
      <c r="B114" s="5">
        <v>45117</v>
      </c>
      <c r="C114" t="s">
        <v>160</v>
      </c>
      <c r="D114">
        <v>62</v>
      </c>
      <c r="E114" t="s">
        <v>16</v>
      </c>
      <c r="F114" t="s">
        <v>17</v>
      </c>
      <c r="G114" t="s">
        <v>24</v>
      </c>
      <c r="H114">
        <v>1</v>
      </c>
      <c r="I114">
        <v>2850</v>
      </c>
      <c r="J114">
        <v>0</v>
      </c>
      <c r="K114" t="s">
        <v>41</v>
      </c>
      <c r="L114" t="s">
        <v>20</v>
      </c>
      <c r="M114">
        <v>2850</v>
      </c>
      <c r="N114" t="s">
        <v>45</v>
      </c>
    </row>
    <row r="115" spans="1:14" x14ac:dyDescent="0.25">
      <c r="A115" t="s">
        <v>285</v>
      </c>
      <c r="B115" s="5">
        <v>44945</v>
      </c>
      <c r="C115" t="s">
        <v>152</v>
      </c>
      <c r="D115">
        <v>33</v>
      </c>
      <c r="E115" t="s">
        <v>23</v>
      </c>
      <c r="F115" t="s">
        <v>17</v>
      </c>
      <c r="G115" t="s">
        <v>40</v>
      </c>
      <c r="H115">
        <v>1</v>
      </c>
      <c r="I115">
        <v>3400</v>
      </c>
      <c r="J115">
        <v>0</v>
      </c>
      <c r="K115" t="s">
        <v>41</v>
      </c>
      <c r="L115" t="s">
        <v>20</v>
      </c>
      <c r="M115">
        <v>3400</v>
      </c>
      <c r="N115" t="s">
        <v>26</v>
      </c>
    </row>
    <row r="116" spans="1:14" x14ac:dyDescent="0.25">
      <c r="A116" t="s">
        <v>286</v>
      </c>
      <c r="B116" s="5">
        <v>45119</v>
      </c>
      <c r="C116" t="s">
        <v>48</v>
      </c>
      <c r="D116">
        <v>7</v>
      </c>
      <c r="E116" t="s">
        <v>23</v>
      </c>
      <c r="F116" t="s">
        <v>17</v>
      </c>
      <c r="G116" t="s">
        <v>80</v>
      </c>
      <c r="H116">
        <v>3</v>
      </c>
      <c r="I116">
        <v>5750</v>
      </c>
      <c r="J116">
        <v>10</v>
      </c>
      <c r="K116" t="s">
        <v>19</v>
      </c>
      <c r="L116" t="s">
        <v>51</v>
      </c>
      <c r="M116">
        <v>15525</v>
      </c>
      <c r="N116" t="s">
        <v>26</v>
      </c>
    </row>
    <row r="117" spans="1:14" x14ac:dyDescent="0.25">
      <c r="A117" t="s">
        <v>287</v>
      </c>
      <c r="B117" s="5" t="s">
        <v>288</v>
      </c>
      <c r="C117" t="s">
        <v>87</v>
      </c>
      <c r="D117">
        <v>65</v>
      </c>
      <c r="E117" t="s">
        <v>23</v>
      </c>
      <c r="F117" t="s">
        <v>17</v>
      </c>
      <c r="G117" t="s">
        <v>274</v>
      </c>
      <c r="H117">
        <v>1</v>
      </c>
      <c r="I117">
        <v>4100</v>
      </c>
      <c r="J117">
        <v>25</v>
      </c>
      <c r="K117" t="s">
        <v>41</v>
      </c>
      <c r="L117" t="s">
        <v>20</v>
      </c>
      <c r="M117">
        <v>3075</v>
      </c>
      <c r="N117" t="s">
        <v>21</v>
      </c>
    </row>
    <row r="118" spans="1:14" x14ac:dyDescent="0.25">
      <c r="A118" t="s">
        <v>289</v>
      </c>
      <c r="B118" s="5">
        <v>45276</v>
      </c>
      <c r="D118">
        <v>59</v>
      </c>
      <c r="E118" t="s">
        <v>23</v>
      </c>
      <c r="F118" t="s">
        <v>30</v>
      </c>
      <c r="G118" t="s">
        <v>130</v>
      </c>
      <c r="H118">
        <v>-1</v>
      </c>
      <c r="I118">
        <v>1814</v>
      </c>
      <c r="J118">
        <v>0</v>
      </c>
      <c r="K118" t="s">
        <v>41</v>
      </c>
      <c r="L118" t="s">
        <v>20</v>
      </c>
      <c r="M118">
        <v>-1814</v>
      </c>
      <c r="N118" t="s">
        <v>26</v>
      </c>
    </row>
    <row r="119" spans="1:14" x14ac:dyDescent="0.25">
      <c r="A119" t="s">
        <v>290</v>
      </c>
      <c r="B119" s="5">
        <v>45072</v>
      </c>
      <c r="C119" t="s">
        <v>87</v>
      </c>
      <c r="D119">
        <v>60</v>
      </c>
      <c r="E119" t="s">
        <v>23</v>
      </c>
      <c r="F119" t="s">
        <v>291</v>
      </c>
      <c r="G119" t="s">
        <v>24</v>
      </c>
      <c r="H119">
        <v>1</v>
      </c>
      <c r="I119">
        <v>3300</v>
      </c>
      <c r="J119">
        <v>0</v>
      </c>
      <c r="K119" t="s">
        <v>41</v>
      </c>
      <c r="L119" t="s">
        <v>20</v>
      </c>
      <c r="M119">
        <v>3300</v>
      </c>
      <c r="N119" t="s">
        <v>38</v>
      </c>
    </row>
    <row r="120" spans="1:14" x14ac:dyDescent="0.25">
      <c r="A120" t="s">
        <v>292</v>
      </c>
      <c r="B120" s="5">
        <v>45218</v>
      </c>
      <c r="C120" t="s">
        <v>243</v>
      </c>
      <c r="D120">
        <v>46</v>
      </c>
      <c r="E120" t="s">
        <v>16</v>
      </c>
      <c r="F120" t="s">
        <v>30</v>
      </c>
      <c r="G120" t="s">
        <v>130</v>
      </c>
      <c r="H120">
        <v>5</v>
      </c>
      <c r="I120">
        <v>2135</v>
      </c>
      <c r="J120">
        <v>0</v>
      </c>
      <c r="K120" t="s">
        <v>50</v>
      </c>
      <c r="L120" t="s">
        <v>51</v>
      </c>
      <c r="M120">
        <v>10675</v>
      </c>
      <c r="N120" t="s">
        <v>45</v>
      </c>
    </row>
    <row r="121" spans="1:14" x14ac:dyDescent="0.25">
      <c r="A121" t="s">
        <v>293</v>
      </c>
      <c r="B121" s="5">
        <v>45203</v>
      </c>
      <c r="D121">
        <v>61</v>
      </c>
      <c r="E121" t="s">
        <v>16</v>
      </c>
      <c r="F121" t="s">
        <v>30</v>
      </c>
      <c r="G121" t="s">
        <v>294</v>
      </c>
      <c r="H121">
        <v>5</v>
      </c>
      <c r="I121">
        <v>675</v>
      </c>
      <c r="J121">
        <v>40</v>
      </c>
      <c r="K121" t="s">
        <v>19</v>
      </c>
      <c r="L121" t="s">
        <v>20</v>
      </c>
      <c r="M121">
        <v>-2025</v>
      </c>
      <c r="N121" t="s">
        <v>295</v>
      </c>
    </row>
    <row r="122" spans="1:14" x14ac:dyDescent="0.25">
      <c r="A122" t="s">
        <v>296</v>
      </c>
      <c r="B122" s="5" t="s">
        <v>1363</v>
      </c>
      <c r="D122">
        <v>32</v>
      </c>
      <c r="E122" t="s">
        <v>16</v>
      </c>
      <c r="F122" t="s">
        <v>17</v>
      </c>
      <c r="G122" t="s">
        <v>297</v>
      </c>
      <c r="H122">
        <v>2</v>
      </c>
      <c r="I122">
        <v>5650</v>
      </c>
      <c r="J122">
        <v>0</v>
      </c>
      <c r="K122" t="s">
        <v>41</v>
      </c>
      <c r="L122" t="s">
        <v>20</v>
      </c>
      <c r="M122">
        <v>11300</v>
      </c>
      <c r="N122" t="s">
        <v>26</v>
      </c>
    </row>
    <row r="123" spans="1:14" x14ac:dyDescent="0.25">
      <c r="A123" t="s">
        <v>298</v>
      </c>
      <c r="B123" s="5" t="s">
        <v>299</v>
      </c>
      <c r="C123" t="s">
        <v>66</v>
      </c>
      <c r="D123">
        <v>47</v>
      </c>
      <c r="E123" t="s">
        <v>16</v>
      </c>
      <c r="F123" t="s">
        <v>35</v>
      </c>
      <c r="G123" t="s">
        <v>203</v>
      </c>
      <c r="H123">
        <v>6</v>
      </c>
      <c r="I123">
        <v>827</v>
      </c>
      <c r="J123">
        <v>50</v>
      </c>
      <c r="K123" t="s">
        <v>41</v>
      </c>
      <c r="L123" t="s">
        <v>20</v>
      </c>
      <c r="M123">
        <v>2481</v>
      </c>
      <c r="N123" t="s">
        <v>26</v>
      </c>
    </row>
    <row r="124" spans="1:14" x14ac:dyDescent="0.25">
      <c r="A124" t="s">
        <v>300</v>
      </c>
      <c r="B124" s="5">
        <v>45186</v>
      </c>
      <c r="C124" t="s">
        <v>152</v>
      </c>
      <c r="D124">
        <v>40</v>
      </c>
      <c r="E124" t="s">
        <v>73</v>
      </c>
      <c r="F124" t="s">
        <v>35</v>
      </c>
      <c r="G124" t="s">
        <v>203</v>
      </c>
      <c r="H124">
        <v>10</v>
      </c>
      <c r="I124">
        <v>1540</v>
      </c>
      <c r="J124">
        <v>5</v>
      </c>
      <c r="K124" t="s">
        <v>19</v>
      </c>
      <c r="L124" t="s">
        <v>51</v>
      </c>
      <c r="M124">
        <v>14630</v>
      </c>
      <c r="N124" t="s">
        <v>26</v>
      </c>
    </row>
    <row r="125" spans="1:14" x14ac:dyDescent="0.25">
      <c r="A125" t="s">
        <v>301</v>
      </c>
      <c r="B125" s="5">
        <v>45244</v>
      </c>
      <c r="C125" t="s">
        <v>165</v>
      </c>
      <c r="D125">
        <v>40</v>
      </c>
      <c r="E125" t="s">
        <v>16</v>
      </c>
      <c r="F125" t="s">
        <v>30</v>
      </c>
      <c r="G125" t="s">
        <v>235</v>
      </c>
      <c r="H125">
        <v>4</v>
      </c>
      <c r="I125">
        <v>8</v>
      </c>
      <c r="J125">
        <v>25</v>
      </c>
      <c r="K125" t="s">
        <v>50</v>
      </c>
      <c r="L125" t="s">
        <v>51</v>
      </c>
      <c r="M125">
        <v>24</v>
      </c>
      <c r="N125" t="s">
        <v>21</v>
      </c>
    </row>
    <row r="126" spans="1:14" x14ac:dyDescent="0.25">
      <c r="A126" t="s">
        <v>302</v>
      </c>
      <c r="B126" s="5">
        <v>45113</v>
      </c>
      <c r="C126" t="s">
        <v>165</v>
      </c>
      <c r="D126">
        <v>58</v>
      </c>
      <c r="E126" t="s">
        <v>16</v>
      </c>
      <c r="F126" t="s">
        <v>30</v>
      </c>
      <c r="G126" t="s">
        <v>224</v>
      </c>
      <c r="H126">
        <v>6</v>
      </c>
      <c r="I126">
        <v>834</v>
      </c>
      <c r="J126">
        <v>50</v>
      </c>
      <c r="K126" t="s">
        <v>41</v>
      </c>
      <c r="L126" t="s">
        <v>51</v>
      </c>
      <c r="M126">
        <v>2502</v>
      </c>
      <c r="N126" t="s">
        <v>38</v>
      </c>
    </row>
    <row r="127" spans="1:14" x14ac:dyDescent="0.25">
      <c r="A127" t="s">
        <v>303</v>
      </c>
      <c r="B127" s="5">
        <v>44934</v>
      </c>
      <c r="C127" t="s">
        <v>48</v>
      </c>
      <c r="D127">
        <v>54</v>
      </c>
      <c r="E127" t="s">
        <v>16</v>
      </c>
      <c r="F127" t="s">
        <v>30</v>
      </c>
      <c r="G127" t="s">
        <v>135</v>
      </c>
      <c r="H127">
        <v>8</v>
      </c>
      <c r="I127">
        <v>14370</v>
      </c>
      <c r="J127">
        <v>0</v>
      </c>
      <c r="K127" t="s">
        <v>41</v>
      </c>
      <c r="L127" t="s">
        <v>56</v>
      </c>
      <c r="M127">
        <v>114960</v>
      </c>
      <c r="N127" t="s">
        <v>45</v>
      </c>
    </row>
    <row r="128" spans="1:14" x14ac:dyDescent="0.25">
      <c r="A128" t="s">
        <v>304</v>
      </c>
      <c r="B128" s="5" t="s">
        <v>185</v>
      </c>
      <c r="C128" t="s">
        <v>176</v>
      </c>
      <c r="D128">
        <v>64</v>
      </c>
      <c r="E128" t="s">
        <v>23</v>
      </c>
      <c r="F128" t="s">
        <v>30</v>
      </c>
      <c r="G128" t="s">
        <v>235</v>
      </c>
      <c r="H128">
        <v>10</v>
      </c>
      <c r="I128">
        <v>2394</v>
      </c>
      <c r="J128">
        <v>30</v>
      </c>
      <c r="K128" t="s">
        <v>83</v>
      </c>
      <c r="L128" t="s">
        <v>56</v>
      </c>
      <c r="M128">
        <v>16758</v>
      </c>
      <c r="N128" t="s">
        <v>21</v>
      </c>
    </row>
    <row r="129" spans="1:14" x14ac:dyDescent="0.25">
      <c r="A129" t="s">
        <v>305</v>
      </c>
      <c r="B129" s="5">
        <v>44969</v>
      </c>
      <c r="C129" t="s">
        <v>128</v>
      </c>
      <c r="D129">
        <v>38</v>
      </c>
      <c r="E129" t="s">
        <v>23</v>
      </c>
      <c r="F129" t="s">
        <v>30</v>
      </c>
      <c r="G129" t="s">
        <v>31</v>
      </c>
      <c r="H129">
        <v>3</v>
      </c>
      <c r="I129">
        <v>1610</v>
      </c>
      <c r="J129">
        <v>30</v>
      </c>
      <c r="K129" t="s">
        <v>19</v>
      </c>
      <c r="L129" t="s">
        <v>20</v>
      </c>
      <c r="M129">
        <v>3381</v>
      </c>
      <c r="N129" t="s">
        <v>21</v>
      </c>
    </row>
    <row r="130" spans="1:14" x14ac:dyDescent="0.25">
      <c r="A130" t="s">
        <v>306</v>
      </c>
      <c r="B130" s="5" t="s">
        <v>288</v>
      </c>
      <c r="C130" t="s">
        <v>170</v>
      </c>
      <c r="D130">
        <v>37</v>
      </c>
      <c r="E130" t="s">
        <v>23</v>
      </c>
      <c r="F130" t="s">
        <v>35</v>
      </c>
      <c r="G130" t="s">
        <v>257</v>
      </c>
      <c r="H130">
        <v>6</v>
      </c>
      <c r="I130">
        <v>787</v>
      </c>
      <c r="J130">
        <v>50</v>
      </c>
      <c r="K130" t="s">
        <v>50</v>
      </c>
      <c r="L130" t="s">
        <v>20</v>
      </c>
      <c r="M130">
        <v>2361</v>
      </c>
      <c r="N130" t="s">
        <v>38</v>
      </c>
    </row>
    <row r="131" spans="1:14" x14ac:dyDescent="0.25">
      <c r="A131" t="s">
        <v>307</v>
      </c>
      <c r="B131" s="5">
        <v>45072</v>
      </c>
      <c r="D131">
        <v>62</v>
      </c>
      <c r="E131" t="s">
        <v>16</v>
      </c>
      <c r="F131" t="s">
        <v>30</v>
      </c>
      <c r="G131" t="s">
        <v>67</v>
      </c>
      <c r="H131">
        <v>10</v>
      </c>
      <c r="I131">
        <v>2968</v>
      </c>
      <c r="J131">
        <v>50</v>
      </c>
      <c r="K131" t="s">
        <v>25</v>
      </c>
      <c r="L131" t="s">
        <v>20</v>
      </c>
      <c r="M131">
        <v>14840</v>
      </c>
      <c r="N131" t="s">
        <v>45</v>
      </c>
    </row>
    <row r="132" spans="1:14" x14ac:dyDescent="0.25">
      <c r="A132" t="s">
        <v>308</v>
      </c>
      <c r="B132" s="5">
        <v>45175</v>
      </c>
      <c r="C132" t="s">
        <v>43</v>
      </c>
      <c r="D132">
        <v>56</v>
      </c>
      <c r="E132" t="s">
        <v>23</v>
      </c>
      <c r="F132" t="s">
        <v>30</v>
      </c>
      <c r="G132" t="s">
        <v>130</v>
      </c>
      <c r="H132">
        <v>8</v>
      </c>
      <c r="I132">
        <v>2627</v>
      </c>
      <c r="J132">
        <v>15</v>
      </c>
      <c r="K132" t="s">
        <v>50</v>
      </c>
      <c r="L132" t="s">
        <v>204</v>
      </c>
      <c r="M132">
        <v>17863.599999999999</v>
      </c>
      <c r="N132" t="s">
        <v>45</v>
      </c>
    </row>
    <row r="133" spans="1:14" x14ac:dyDescent="0.25">
      <c r="A133" t="s">
        <v>309</v>
      </c>
      <c r="B133" s="5">
        <v>45202</v>
      </c>
      <c r="D133">
        <v>27</v>
      </c>
      <c r="E133" t="s">
        <v>16</v>
      </c>
      <c r="F133" t="s">
        <v>54</v>
      </c>
      <c r="G133" t="s">
        <v>77</v>
      </c>
      <c r="H133">
        <v>1</v>
      </c>
      <c r="I133">
        <v>25000</v>
      </c>
      <c r="J133">
        <v>10</v>
      </c>
      <c r="K133" t="s">
        <v>41</v>
      </c>
      <c r="L133" t="s">
        <v>20</v>
      </c>
      <c r="M133">
        <v>22500</v>
      </c>
      <c r="N133" t="s">
        <v>167</v>
      </c>
    </row>
    <row r="134" spans="1:14" x14ac:dyDescent="0.25">
      <c r="A134" t="s">
        <v>310</v>
      </c>
      <c r="B134" s="5">
        <v>45286</v>
      </c>
      <c r="C134" t="s">
        <v>207</v>
      </c>
      <c r="D134">
        <v>37</v>
      </c>
      <c r="E134" t="s">
        <v>23</v>
      </c>
      <c r="F134" t="s">
        <v>54</v>
      </c>
      <c r="G134" t="s">
        <v>311</v>
      </c>
      <c r="H134">
        <v>1</v>
      </c>
      <c r="I134">
        <v>4000</v>
      </c>
      <c r="J134">
        <v>0</v>
      </c>
      <c r="K134" t="s">
        <v>41</v>
      </c>
      <c r="L134" t="s">
        <v>56</v>
      </c>
      <c r="M134">
        <v>4000</v>
      </c>
      <c r="N134" t="s">
        <v>38</v>
      </c>
    </row>
    <row r="135" spans="1:14" x14ac:dyDescent="0.25">
      <c r="A135" t="s">
        <v>312</v>
      </c>
      <c r="B135" s="5">
        <v>44966</v>
      </c>
      <c r="C135" t="s">
        <v>217</v>
      </c>
      <c r="D135">
        <v>35</v>
      </c>
      <c r="E135" t="s">
        <v>171</v>
      </c>
      <c r="F135" t="s">
        <v>35</v>
      </c>
      <c r="G135" t="s">
        <v>126</v>
      </c>
      <c r="H135">
        <v>3</v>
      </c>
      <c r="I135">
        <v>411</v>
      </c>
      <c r="J135">
        <v>50</v>
      </c>
      <c r="K135" t="s">
        <v>19</v>
      </c>
      <c r="L135" t="s">
        <v>20</v>
      </c>
      <c r="M135">
        <v>616.5</v>
      </c>
      <c r="N135" t="s">
        <v>295</v>
      </c>
    </row>
    <row r="136" spans="1:14" x14ac:dyDescent="0.25">
      <c r="A136" t="s">
        <v>313</v>
      </c>
      <c r="B136" s="5" t="s">
        <v>314</v>
      </c>
      <c r="C136" t="s">
        <v>66</v>
      </c>
      <c r="D136">
        <v>39</v>
      </c>
      <c r="E136" t="s">
        <v>16</v>
      </c>
      <c r="F136" t="s">
        <v>17</v>
      </c>
      <c r="G136" t="s">
        <v>297</v>
      </c>
      <c r="H136">
        <v>1</v>
      </c>
      <c r="I136">
        <v>7700</v>
      </c>
      <c r="J136">
        <v>0</v>
      </c>
      <c r="K136" t="s">
        <v>41</v>
      </c>
      <c r="L136" t="s">
        <v>51</v>
      </c>
      <c r="M136">
        <v>7700</v>
      </c>
      <c r="N136" t="s">
        <v>38</v>
      </c>
    </row>
    <row r="137" spans="1:14" x14ac:dyDescent="0.25">
      <c r="A137" t="s">
        <v>315</v>
      </c>
      <c r="B137" s="5">
        <v>45246</v>
      </c>
      <c r="C137" t="s">
        <v>165</v>
      </c>
      <c r="D137">
        <v>48</v>
      </c>
      <c r="E137" t="s">
        <v>23</v>
      </c>
      <c r="F137" t="s">
        <v>54</v>
      </c>
      <c r="G137" t="s">
        <v>311</v>
      </c>
      <c r="H137">
        <v>1</v>
      </c>
      <c r="I137">
        <v>4300</v>
      </c>
      <c r="J137">
        <v>40</v>
      </c>
      <c r="K137" t="s">
        <v>50</v>
      </c>
      <c r="L137" t="s">
        <v>20</v>
      </c>
      <c r="M137">
        <v>2580</v>
      </c>
      <c r="N137" t="s">
        <v>45</v>
      </c>
    </row>
    <row r="138" spans="1:14" x14ac:dyDescent="0.25">
      <c r="A138" t="s">
        <v>316</v>
      </c>
      <c r="B138" s="5">
        <v>45220</v>
      </c>
      <c r="C138" t="s">
        <v>217</v>
      </c>
      <c r="D138">
        <v>42</v>
      </c>
      <c r="E138" t="s">
        <v>16</v>
      </c>
      <c r="F138" t="s">
        <v>291</v>
      </c>
      <c r="G138" t="s">
        <v>40</v>
      </c>
      <c r="H138">
        <v>3</v>
      </c>
      <c r="I138">
        <v>4800</v>
      </c>
      <c r="J138">
        <v>5</v>
      </c>
      <c r="K138" t="s">
        <v>19</v>
      </c>
      <c r="L138" t="s">
        <v>20</v>
      </c>
      <c r="M138">
        <v>13680</v>
      </c>
      <c r="N138" t="s">
        <v>45</v>
      </c>
    </row>
    <row r="139" spans="1:14" x14ac:dyDescent="0.25">
      <c r="A139" t="s">
        <v>317</v>
      </c>
      <c r="B139" s="5">
        <v>45208</v>
      </c>
      <c r="C139" t="s">
        <v>318</v>
      </c>
      <c r="D139">
        <v>30</v>
      </c>
      <c r="E139" t="s">
        <v>23</v>
      </c>
      <c r="F139" t="s">
        <v>103</v>
      </c>
      <c r="G139" t="s">
        <v>282</v>
      </c>
      <c r="H139">
        <v>2</v>
      </c>
      <c r="I139">
        <v>17600</v>
      </c>
      <c r="J139">
        <v>40</v>
      </c>
      <c r="K139" t="s">
        <v>50</v>
      </c>
      <c r="L139" t="s">
        <v>20</v>
      </c>
      <c r="M139">
        <v>21120</v>
      </c>
      <c r="N139" t="s">
        <v>45</v>
      </c>
    </row>
    <row r="140" spans="1:14" x14ac:dyDescent="0.25">
      <c r="A140" t="s">
        <v>319</v>
      </c>
      <c r="B140" s="5" t="s">
        <v>320</v>
      </c>
      <c r="C140" t="s">
        <v>87</v>
      </c>
      <c r="D140">
        <v>61</v>
      </c>
      <c r="E140" t="s">
        <v>23</v>
      </c>
      <c r="F140" t="s">
        <v>35</v>
      </c>
      <c r="G140" t="s">
        <v>271</v>
      </c>
      <c r="H140">
        <v>9</v>
      </c>
      <c r="I140">
        <v>490</v>
      </c>
      <c r="J140">
        <v>40</v>
      </c>
      <c r="K140" t="s">
        <v>50</v>
      </c>
      <c r="L140" t="s">
        <v>20</v>
      </c>
      <c r="M140">
        <v>2646</v>
      </c>
      <c r="N140" t="s">
        <v>26</v>
      </c>
    </row>
    <row r="141" spans="1:14" x14ac:dyDescent="0.25">
      <c r="A141" t="s">
        <v>321</v>
      </c>
      <c r="B141" s="5">
        <v>45269</v>
      </c>
      <c r="C141" t="s">
        <v>128</v>
      </c>
      <c r="D141">
        <v>62</v>
      </c>
      <c r="E141" t="s">
        <v>138</v>
      </c>
      <c r="F141" t="s">
        <v>54</v>
      </c>
      <c r="G141" t="s">
        <v>92</v>
      </c>
      <c r="H141">
        <v>1</v>
      </c>
      <c r="I141">
        <v>13300</v>
      </c>
      <c r="J141">
        <v>15</v>
      </c>
      <c r="K141" t="s">
        <v>41</v>
      </c>
      <c r="L141" t="s">
        <v>107</v>
      </c>
      <c r="M141">
        <v>11305</v>
      </c>
      <c r="N141" t="s">
        <v>108</v>
      </c>
    </row>
    <row r="142" spans="1:14" x14ac:dyDescent="0.25">
      <c r="A142" t="s">
        <v>322</v>
      </c>
      <c r="B142" s="5">
        <v>45224</v>
      </c>
      <c r="C142" t="s">
        <v>53</v>
      </c>
      <c r="D142">
        <v>20</v>
      </c>
      <c r="E142" t="s">
        <v>16</v>
      </c>
      <c r="F142" t="s">
        <v>17</v>
      </c>
      <c r="G142" t="s">
        <v>117</v>
      </c>
      <c r="H142">
        <v>1</v>
      </c>
      <c r="I142">
        <v>7950</v>
      </c>
      <c r="J142">
        <v>5</v>
      </c>
      <c r="K142" t="s">
        <v>41</v>
      </c>
      <c r="L142" t="s">
        <v>20</v>
      </c>
      <c r="M142">
        <v>7950</v>
      </c>
      <c r="N142" t="s">
        <v>45</v>
      </c>
    </row>
    <row r="143" spans="1:14" x14ac:dyDescent="0.25">
      <c r="A143" t="s">
        <v>323</v>
      </c>
      <c r="B143" s="5">
        <v>45025</v>
      </c>
      <c r="C143" t="s">
        <v>160</v>
      </c>
      <c r="D143">
        <v>41</v>
      </c>
      <c r="E143" t="s">
        <v>16</v>
      </c>
      <c r="F143" t="s">
        <v>324</v>
      </c>
      <c r="G143" t="s">
        <v>36</v>
      </c>
      <c r="H143">
        <v>3</v>
      </c>
      <c r="I143">
        <v>1123</v>
      </c>
      <c r="J143">
        <v>0</v>
      </c>
      <c r="K143" t="s">
        <v>25</v>
      </c>
      <c r="L143" t="s">
        <v>20</v>
      </c>
      <c r="M143">
        <v>3369</v>
      </c>
      <c r="N143" t="s">
        <v>38</v>
      </c>
    </row>
    <row r="144" spans="1:14" x14ac:dyDescent="0.25">
      <c r="A144" t="s">
        <v>325</v>
      </c>
      <c r="B144" s="5">
        <v>45080</v>
      </c>
      <c r="C144" t="s">
        <v>72</v>
      </c>
      <c r="D144">
        <v>63</v>
      </c>
      <c r="E144" t="s">
        <v>16</v>
      </c>
      <c r="F144" t="s">
        <v>30</v>
      </c>
      <c r="G144" t="s">
        <v>294</v>
      </c>
      <c r="H144">
        <v>9</v>
      </c>
      <c r="I144">
        <v>415</v>
      </c>
      <c r="J144">
        <v>40</v>
      </c>
      <c r="K144" t="s">
        <v>326</v>
      </c>
      <c r="L144" t="s">
        <v>20</v>
      </c>
      <c r="M144">
        <v>2241</v>
      </c>
      <c r="N144" t="s">
        <v>26</v>
      </c>
    </row>
    <row r="145" spans="1:14" x14ac:dyDescent="0.25">
      <c r="A145" t="s">
        <v>327</v>
      </c>
      <c r="B145" s="5">
        <v>45178</v>
      </c>
      <c r="C145" t="s">
        <v>53</v>
      </c>
      <c r="D145">
        <v>35</v>
      </c>
      <c r="E145" t="s">
        <v>146</v>
      </c>
      <c r="F145" t="s">
        <v>35</v>
      </c>
      <c r="G145" t="s">
        <v>139</v>
      </c>
      <c r="H145">
        <v>5</v>
      </c>
      <c r="I145">
        <v>862</v>
      </c>
      <c r="J145">
        <v>5</v>
      </c>
      <c r="K145" t="s">
        <v>89</v>
      </c>
      <c r="L145" t="s">
        <v>51</v>
      </c>
      <c r="M145">
        <v>4310</v>
      </c>
      <c r="N145" t="s">
        <v>21</v>
      </c>
    </row>
    <row r="146" spans="1:14" x14ac:dyDescent="0.25">
      <c r="A146" t="s">
        <v>328</v>
      </c>
      <c r="B146" s="5">
        <v>45089</v>
      </c>
      <c r="C146" t="s">
        <v>66</v>
      </c>
      <c r="E146" t="s">
        <v>16</v>
      </c>
      <c r="F146" t="s">
        <v>35</v>
      </c>
      <c r="G146" t="s">
        <v>36</v>
      </c>
      <c r="H146">
        <v>2</v>
      </c>
      <c r="I146">
        <v>820</v>
      </c>
      <c r="J146">
        <v>20</v>
      </c>
      <c r="K146" t="s">
        <v>19</v>
      </c>
      <c r="L146" t="s">
        <v>20</v>
      </c>
      <c r="M146">
        <v>1312</v>
      </c>
      <c r="N146" t="s">
        <v>21</v>
      </c>
    </row>
    <row r="147" spans="1:14" x14ac:dyDescent="0.25">
      <c r="A147" t="s">
        <v>329</v>
      </c>
      <c r="B147" s="5" t="s">
        <v>330</v>
      </c>
      <c r="C147" t="s">
        <v>156</v>
      </c>
      <c r="D147">
        <v>48</v>
      </c>
      <c r="E147" t="s">
        <v>23</v>
      </c>
      <c r="F147" t="s">
        <v>35</v>
      </c>
      <c r="G147" t="s">
        <v>331</v>
      </c>
      <c r="H147">
        <v>10</v>
      </c>
      <c r="I147">
        <v>781586</v>
      </c>
      <c r="J147">
        <v>10</v>
      </c>
      <c r="K147" t="s">
        <v>50</v>
      </c>
      <c r="L147" t="s">
        <v>51</v>
      </c>
      <c r="M147">
        <v>7034274</v>
      </c>
      <c r="N147" t="s">
        <v>332</v>
      </c>
    </row>
    <row r="148" spans="1:14" x14ac:dyDescent="0.25">
      <c r="A148" t="s">
        <v>333</v>
      </c>
      <c r="B148" s="5" t="s">
        <v>334</v>
      </c>
      <c r="C148" t="s">
        <v>53</v>
      </c>
      <c r="D148">
        <v>45</v>
      </c>
      <c r="E148" t="s">
        <v>23</v>
      </c>
      <c r="F148" t="s">
        <v>291</v>
      </c>
      <c r="G148" t="s">
        <v>259</v>
      </c>
      <c r="H148">
        <v>3</v>
      </c>
      <c r="I148">
        <v>3750</v>
      </c>
      <c r="K148" t="s">
        <v>19</v>
      </c>
      <c r="L148" t="s">
        <v>51</v>
      </c>
      <c r="M148">
        <v>11250</v>
      </c>
      <c r="N148" t="s">
        <v>38</v>
      </c>
    </row>
    <row r="149" spans="1:14" x14ac:dyDescent="0.25">
      <c r="A149" t="s">
        <v>335</v>
      </c>
      <c r="B149" s="5" t="s">
        <v>336</v>
      </c>
      <c r="C149" t="s">
        <v>337</v>
      </c>
      <c r="D149">
        <v>55</v>
      </c>
      <c r="E149" t="s">
        <v>23</v>
      </c>
      <c r="F149" t="s">
        <v>54</v>
      </c>
      <c r="G149" t="s">
        <v>338</v>
      </c>
      <c r="H149">
        <v>2</v>
      </c>
      <c r="I149">
        <v>4700</v>
      </c>
      <c r="J149">
        <v>10</v>
      </c>
      <c r="K149" t="s">
        <v>41</v>
      </c>
      <c r="L149" t="s">
        <v>20</v>
      </c>
      <c r="M149">
        <v>8460</v>
      </c>
      <c r="N149" t="s">
        <v>45</v>
      </c>
    </row>
    <row r="150" spans="1:14" x14ac:dyDescent="0.25">
      <c r="A150" t="s">
        <v>339</v>
      </c>
      <c r="B150" s="5">
        <v>45183</v>
      </c>
      <c r="C150" t="s">
        <v>265</v>
      </c>
      <c r="D150">
        <v>42</v>
      </c>
      <c r="E150" t="s">
        <v>23</v>
      </c>
      <c r="F150" t="s">
        <v>35</v>
      </c>
      <c r="G150" t="s">
        <v>158</v>
      </c>
      <c r="H150">
        <v>8</v>
      </c>
      <c r="I150">
        <v>647</v>
      </c>
      <c r="J150">
        <v>0</v>
      </c>
      <c r="K150" t="s">
        <v>41</v>
      </c>
      <c r="L150" t="s">
        <v>107</v>
      </c>
      <c r="M150">
        <v>5176</v>
      </c>
      <c r="N150" t="s">
        <v>45</v>
      </c>
    </row>
    <row r="151" spans="1:14" x14ac:dyDescent="0.25">
      <c r="A151" t="s">
        <v>340</v>
      </c>
      <c r="B151" s="5">
        <v>45267</v>
      </c>
      <c r="C151" t="s">
        <v>28</v>
      </c>
      <c r="D151">
        <v>41</v>
      </c>
      <c r="E151" t="s">
        <v>23</v>
      </c>
      <c r="F151" t="s">
        <v>291</v>
      </c>
      <c r="G151" t="s">
        <v>24</v>
      </c>
      <c r="H151">
        <v>1</v>
      </c>
      <c r="J151">
        <v>5</v>
      </c>
      <c r="K151" t="s">
        <v>41</v>
      </c>
      <c r="L151" t="s">
        <v>51</v>
      </c>
      <c r="N151" t="s">
        <v>45</v>
      </c>
    </row>
    <row r="152" spans="1:14" x14ac:dyDescent="0.25">
      <c r="A152" t="s">
        <v>341</v>
      </c>
      <c r="B152" s="5">
        <v>45089</v>
      </c>
      <c r="C152" t="s">
        <v>152</v>
      </c>
      <c r="D152">
        <v>48</v>
      </c>
      <c r="E152" t="s">
        <v>16</v>
      </c>
      <c r="F152" t="s">
        <v>35</v>
      </c>
      <c r="G152" t="s">
        <v>257</v>
      </c>
      <c r="H152">
        <v>3</v>
      </c>
      <c r="I152">
        <v>1023</v>
      </c>
      <c r="J152">
        <v>25</v>
      </c>
      <c r="K152" t="s">
        <v>50</v>
      </c>
      <c r="L152" t="s">
        <v>20</v>
      </c>
      <c r="M152">
        <v>2301.75</v>
      </c>
      <c r="N152" t="s">
        <v>26</v>
      </c>
    </row>
    <row r="153" spans="1:14" x14ac:dyDescent="0.25">
      <c r="A153" t="s">
        <v>342</v>
      </c>
      <c r="B153" s="5">
        <v>44927</v>
      </c>
      <c r="C153" t="s">
        <v>156</v>
      </c>
      <c r="D153">
        <v>48</v>
      </c>
      <c r="E153" t="s">
        <v>16</v>
      </c>
      <c r="F153" t="s">
        <v>17</v>
      </c>
      <c r="G153" t="s">
        <v>124</v>
      </c>
      <c r="H153">
        <v>1</v>
      </c>
      <c r="I153">
        <v>5800</v>
      </c>
      <c r="J153">
        <v>0</v>
      </c>
      <c r="K153" t="s">
        <v>25</v>
      </c>
      <c r="L153" t="s">
        <v>20</v>
      </c>
      <c r="M153">
        <v>17400</v>
      </c>
      <c r="N153" t="s">
        <v>45</v>
      </c>
    </row>
    <row r="154" spans="1:14" x14ac:dyDescent="0.25">
      <c r="A154" t="s">
        <v>343</v>
      </c>
      <c r="B154" s="5">
        <v>45275</v>
      </c>
      <c r="C154" t="s">
        <v>102</v>
      </c>
      <c r="D154">
        <v>42</v>
      </c>
      <c r="E154" t="s">
        <v>138</v>
      </c>
      <c r="F154" t="s">
        <v>30</v>
      </c>
      <c r="G154" t="s">
        <v>224</v>
      </c>
      <c r="H154">
        <v>3</v>
      </c>
      <c r="I154">
        <v>788</v>
      </c>
      <c r="J154">
        <v>5</v>
      </c>
      <c r="K154" t="s">
        <v>41</v>
      </c>
      <c r="L154" t="s">
        <v>20</v>
      </c>
      <c r="M154">
        <v>2245.8000000000002</v>
      </c>
      <c r="N154" t="s">
        <v>21</v>
      </c>
    </row>
    <row r="155" spans="1:14" x14ac:dyDescent="0.25">
      <c r="A155" t="s">
        <v>344</v>
      </c>
      <c r="B155" s="5">
        <v>45062</v>
      </c>
      <c r="C155" t="s">
        <v>48</v>
      </c>
      <c r="D155">
        <v>50</v>
      </c>
      <c r="E155" t="s">
        <v>23</v>
      </c>
      <c r="F155" t="s">
        <v>345</v>
      </c>
      <c r="G155" t="s">
        <v>36</v>
      </c>
      <c r="H155">
        <v>1</v>
      </c>
      <c r="I155">
        <v>1059</v>
      </c>
      <c r="J155">
        <v>15</v>
      </c>
      <c r="K155" t="s">
        <v>41</v>
      </c>
      <c r="L155" t="s">
        <v>20</v>
      </c>
      <c r="M155">
        <v>1059</v>
      </c>
      <c r="N155" t="s">
        <v>26</v>
      </c>
    </row>
    <row r="156" spans="1:14" x14ac:dyDescent="0.25">
      <c r="A156" t="s">
        <v>346</v>
      </c>
      <c r="B156" s="5">
        <v>45139</v>
      </c>
      <c r="D156">
        <v>21</v>
      </c>
      <c r="E156" t="s">
        <v>16</v>
      </c>
      <c r="F156" t="s">
        <v>347</v>
      </c>
      <c r="G156" t="s">
        <v>348</v>
      </c>
      <c r="H156">
        <v>2</v>
      </c>
      <c r="I156">
        <v>2500</v>
      </c>
      <c r="J156">
        <v>20</v>
      </c>
      <c r="K156" t="s">
        <v>19</v>
      </c>
      <c r="L156" t="s">
        <v>20</v>
      </c>
      <c r="M156">
        <v>4000</v>
      </c>
      <c r="N156" t="s">
        <v>349</v>
      </c>
    </row>
    <row r="157" spans="1:14" x14ac:dyDescent="0.25">
      <c r="A157" t="s">
        <v>350</v>
      </c>
      <c r="B157" s="5" t="s">
        <v>351</v>
      </c>
      <c r="C157" t="s">
        <v>156</v>
      </c>
      <c r="D157">
        <v>53</v>
      </c>
      <c r="E157" t="s">
        <v>23</v>
      </c>
      <c r="F157" t="s">
        <v>54</v>
      </c>
      <c r="G157" t="s">
        <v>55</v>
      </c>
      <c r="H157">
        <v>2</v>
      </c>
      <c r="I157">
        <v>26100</v>
      </c>
      <c r="J157">
        <v>30</v>
      </c>
      <c r="K157" t="s">
        <v>41</v>
      </c>
      <c r="L157" t="s">
        <v>56</v>
      </c>
      <c r="M157">
        <v>36540</v>
      </c>
      <c r="N157" t="s">
        <v>352</v>
      </c>
    </row>
    <row r="158" spans="1:14" x14ac:dyDescent="0.25">
      <c r="A158" t="s">
        <v>353</v>
      </c>
      <c r="B158" s="5">
        <v>45161</v>
      </c>
      <c r="C158" t="s">
        <v>192</v>
      </c>
      <c r="D158">
        <v>33</v>
      </c>
      <c r="E158" t="s">
        <v>16</v>
      </c>
      <c r="F158" t="s">
        <v>54</v>
      </c>
      <c r="G158" t="s">
        <v>55</v>
      </c>
      <c r="H158">
        <v>1</v>
      </c>
      <c r="I158">
        <v>28200</v>
      </c>
      <c r="J158">
        <v>10</v>
      </c>
      <c r="K158" t="s">
        <v>41</v>
      </c>
      <c r="L158" t="s">
        <v>20</v>
      </c>
      <c r="M158">
        <v>28200</v>
      </c>
      <c r="N158" t="s">
        <v>26</v>
      </c>
    </row>
    <row r="159" spans="1:14" x14ac:dyDescent="0.25">
      <c r="A159" t="s">
        <v>354</v>
      </c>
      <c r="B159" s="5">
        <v>45175</v>
      </c>
      <c r="C159" t="s">
        <v>355</v>
      </c>
      <c r="D159">
        <v>20</v>
      </c>
      <c r="E159" t="s">
        <v>23</v>
      </c>
      <c r="F159" t="s">
        <v>30</v>
      </c>
      <c r="G159" t="s">
        <v>235</v>
      </c>
      <c r="H159">
        <v>8</v>
      </c>
      <c r="I159">
        <v>2831</v>
      </c>
      <c r="J159">
        <v>5</v>
      </c>
      <c r="K159" t="s">
        <v>64</v>
      </c>
      <c r="L159" t="s">
        <v>20</v>
      </c>
      <c r="M159">
        <v>21515.599999999999</v>
      </c>
      <c r="N159" t="s">
        <v>356</v>
      </c>
    </row>
    <row r="160" spans="1:14" x14ac:dyDescent="0.25">
      <c r="A160" t="s">
        <v>357</v>
      </c>
      <c r="B160" s="5">
        <v>45012</v>
      </c>
      <c r="C160" t="s">
        <v>358</v>
      </c>
      <c r="D160">
        <v>49</v>
      </c>
      <c r="E160" t="s">
        <v>23</v>
      </c>
      <c r="F160" t="s">
        <v>30</v>
      </c>
      <c r="G160" t="s">
        <v>224</v>
      </c>
      <c r="H160">
        <v>4</v>
      </c>
      <c r="I160">
        <v>1124</v>
      </c>
      <c r="J160">
        <v>0</v>
      </c>
      <c r="K160" t="s">
        <v>19</v>
      </c>
      <c r="L160" t="s">
        <v>20</v>
      </c>
      <c r="M160">
        <v>4496</v>
      </c>
      <c r="N160" t="s">
        <v>21</v>
      </c>
    </row>
    <row r="161" spans="1:14" x14ac:dyDescent="0.25">
      <c r="A161" t="s">
        <v>359</v>
      </c>
      <c r="B161" s="5">
        <v>45201</v>
      </c>
      <c r="D161">
        <v>40</v>
      </c>
      <c r="E161" t="s">
        <v>16</v>
      </c>
      <c r="F161" t="s">
        <v>17</v>
      </c>
      <c r="G161" t="s">
        <v>117</v>
      </c>
      <c r="H161">
        <v>2</v>
      </c>
      <c r="I161">
        <v>5600</v>
      </c>
      <c r="J161">
        <v>5</v>
      </c>
      <c r="K161" t="s">
        <v>50</v>
      </c>
      <c r="L161" t="s">
        <v>20</v>
      </c>
      <c r="M161">
        <v>10640</v>
      </c>
      <c r="N161" t="s">
        <v>45</v>
      </c>
    </row>
    <row r="162" spans="1:14" x14ac:dyDescent="0.25">
      <c r="A162" t="s">
        <v>360</v>
      </c>
      <c r="B162" s="5" t="s">
        <v>1364</v>
      </c>
      <c r="D162">
        <v>64</v>
      </c>
      <c r="E162" t="s">
        <v>16</v>
      </c>
      <c r="F162" t="s">
        <v>30</v>
      </c>
      <c r="G162" t="s">
        <v>121</v>
      </c>
      <c r="H162">
        <v>2</v>
      </c>
      <c r="I162">
        <v>3245</v>
      </c>
      <c r="J162">
        <v>20</v>
      </c>
      <c r="K162" t="s">
        <v>115</v>
      </c>
      <c r="L162" t="s">
        <v>20</v>
      </c>
      <c r="M162">
        <v>5192</v>
      </c>
      <c r="N162" t="s">
        <v>38</v>
      </c>
    </row>
    <row r="163" spans="1:14" x14ac:dyDescent="0.25">
      <c r="A163" t="s">
        <v>361</v>
      </c>
      <c r="B163" s="5">
        <v>45221</v>
      </c>
      <c r="C163" t="s">
        <v>358</v>
      </c>
      <c r="D163">
        <v>47</v>
      </c>
      <c r="E163" t="s">
        <v>23</v>
      </c>
      <c r="F163" t="s">
        <v>17</v>
      </c>
      <c r="G163" t="s">
        <v>259</v>
      </c>
      <c r="H163">
        <v>1</v>
      </c>
      <c r="I163">
        <v>3250</v>
      </c>
      <c r="J163">
        <v>0</v>
      </c>
      <c r="K163" t="s">
        <v>41</v>
      </c>
      <c r="L163" t="s">
        <v>20</v>
      </c>
      <c r="M163">
        <v>3250</v>
      </c>
      <c r="N163" t="s">
        <v>21</v>
      </c>
    </row>
    <row r="164" spans="1:14" x14ac:dyDescent="0.25">
      <c r="A164" t="s">
        <v>362</v>
      </c>
      <c r="B164" s="5" t="s">
        <v>1365</v>
      </c>
      <c r="D164">
        <v>48</v>
      </c>
      <c r="E164" t="s">
        <v>23</v>
      </c>
      <c r="F164" t="s">
        <v>30</v>
      </c>
      <c r="G164" t="s">
        <v>67</v>
      </c>
      <c r="H164">
        <v>2</v>
      </c>
      <c r="I164">
        <v>4830</v>
      </c>
      <c r="J164">
        <v>0</v>
      </c>
      <c r="K164" t="s">
        <v>25</v>
      </c>
      <c r="L164" t="s">
        <v>363</v>
      </c>
      <c r="M164">
        <v>9660</v>
      </c>
      <c r="N164" t="s">
        <v>45</v>
      </c>
    </row>
    <row r="165" spans="1:14" x14ac:dyDescent="0.25">
      <c r="A165" t="s">
        <v>364</v>
      </c>
      <c r="B165" s="5">
        <v>45280</v>
      </c>
      <c r="C165" t="s">
        <v>82</v>
      </c>
      <c r="D165">
        <v>31</v>
      </c>
      <c r="E165" t="s">
        <v>16</v>
      </c>
      <c r="F165" t="s">
        <v>91</v>
      </c>
      <c r="G165" t="s">
        <v>114</v>
      </c>
      <c r="H165">
        <v>2</v>
      </c>
      <c r="I165">
        <v>80700</v>
      </c>
      <c r="K165" t="s">
        <v>41</v>
      </c>
      <c r="L165" t="s">
        <v>20</v>
      </c>
      <c r="M165">
        <v>161400</v>
      </c>
      <c r="N165" t="s">
        <v>45</v>
      </c>
    </row>
    <row r="166" spans="1:14" x14ac:dyDescent="0.25">
      <c r="A166" t="s">
        <v>365</v>
      </c>
      <c r="B166" s="5">
        <v>45259</v>
      </c>
      <c r="C166" t="s">
        <v>366</v>
      </c>
      <c r="D166">
        <v>35</v>
      </c>
      <c r="E166" t="s">
        <v>23</v>
      </c>
      <c r="F166" t="s">
        <v>54</v>
      </c>
      <c r="G166" t="s">
        <v>180</v>
      </c>
      <c r="H166">
        <v>2</v>
      </c>
      <c r="I166">
        <v>19300</v>
      </c>
      <c r="J166">
        <v>10</v>
      </c>
      <c r="K166" t="s">
        <v>19</v>
      </c>
      <c r="L166" t="s">
        <v>20</v>
      </c>
      <c r="M166">
        <v>34740</v>
      </c>
      <c r="N166" t="s">
        <v>45</v>
      </c>
    </row>
    <row r="167" spans="1:14" x14ac:dyDescent="0.25">
      <c r="A167" t="s">
        <v>367</v>
      </c>
      <c r="B167" s="5">
        <v>45210</v>
      </c>
      <c r="C167" t="s">
        <v>368</v>
      </c>
      <c r="D167">
        <v>51</v>
      </c>
      <c r="E167" t="s">
        <v>138</v>
      </c>
      <c r="F167" t="s">
        <v>54</v>
      </c>
      <c r="G167" t="s">
        <v>55</v>
      </c>
      <c r="H167">
        <v>1</v>
      </c>
      <c r="I167">
        <v>29600</v>
      </c>
      <c r="J167">
        <v>5</v>
      </c>
      <c r="K167" t="s">
        <v>369</v>
      </c>
      <c r="L167" t="s">
        <v>20</v>
      </c>
      <c r="M167">
        <v>28120</v>
      </c>
      <c r="N167" t="s">
        <v>26</v>
      </c>
    </row>
    <row r="168" spans="1:14" x14ac:dyDescent="0.25">
      <c r="A168" t="s">
        <v>370</v>
      </c>
      <c r="B168" s="5">
        <v>45199</v>
      </c>
      <c r="C168" t="s">
        <v>179</v>
      </c>
      <c r="D168">
        <v>31</v>
      </c>
      <c r="E168" t="s">
        <v>16</v>
      </c>
      <c r="F168" t="s">
        <v>220</v>
      </c>
      <c r="G168" t="s">
        <v>31</v>
      </c>
      <c r="H168">
        <v>7</v>
      </c>
      <c r="I168">
        <v>2173</v>
      </c>
      <c r="J168">
        <v>10</v>
      </c>
      <c r="K168" t="s">
        <v>19</v>
      </c>
      <c r="L168" t="s">
        <v>20</v>
      </c>
      <c r="M168">
        <v>13689.9</v>
      </c>
      <c r="N168" t="s">
        <v>38</v>
      </c>
    </row>
    <row r="169" spans="1:14" x14ac:dyDescent="0.25">
      <c r="A169" t="s">
        <v>371</v>
      </c>
      <c r="B169" s="5" t="s">
        <v>372</v>
      </c>
      <c r="D169">
        <v>31</v>
      </c>
      <c r="E169" t="s">
        <v>16</v>
      </c>
      <c r="F169" t="s">
        <v>30</v>
      </c>
      <c r="G169" t="s">
        <v>235</v>
      </c>
      <c r="H169">
        <v>7</v>
      </c>
      <c r="I169">
        <v>2356</v>
      </c>
      <c r="J169">
        <v>5</v>
      </c>
      <c r="K169" t="s">
        <v>19</v>
      </c>
      <c r="L169" t="s">
        <v>56</v>
      </c>
      <c r="M169">
        <v>15667.4</v>
      </c>
      <c r="N169" t="s">
        <v>38</v>
      </c>
    </row>
    <row r="170" spans="1:14" x14ac:dyDescent="0.25">
      <c r="A170" t="s">
        <v>373</v>
      </c>
      <c r="B170" s="5">
        <v>45223</v>
      </c>
      <c r="C170" t="s">
        <v>102</v>
      </c>
      <c r="D170">
        <v>30</v>
      </c>
      <c r="E170" t="s">
        <v>23</v>
      </c>
      <c r="F170" t="s">
        <v>17</v>
      </c>
      <c r="G170" t="s">
        <v>117</v>
      </c>
      <c r="H170">
        <v>3</v>
      </c>
      <c r="J170">
        <v>10</v>
      </c>
      <c r="K170" t="s">
        <v>50</v>
      </c>
      <c r="L170" t="s">
        <v>20</v>
      </c>
      <c r="N170" t="s">
        <v>45</v>
      </c>
    </row>
    <row r="171" spans="1:14" x14ac:dyDescent="0.25">
      <c r="A171" t="s">
        <v>374</v>
      </c>
      <c r="B171" s="5">
        <v>45059</v>
      </c>
      <c r="C171" t="s">
        <v>28</v>
      </c>
      <c r="D171">
        <v>48</v>
      </c>
      <c r="E171" t="s">
        <v>23</v>
      </c>
      <c r="F171" t="s">
        <v>30</v>
      </c>
      <c r="G171" t="s">
        <v>130</v>
      </c>
      <c r="H171">
        <v>5</v>
      </c>
      <c r="I171">
        <v>3333</v>
      </c>
      <c r="J171">
        <v>30</v>
      </c>
      <c r="K171" t="s">
        <v>41</v>
      </c>
      <c r="L171" t="s">
        <v>20</v>
      </c>
      <c r="M171">
        <v>11665.5</v>
      </c>
      <c r="N171" t="s">
        <v>375</v>
      </c>
    </row>
    <row r="172" spans="1:14" x14ac:dyDescent="0.25">
      <c r="A172" t="s">
        <v>376</v>
      </c>
      <c r="B172" s="5" t="s">
        <v>1366</v>
      </c>
      <c r="C172" t="s">
        <v>43</v>
      </c>
      <c r="D172">
        <v>26</v>
      </c>
      <c r="E172" t="s">
        <v>16</v>
      </c>
      <c r="F172" t="s">
        <v>30</v>
      </c>
      <c r="G172" t="s">
        <v>235</v>
      </c>
      <c r="H172">
        <v>3</v>
      </c>
      <c r="I172">
        <v>2448</v>
      </c>
      <c r="J172">
        <v>40</v>
      </c>
      <c r="K172" t="s">
        <v>19</v>
      </c>
      <c r="L172" t="s">
        <v>56</v>
      </c>
      <c r="M172">
        <v>4406.3999999999996</v>
      </c>
      <c r="N172" t="s">
        <v>26</v>
      </c>
    </row>
    <row r="173" spans="1:14" x14ac:dyDescent="0.25">
      <c r="A173" t="s">
        <v>377</v>
      </c>
      <c r="B173" s="5">
        <v>45096</v>
      </c>
      <c r="C173" t="s">
        <v>128</v>
      </c>
      <c r="D173">
        <v>26</v>
      </c>
      <c r="E173" t="s">
        <v>23</v>
      </c>
      <c r="F173" t="s">
        <v>30</v>
      </c>
      <c r="G173" t="s">
        <v>195</v>
      </c>
      <c r="H173">
        <v>1</v>
      </c>
      <c r="I173">
        <v>3323</v>
      </c>
      <c r="J173">
        <v>5</v>
      </c>
      <c r="K173" t="s">
        <v>50</v>
      </c>
      <c r="L173" t="s">
        <v>378</v>
      </c>
      <c r="M173">
        <v>3156.85</v>
      </c>
      <c r="N173" t="s">
        <v>379</v>
      </c>
    </row>
    <row r="174" spans="1:14" x14ac:dyDescent="0.25">
      <c r="A174" t="s">
        <v>380</v>
      </c>
      <c r="B174" s="5">
        <v>45239</v>
      </c>
      <c r="C174" t="s">
        <v>102</v>
      </c>
      <c r="D174">
        <v>34</v>
      </c>
      <c r="E174" t="s">
        <v>146</v>
      </c>
      <c r="F174" t="s">
        <v>54</v>
      </c>
      <c r="G174" t="s">
        <v>104</v>
      </c>
      <c r="H174">
        <v>1</v>
      </c>
      <c r="I174">
        <v>12800</v>
      </c>
      <c r="K174" t="s">
        <v>381</v>
      </c>
      <c r="L174" t="s">
        <v>20</v>
      </c>
      <c r="M174">
        <v>12800</v>
      </c>
      <c r="N174" t="s">
        <v>26</v>
      </c>
    </row>
    <row r="175" spans="1:14" x14ac:dyDescent="0.25">
      <c r="A175" t="s">
        <v>382</v>
      </c>
      <c r="B175" s="5">
        <v>45239</v>
      </c>
      <c r="C175" t="s">
        <v>156</v>
      </c>
      <c r="D175">
        <v>32</v>
      </c>
      <c r="E175" t="s">
        <v>29</v>
      </c>
      <c r="F175" t="s">
        <v>30</v>
      </c>
      <c r="G175" t="s">
        <v>121</v>
      </c>
      <c r="H175">
        <v>9</v>
      </c>
      <c r="I175">
        <v>6940</v>
      </c>
      <c r="J175">
        <v>30</v>
      </c>
      <c r="K175" t="s">
        <v>50</v>
      </c>
      <c r="L175" t="s">
        <v>51</v>
      </c>
      <c r="M175">
        <v>43722</v>
      </c>
      <c r="N175" t="s">
        <v>21</v>
      </c>
    </row>
    <row r="176" spans="1:14" x14ac:dyDescent="0.25">
      <c r="A176" t="s">
        <v>383</v>
      </c>
      <c r="B176" s="5">
        <v>45291</v>
      </c>
      <c r="C176" t="s">
        <v>102</v>
      </c>
      <c r="D176">
        <v>44</v>
      </c>
      <c r="E176" t="s">
        <v>23</v>
      </c>
      <c r="F176" t="s">
        <v>384</v>
      </c>
      <c r="G176" t="s">
        <v>121</v>
      </c>
      <c r="H176">
        <v>7</v>
      </c>
      <c r="I176">
        <v>4984</v>
      </c>
      <c r="J176">
        <v>30</v>
      </c>
      <c r="K176" t="s">
        <v>19</v>
      </c>
      <c r="L176" t="s">
        <v>204</v>
      </c>
      <c r="M176">
        <v>34888</v>
      </c>
      <c r="N176" t="s">
        <v>21</v>
      </c>
    </row>
    <row r="177" spans="1:14" x14ac:dyDescent="0.25">
      <c r="A177" t="s">
        <v>385</v>
      </c>
      <c r="B177" s="5" t="s">
        <v>386</v>
      </c>
      <c r="D177">
        <v>30</v>
      </c>
      <c r="E177" t="s">
        <v>16</v>
      </c>
      <c r="F177" t="s">
        <v>35</v>
      </c>
      <c r="G177" t="s">
        <v>36</v>
      </c>
      <c r="H177">
        <v>3</v>
      </c>
      <c r="I177">
        <v>1099</v>
      </c>
      <c r="J177">
        <v>5</v>
      </c>
      <c r="K177" t="s">
        <v>41</v>
      </c>
      <c r="L177" t="s">
        <v>51</v>
      </c>
      <c r="M177">
        <v>3132.15</v>
      </c>
      <c r="N177" t="s">
        <v>21</v>
      </c>
    </row>
    <row r="178" spans="1:14" x14ac:dyDescent="0.25">
      <c r="A178" t="s">
        <v>387</v>
      </c>
      <c r="B178" s="5">
        <v>45014</v>
      </c>
      <c r="D178">
        <v>39</v>
      </c>
      <c r="E178" t="s">
        <v>143</v>
      </c>
      <c r="F178" t="s">
        <v>35</v>
      </c>
      <c r="G178" t="s">
        <v>99</v>
      </c>
      <c r="H178">
        <v>10</v>
      </c>
      <c r="I178">
        <v>741</v>
      </c>
      <c r="J178">
        <v>40</v>
      </c>
      <c r="K178" t="s">
        <v>115</v>
      </c>
      <c r="L178" t="s">
        <v>20</v>
      </c>
      <c r="M178">
        <v>4446</v>
      </c>
      <c r="N178" t="s">
        <v>45</v>
      </c>
    </row>
    <row r="179" spans="1:14" x14ac:dyDescent="0.25">
      <c r="A179" t="s">
        <v>388</v>
      </c>
      <c r="B179" s="5" t="s">
        <v>389</v>
      </c>
      <c r="C179" t="s">
        <v>28</v>
      </c>
      <c r="D179">
        <v>33</v>
      </c>
      <c r="E179" t="s">
        <v>16</v>
      </c>
      <c r="F179" t="s">
        <v>30</v>
      </c>
      <c r="G179" t="s">
        <v>218</v>
      </c>
      <c r="H179">
        <v>1</v>
      </c>
      <c r="I179">
        <v>2462</v>
      </c>
      <c r="J179">
        <v>50</v>
      </c>
      <c r="K179" t="s">
        <v>41</v>
      </c>
      <c r="L179" t="s">
        <v>20</v>
      </c>
      <c r="M179">
        <v>1231</v>
      </c>
      <c r="N179" t="s">
        <v>21</v>
      </c>
    </row>
    <row r="180" spans="1:14" x14ac:dyDescent="0.25">
      <c r="A180" t="s">
        <v>390</v>
      </c>
      <c r="B180" s="5" t="s">
        <v>330</v>
      </c>
      <c r="D180">
        <v>32</v>
      </c>
      <c r="E180" t="s">
        <v>16</v>
      </c>
      <c r="F180" t="s">
        <v>384</v>
      </c>
      <c r="G180" t="s">
        <v>235</v>
      </c>
      <c r="H180">
        <v>6</v>
      </c>
      <c r="I180">
        <v>2882</v>
      </c>
      <c r="J180">
        <v>50</v>
      </c>
      <c r="K180" t="s">
        <v>19</v>
      </c>
      <c r="L180" t="s">
        <v>51</v>
      </c>
      <c r="M180">
        <v>8646</v>
      </c>
      <c r="N180" t="s">
        <v>38</v>
      </c>
    </row>
    <row r="181" spans="1:14" x14ac:dyDescent="0.25">
      <c r="A181" t="s">
        <v>391</v>
      </c>
      <c r="B181" s="5" t="s">
        <v>1367</v>
      </c>
      <c r="C181" t="s">
        <v>170</v>
      </c>
      <c r="D181">
        <v>47</v>
      </c>
      <c r="E181" t="s">
        <v>143</v>
      </c>
      <c r="F181" t="s">
        <v>30</v>
      </c>
      <c r="G181" t="s">
        <v>268</v>
      </c>
      <c r="H181">
        <v>99</v>
      </c>
      <c r="I181">
        <v>1359</v>
      </c>
      <c r="J181">
        <v>50</v>
      </c>
      <c r="K181" t="s">
        <v>41</v>
      </c>
      <c r="L181" t="s">
        <v>56</v>
      </c>
      <c r="M181">
        <v>67270.5</v>
      </c>
      <c r="N181" t="s">
        <v>38</v>
      </c>
    </row>
    <row r="182" spans="1:14" x14ac:dyDescent="0.25">
      <c r="A182" t="s">
        <v>392</v>
      </c>
      <c r="B182" s="5">
        <v>45210</v>
      </c>
      <c r="C182" t="s">
        <v>393</v>
      </c>
      <c r="D182">
        <v>54</v>
      </c>
      <c r="E182" t="s">
        <v>16</v>
      </c>
      <c r="F182" t="s">
        <v>30</v>
      </c>
      <c r="G182" t="s">
        <v>121</v>
      </c>
      <c r="H182">
        <v>9</v>
      </c>
      <c r="I182">
        <v>4106</v>
      </c>
      <c r="J182">
        <v>20</v>
      </c>
      <c r="K182" t="s">
        <v>41</v>
      </c>
      <c r="L182" t="s">
        <v>20</v>
      </c>
      <c r="M182">
        <v>29563.200000000001</v>
      </c>
      <c r="N182" t="s">
        <v>38</v>
      </c>
    </row>
    <row r="183" spans="1:14" x14ac:dyDescent="0.25">
      <c r="A183" t="s">
        <v>394</v>
      </c>
      <c r="B183" s="5" t="s">
        <v>229</v>
      </c>
      <c r="C183" t="s">
        <v>48</v>
      </c>
      <c r="D183">
        <v>27</v>
      </c>
      <c r="E183" t="s">
        <v>16</v>
      </c>
      <c r="F183" t="s">
        <v>30</v>
      </c>
      <c r="G183" t="s">
        <v>294</v>
      </c>
      <c r="H183">
        <v>10</v>
      </c>
      <c r="I183">
        <v>677</v>
      </c>
      <c r="J183">
        <v>25</v>
      </c>
      <c r="K183" t="s">
        <v>25</v>
      </c>
      <c r="L183" t="s">
        <v>56</v>
      </c>
      <c r="M183">
        <v>5077.5</v>
      </c>
      <c r="N183" t="s">
        <v>45</v>
      </c>
    </row>
    <row r="184" spans="1:14" x14ac:dyDescent="0.25">
      <c r="A184" t="s">
        <v>395</v>
      </c>
      <c r="B184" s="5">
        <v>45238</v>
      </c>
      <c r="C184" t="s">
        <v>192</v>
      </c>
      <c r="D184">
        <v>53</v>
      </c>
      <c r="E184" t="s">
        <v>138</v>
      </c>
      <c r="F184" t="s">
        <v>17</v>
      </c>
      <c r="G184" t="s">
        <v>94</v>
      </c>
      <c r="H184">
        <v>1</v>
      </c>
      <c r="I184">
        <v>2950</v>
      </c>
      <c r="J184">
        <v>5</v>
      </c>
      <c r="K184" t="s">
        <v>25</v>
      </c>
      <c r="L184" t="s">
        <v>56</v>
      </c>
      <c r="M184">
        <v>2802.5</v>
      </c>
      <c r="N184" t="s">
        <v>45</v>
      </c>
    </row>
    <row r="185" spans="1:14" x14ac:dyDescent="0.25">
      <c r="A185" t="s">
        <v>396</v>
      </c>
      <c r="B185" s="5">
        <v>45203</v>
      </c>
      <c r="C185" t="s">
        <v>165</v>
      </c>
      <c r="E185" t="s">
        <v>16</v>
      </c>
      <c r="F185" t="s">
        <v>384</v>
      </c>
      <c r="G185" t="s">
        <v>121</v>
      </c>
      <c r="H185">
        <v>4</v>
      </c>
      <c r="I185">
        <v>4083</v>
      </c>
      <c r="J185">
        <v>10</v>
      </c>
      <c r="K185" t="s">
        <v>41</v>
      </c>
      <c r="L185" t="s">
        <v>20</v>
      </c>
      <c r="M185">
        <v>14698.8</v>
      </c>
      <c r="N185" t="s">
        <v>38</v>
      </c>
    </row>
    <row r="186" spans="1:14" x14ac:dyDescent="0.25">
      <c r="A186" t="s">
        <v>397</v>
      </c>
      <c r="B186" s="5">
        <v>45087</v>
      </c>
      <c r="C186" t="s">
        <v>62</v>
      </c>
      <c r="E186" t="s">
        <v>23</v>
      </c>
      <c r="F186" t="s">
        <v>17</v>
      </c>
      <c r="G186" t="s">
        <v>49</v>
      </c>
      <c r="H186">
        <v>1</v>
      </c>
      <c r="I186">
        <v>1750</v>
      </c>
      <c r="J186">
        <v>50</v>
      </c>
      <c r="K186" t="s">
        <v>41</v>
      </c>
      <c r="L186" t="s">
        <v>20</v>
      </c>
      <c r="M186">
        <v>875</v>
      </c>
      <c r="N186" t="s">
        <v>38</v>
      </c>
    </row>
    <row r="187" spans="1:14" x14ac:dyDescent="0.25">
      <c r="A187" t="s">
        <v>398</v>
      </c>
      <c r="B187" s="5">
        <v>45236</v>
      </c>
      <c r="C187" t="s">
        <v>76</v>
      </c>
      <c r="D187">
        <v>999</v>
      </c>
      <c r="E187" t="s">
        <v>16</v>
      </c>
      <c r="F187" t="s">
        <v>17</v>
      </c>
      <c r="G187" t="s">
        <v>94</v>
      </c>
      <c r="H187">
        <v>2</v>
      </c>
      <c r="I187">
        <v>2800</v>
      </c>
      <c r="J187">
        <v>0</v>
      </c>
      <c r="K187" t="s">
        <v>50</v>
      </c>
      <c r="L187" t="s">
        <v>51</v>
      </c>
      <c r="M187">
        <v>5600</v>
      </c>
      <c r="N187" t="s">
        <v>45</v>
      </c>
    </row>
    <row r="188" spans="1:14" x14ac:dyDescent="0.25">
      <c r="A188" t="s">
        <v>399</v>
      </c>
      <c r="B188" s="5">
        <v>44968</v>
      </c>
      <c r="D188">
        <v>64</v>
      </c>
      <c r="E188" t="s">
        <v>16</v>
      </c>
      <c r="F188" t="s">
        <v>54</v>
      </c>
      <c r="G188" t="s">
        <v>180</v>
      </c>
      <c r="H188">
        <v>2</v>
      </c>
      <c r="I188">
        <v>18600</v>
      </c>
      <c r="J188">
        <v>10</v>
      </c>
      <c r="K188" t="s">
        <v>25</v>
      </c>
      <c r="L188" t="s">
        <v>20</v>
      </c>
      <c r="M188">
        <v>33480</v>
      </c>
      <c r="N188" t="s">
        <v>21</v>
      </c>
    </row>
    <row r="189" spans="1:14" x14ac:dyDescent="0.25">
      <c r="A189" t="s">
        <v>400</v>
      </c>
      <c r="B189" s="5">
        <v>45106</v>
      </c>
      <c r="C189" t="s">
        <v>28</v>
      </c>
      <c r="D189">
        <v>64</v>
      </c>
      <c r="E189" t="s">
        <v>16</v>
      </c>
      <c r="F189" t="s">
        <v>54</v>
      </c>
      <c r="G189" t="s">
        <v>77</v>
      </c>
      <c r="H189">
        <v>2</v>
      </c>
      <c r="I189">
        <v>22400</v>
      </c>
      <c r="J189">
        <v>0</v>
      </c>
      <c r="K189" t="s">
        <v>25</v>
      </c>
      <c r="L189" t="s">
        <v>51</v>
      </c>
      <c r="M189">
        <v>44800</v>
      </c>
      <c r="N189" t="s">
        <v>45</v>
      </c>
    </row>
    <row r="190" spans="1:14" x14ac:dyDescent="0.25">
      <c r="A190" t="s">
        <v>401</v>
      </c>
      <c r="B190" s="5" t="s">
        <v>1356</v>
      </c>
      <c r="C190" t="s">
        <v>87</v>
      </c>
      <c r="D190">
        <v>63</v>
      </c>
      <c r="E190" t="s">
        <v>16</v>
      </c>
      <c r="F190" t="s">
        <v>35</v>
      </c>
      <c r="G190" t="s">
        <v>99</v>
      </c>
      <c r="H190">
        <v>10</v>
      </c>
      <c r="I190">
        <v>1344</v>
      </c>
      <c r="J190">
        <v>0</v>
      </c>
      <c r="K190" t="s">
        <v>41</v>
      </c>
      <c r="L190" t="s">
        <v>20</v>
      </c>
      <c r="M190">
        <v>13440</v>
      </c>
      <c r="N190" t="s">
        <v>38</v>
      </c>
    </row>
    <row r="191" spans="1:14" x14ac:dyDescent="0.25">
      <c r="A191" t="s">
        <v>402</v>
      </c>
      <c r="B191" s="5">
        <v>44929</v>
      </c>
      <c r="D191">
        <v>59</v>
      </c>
      <c r="E191" t="s">
        <v>23</v>
      </c>
      <c r="F191" t="s">
        <v>30</v>
      </c>
      <c r="G191" t="s">
        <v>195</v>
      </c>
      <c r="H191">
        <v>8</v>
      </c>
      <c r="I191">
        <v>4606</v>
      </c>
      <c r="J191">
        <v>40</v>
      </c>
      <c r="K191" t="s">
        <v>50</v>
      </c>
      <c r="L191" t="s">
        <v>20</v>
      </c>
      <c r="M191">
        <v>22108.799999999999</v>
      </c>
      <c r="N191" t="s">
        <v>26</v>
      </c>
    </row>
    <row r="192" spans="1:14" x14ac:dyDescent="0.25">
      <c r="A192" t="s">
        <v>403</v>
      </c>
      <c r="B192" s="5">
        <v>45213</v>
      </c>
      <c r="C192" t="s">
        <v>170</v>
      </c>
      <c r="D192">
        <v>42</v>
      </c>
      <c r="E192" t="s">
        <v>23</v>
      </c>
      <c r="F192" t="s">
        <v>17</v>
      </c>
      <c r="G192" t="s">
        <v>189</v>
      </c>
      <c r="H192">
        <v>0</v>
      </c>
      <c r="I192">
        <v>3600</v>
      </c>
      <c r="J192">
        <v>25</v>
      </c>
      <c r="K192" t="s">
        <v>50</v>
      </c>
      <c r="L192" t="s">
        <v>51</v>
      </c>
      <c r="M192">
        <v>0</v>
      </c>
      <c r="N192" t="s">
        <v>352</v>
      </c>
    </row>
    <row r="193" spans="1:14" x14ac:dyDescent="0.25">
      <c r="A193" t="s">
        <v>404</v>
      </c>
      <c r="B193" s="5">
        <v>44941</v>
      </c>
      <c r="C193" t="s">
        <v>48</v>
      </c>
      <c r="D193">
        <v>20</v>
      </c>
      <c r="E193" t="s">
        <v>23</v>
      </c>
      <c r="F193" t="s">
        <v>17</v>
      </c>
      <c r="G193" t="s">
        <v>274</v>
      </c>
      <c r="H193">
        <v>3</v>
      </c>
      <c r="I193">
        <v>2050</v>
      </c>
      <c r="J193">
        <v>0</v>
      </c>
      <c r="K193" t="s">
        <v>50</v>
      </c>
      <c r="L193" t="s">
        <v>20</v>
      </c>
      <c r="M193">
        <v>6150</v>
      </c>
      <c r="N193" t="s">
        <v>26</v>
      </c>
    </row>
    <row r="194" spans="1:14" x14ac:dyDescent="0.25">
      <c r="A194" t="s">
        <v>405</v>
      </c>
      <c r="B194" s="5">
        <v>45167</v>
      </c>
      <c r="C194" t="s">
        <v>176</v>
      </c>
      <c r="D194">
        <v>23</v>
      </c>
      <c r="E194" t="s">
        <v>16</v>
      </c>
      <c r="F194" t="s">
        <v>17</v>
      </c>
      <c r="G194" t="s">
        <v>40</v>
      </c>
      <c r="H194">
        <v>2</v>
      </c>
      <c r="I194">
        <v>3100</v>
      </c>
      <c r="J194">
        <v>50</v>
      </c>
      <c r="K194" t="s">
        <v>25</v>
      </c>
      <c r="L194" t="s">
        <v>20</v>
      </c>
      <c r="M194">
        <v>3100</v>
      </c>
      <c r="N194" t="s">
        <v>45</v>
      </c>
    </row>
    <row r="195" spans="1:14" x14ac:dyDescent="0.25">
      <c r="A195" t="s">
        <v>406</v>
      </c>
      <c r="B195" s="5">
        <v>45271</v>
      </c>
      <c r="C195" t="s">
        <v>28</v>
      </c>
      <c r="D195">
        <v>21</v>
      </c>
      <c r="E195" t="s">
        <v>16</v>
      </c>
      <c r="F195" t="s">
        <v>17</v>
      </c>
      <c r="G195" t="s">
        <v>40</v>
      </c>
      <c r="H195">
        <v>2</v>
      </c>
      <c r="I195">
        <v>3150</v>
      </c>
      <c r="J195">
        <v>0</v>
      </c>
      <c r="K195" t="s">
        <v>326</v>
      </c>
      <c r="L195" t="s">
        <v>20</v>
      </c>
      <c r="M195">
        <v>6300</v>
      </c>
      <c r="N195" t="s">
        <v>38</v>
      </c>
    </row>
    <row r="196" spans="1:14" x14ac:dyDescent="0.25">
      <c r="A196" t="s">
        <v>407</v>
      </c>
      <c r="B196" s="5">
        <v>45252</v>
      </c>
      <c r="C196" t="s">
        <v>87</v>
      </c>
      <c r="D196">
        <v>44</v>
      </c>
      <c r="E196" t="s">
        <v>23</v>
      </c>
      <c r="F196" t="s">
        <v>17</v>
      </c>
      <c r="G196" t="s">
        <v>186</v>
      </c>
      <c r="H196">
        <v>1</v>
      </c>
      <c r="I196">
        <v>1500</v>
      </c>
      <c r="J196">
        <v>10</v>
      </c>
      <c r="K196" t="s">
        <v>41</v>
      </c>
      <c r="L196" t="s">
        <v>20</v>
      </c>
      <c r="M196">
        <v>1350</v>
      </c>
      <c r="N196" t="s">
        <v>356</v>
      </c>
    </row>
    <row r="197" spans="1:14" x14ac:dyDescent="0.25">
      <c r="A197" t="s">
        <v>408</v>
      </c>
      <c r="B197" s="5" t="s">
        <v>185</v>
      </c>
      <c r="C197" t="s">
        <v>102</v>
      </c>
      <c r="D197">
        <v>65</v>
      </c>
      <c r="E197" t="s">
        <v>23</v>
      </c>
      <c r="F197" t="s">
        <v>30</v>
      </c>
      <c r="G197" t="s">
        <v>235</v>
      </c>
      <c r="H197">
        <v>2</v>
      </c>
      <c r="I197">
        <v>2208</v>
      </c>
      <c r="J197">
        <v>15</v>
      </c>
      <c r="K197" t="s">
        <v>19</v>
      </c>
      <c r="L197" t="s">
        <v>20</v>
      </c>
      <c r="M197">
        <v>3753.6</v>
      </c>
      <c r="N197" t="s">
        <v>409</v>
      </c>
    </row>
    <row r="198" spans="1:14" x14ac:dyDescent="0.25">
      <c r="A198" t="s">
        <v>410</v>
      </c>
      <c r="B198" s="5">
        <v>45240</v>
      </c>
      <c r="C198" t="s">
        <v>411</v>
      </c>
      <c r="E198" t="s">
        <v>23</v>
      </c>
      <c r="F198" t="s">
        <v>30</v>
      </c>
      <c r="G198" t="s">
        <v>224</v>
      </c>
      <c r="H198">
        <v>5</v>
      </c>
      <c r="I198">
        <v>1062</v>
      </c>
      <c r="J198">
        <v>5</v>
      </c>
      <c r="K198" t="s">
        <v>41</v>
      </c>
      <c r="L198" t="s">
        <v>20</v>
      </c>
      <c r="M198">
        <v>1062</v>
      </c>
      <c r="N198" t="s">
        <v>45</v>
      </c>
    </row>
    <row r="199" spans="1:14" x14ac:dyDescent="0.25">
      <c r="A199" t="s">
        <v>412</v>
      </c>
      <c r="B199" s="5">
        <v>45211</v>
      </c>
      <c r="C199" t="s">
        <v>413</v>
      </c>
      <c r="D199">
        <v>57</v>
      </c>
      <c r="E199" t="s">
        <v>23</v>
      </c>
      <c r="F199" t="s">
        <v>35</v>
      </c>
      <c r="G199" t="s">
        <v>63</v>
      </c>
      <c r="H199">
        <v>99</v>
      </c>
      <c r="I199">
        <v>4294</v>
      </c>
      <c r="J199">
        <v>40</v>
      </c>
      <c r="K199" t="s">
        <v>41</v>
      </c>
      <c r="L199" t="s">
        <v>20</v>
      </c>
      <c r="M199">
        <v>255063.6</v>
      </c>
      <c r="N199" t="s">
        <v>21</v>
      </c>
    </row>
    <row r="200" spans="1:14" x14ac:dyDescent="0.25">
      <c r="A200" t="s">
        <v>414</v>
      </c>
      <c r="B200" s="5" t="s">
        <v>1368</v>
      </c>
      <c r="C200" t="s">
        <v>176</v>
      </c>
      <c r="D200">
        <v>38</v>
      </c>
      <c r="E200" t="s">
        <v>23</v>
      </c>
      <c r="F200" t="s">
        <v>30</v>
      </c>
      <c r="G200" t="s">
        <v>31</v>
      </c>
      <c r="H200">
        <v>8</v>
      </c>
      <c r="I200">
        <v>2700</v>
      </c>
      <c r="J200">
        <v>25</v>
      </c>
      <c r="K200" t="s">
        <v>41</v>
      </c>
      <c r="L200" t="s">
        <v>204</v>
      </c>
      <c r="M200">
        <v>16200</v>
      </c>
      <c r="N200" t="s">
        <v>45</v>
      </c>
    </row>
    <row r="201" spans="1:14" x14ac:dyDescent="0.25">
      <c r="A201" t="s">
        <v>415</v>
      </c>
      <c r="B201" s="5">
        <v>45035</v>
      </c>
      <c r="C201" t="s">
        <v>173</v>
      </c>
      <c r="D201">
        <v>21</v>
      </c>
      <c r="E201" t="s">
        <v>23</v>
      </c>
      <c r="F201" t="s">
        <v>30</v>
      </c>
      <c r="G201" t="s">
        <v>130</v>
      </c>
      <c r="H201">
        <v>5</v>
      </c>
      <c r="I201">
        <v>2776</v>
      </c>
      <c r="J201">
        <v>40</v>
      </c>
      <c r="K201" t="s">
        <v>25</v>
      </c>
      <c r="L201" t="s">
        <v>20</v>
      </c>
      <c r="M201">
        <v>8328</v>
      </c>
      <c r="N201" t="s">
        <v>21</v>
      </c>
    </row>
    <row r="202" spans="1:14" x14ac:dyDescent="0.25">
      <c r="A202" t="s">
        <v>416</v>
      </c>
      <c r="B202" s="5" t="s">
        <v>229</v>
      </c>
      <c r="C202" t="s">
        <v>358</v>
      </c>
      <c r="D202">
        <v>20</v>
      </c>
      <c r="E202" t="s">
        <v>16</v>
      </c>
      <c r="F202" t="s">
        <v>17</v>
      </c>
      <c r="G202" t="s">
        <v>189</v>
      </c>
      <c r="H202">
        <v>3</v>
      </c>
      <c r="J202">
        <v>25</v>
      </c>
      <c r="K202" t="s">
        <v>19</v>
      </c>
      <c r="L202" t="s">
        <v>417</v>
      </c>
      <c r="N202" t="s">
        <v>38</v>
      </c>
    </row>
    <row r="203" spans="1:14" x14ac:dyDescent="0.25">
      <c r="A203" t="s">
        <v>418</v>
      </c>
      <c r="B203" s="5">
        <v>45048</v>
      </c>
      <c r="C203" t="s">
        <v>102</v>
      </c>
      <c r="D203">
        <v>47</v>
      </c>
      <c r="E203" t="s">
        <v>23</v>
      </c>
      <c r="F203" t="s">
        <v>54</v>
      </c>
      <c r="G203" t="s">
        <v>348</v>
      </c>
      <c r="H203">
        <v>2</v>
      </c>
      <c r="I203">
        <v>473197</v>
      </c>
      <c r="J203">
        <v>15</v>
      </c>
      <c r="K203" t="s">
        <v>25</v>
      </c>
      <c r="L203" t="s">
        <v>363</v>
      </c>
      <c r="M203">
        <v>473197</v>
      </c>
      <c r="N203" t="s">
        <v>26</v>
      </c>
    </row>
    <row r="204" spans="1:14" x14ac:dyDescent="0.25">
      <c r="A204" t="s">
        <v>419</v>
      </c>
      <c r="B204" s="5">
        <v>45258</v>
      </c>
      <c r="C204" t="s">
        <v>318</v>
      </c>
      <c r="D204">
        <v>18</v>
      </c>
      <c r="E204" t="s">
        <v>23</v>
      </c>
      <c r="F204" t="s">
        <v>35</v>
      </c>
      <c r="G204" t="s">
        <v>331</v>
      </c>
      <c r="H204">
        <v>9</v>
      </c>
      <c r="I204">
        <v>284</v>
      </c>
      <c r="K204" t="s">
        <v>19</v>
      </c>
      <c r="L204" t="s">
        <v>20</v>
      </c>
      <c r="M204">
        <v>2556</v>
      </c>
      <c r="N204" t="s">
        <v>45</v>
      </c>
    </row>
    <row r="205" spans="1:14" x14ac:dyDescent="0.25">
      <c r="A205" t="s">
        <v>420</v>
      </c>
      <c r="B205" s="5" t="s">
        <v>1369</v>
      </c>
      <c r="C205" t="s">
        <v>87</v>
      </c>
      <c r="D205">
        <v>62</v>
      </c>
      <c r="E205" t="s">
        <v>23</v>
      </c>
      <c r="F205" t="s">
        <v>17</v>
      </c>
      <c r="G205" t="s">
        <v>259</v>
      </c>
      <c r="H205">
        <v>20</v>
      </c>
      <c r="I205">
        <v>4950</v>
      </c>
      <c r="J205">
        <v>20</v>
      </c>
      <c r="K205" t="s">
        <v>115</v>
      </c>
      <c r="L205" t="s">
        <v>20</v>
      </c>
      <c r="M205">
        <v>79200</v>
      </c>
      <c r="N205" t="s">
        <v>45</v>
      </c>
    </row>
    <row r="206" spans="1:14" x14ac:dyDescent="0.25">
      <c r="A206" t="s">
        <v>421</v>
      </c>
      <c r="B206" s="5">
        <v>45281</v>
      </c>
      <c r="C206" t="s">
        <v>102</v>
      </c>
      <c r="D206">
        <v>62</v>
      </c>
      <c r="E206" t="s">
        <v>143</v>
      </c>
      <c r="F206" t="s">
        <v>30</v>
      </c>
      <c r="G206" t="s">
        <v>135</v>
      </c>
      <c r="H206">
        <v>2</v>
      </c>
      <c r="I206">
        <v>9426</v>
      </c>
      <c r="J206">
        <v>10</v>
      </c>
      <c r="K206" t="s">
        <v>50</v>
      </c>
      <c r="L206" t="s">
        <v>20</v>
      </c>
      <c r="M206">
        <v>16966.8</v>
      </c>
      <c r="N206" t="s">
        <v>295</v>
      </c>
    </row>
    <row r="207" spans="1:14" x14ac:dyDescent="0.25">
      <c r="A207" t="s">
        <v>422</v>
      </c>
      <c r="B207" s="5">
        <v>44958</v>
      </c>
      <c r="C207" t="s">
        <v>82</v>
      </c>
      <c r="D207">
        <v>22</v>
      </c>
      <c r="E207" t="s">
        <v>23</v>
      </c>
      <c r="F207" t="s">
        <v>17</v>
      </c>
      <c r="G207" t="s">
        <v>274</v>
      </c>
      <c r="H207">
        <v>2</v>
      </c>
      <c r="I207">
        <v>2150</v>
      </c>
      <c r="J207">
        <v>30</v>
      </c>
      <c r="K207" t="s">
        <v>25</v>
      </c>
      <c r="L207" t="s">
        <v>20</v>
      </c>
      <c r="M207">
        <v>3010</v>
      </c>
      <c r="N207" t="s">
        <v>21</v>
      </c>
    </row>
    <row r="208" spans="1:14" x14ac:dyDescent="0.25">
      <c r="A208" t="s">
        <v>423</v>
      </c>
      <c r="B208" s="5" t="s">
        <v>424</v>
      </c>
      <c r="C208" t="s">
        <v>62</v>
      </c>
      <c r="D208">
        <v>49</v>
      </c>
      <c r="E208" t="s">
        <v>16</v>
      </c>
      <c r="F208" t="s">
        <v>35</v>
      </c>
      <c r="G208" t="s">
        <v>99</v>
      </c>
      <c r="H208">
        <v>4</v>
      </c>
      <c r="I208">
        <v>656</v>
      </c>
      <c r="J208">
        <v>5</v>
      </c>
      <c r="K208" t="s">
        <v>41</v>
      </c>
      <c r="L208" t="s">
        <v>20</v>
      </c>
      <c r="M208">
        <v>2492.8000000000002</v>
      </c>
      <c r="N208" t="s">
        <v>21</v>
      </c>
    </row>
    <row r="209" spans="1:14" x14ac:dyDescent="0.25">
      <c r="A209" t="s">
        <v>425</v>
      </c>
      <c r="B209" s="5">
        <v>45210</v>
      </c>
      <c r="D209">
        <v>27</v>
      </c>
      <c r="E209" t="s">
        <v>16</v>
      </c>
      <c r="F209" t="s">
        <v>35</v>
      </c>
      <c r="G209" t="s">
        <v>99</v>
      </c>
      <c r="H209">
        <v>8</v>
      </c>
      <c r="I209">
        <v>1098</v>
      </c>
      <c r="J209">
        <v>5</v>
      </c>
      <c r="K209" t="s">
        <v>19</v>
      </c>
      <c r="L209" t="s">
        <v>51</v>
      </c>
      <c r="M209">
        <v>8344.7999999999993</v>
      </c>
      <c r="N209" t="s">
        <v>26</v>
      </c>
    </row>
    <row r="210" spans="1:14" x14ac:dyDescent="0.25">
      <c r="A210" t="s">
        <v>426</v>
      </c>
      <c r="B210" s="5" t="s">
        <v>288</v>
      </c>
      <c r="C210" t="s">
        <v>128</v>
      </c>
      <c r="D210">
        <v>51</v>
      </c>
      <c r="E210" t="s">
        <v>16</v>
      </c>
      <c r="F210" t="s">
        <v>291</v>
      </c>
      <c r="G210" t="s">
        <v>274</v>
      </c>
      <c r="H210">
        <v>3</v>
      </c>
      <c r="I210">
        <v>3200</v>
      </c>
      <c r="J210">
        <v>10</v>
      </c>
      <c r="K210" t="s">
        <v>19</v>
      </c>
      <c r="L210" t="s">
        <v>20</v>
      </c>
      <c r="M210">
        <v>8640</v>
      </c>
      <c r="N210" t="s">
        <v>21</v>
      </c>
    </row>
    <row r="211" spans="1:14" x14ac:dyDescent="0.25">
      <c r="A211" t="s">
        <v>427</v>
      </c>
      <c r="B211" s="5">
        <v>45225</v>
      </c>
      <c r="D211">
        <v>21</v>
      </c>
      <c r="E211" t="s">
        <v>16</v>
      </c>
      <c r="F211" t="s">
        <v>54</v>
      </c>
      <c r="G211" t="s">
        <v>199</v>
      </c>
      <c r="H211">
        <v>1</v>
      </c>
      <c r="I211">
        <v>57600</v>
      </c>
      <c r="J211">
        <v>10</v>
      </c>
      <c r="K211" t="s">
        <v>41</v>
      </c>
      <c r="L211" t="s">
        <v>20</v>
      </c>
      <c r="M211">
        <v>51840</v>
      </c>
      <c r="N211" t="s">
        <v>26</v>
      </c>
    </row>
    <row r="212" spans="1:14" x14ac:dyDescent="0.25">
      <c r="A212" t="s">
        <v>428</v>
      </c>
      <c r="B212" s="5" t="s">
        <v>440</v>
      </c>
      <c r="C212" t="s">
        <v>243</v>
      </c>
      <c r="E212" t="s">
        <v>23</v>
      </c>
      <c r="F212" t="s">
        <v>35</v>
      </c>
      <c r="G212" t="s">
        <v>213</v>
      </c>
      <c r="H212">
        <v>6</v>
      </c>
      <c r="I212">
        <v>585</v>
      </c>
      <c r="J212">
        <v>0</v>
      </c>
      <c r="K212" t="s">
        <v>41</v>
      </c>
      <c r="L212" t="s">
        <v>51</v>
      </c>
      <c r="M212">
        <v>3510</v>
      </c>
      <c r="N212" t="s">
        <v>21</v>
      </c>
    </row>
    <row r="213" spans="1:14" x14ac:dyDescent="0.25">
      <c r="A213" t="s">
        <v>429</v>
      </c>
      <c r="B213" s="5">
        <v>45214</v>
      </c>
      <c r="D213">
        <v>29</v>
      </c>
      <c r="E213" t="s">
        <v>16</v>
      </c>
      <c r="F213" t="s">
        <v>30</v>
      </c>
      <c r="G213" t="s">
        <v>268</v>
      </c>
      <c r="H213">
        <v>6</v>
      </c>
      <c r="I213">
        <v>1620</v>
      </c>
      <c r="K213" t="s">
        <v>19</v>
      </c>
      <c r="L213" t="s">
        <v>37</v>
      </c>
      <c r="M213">
        <v>9720</v>
      </c>
      <c r="N213" t="s">
        <v>21</v>
      </c>
    </row>
    <row r="214" spans="1:14" x14ac:dyDescent="0.25">
      <c r="A214" t="s">
        <v>430</v>
      </c>
      <c r="B214" s="5">
        <v>45172</v>
      </c>
      <c r="C214" t="s">
        <v>431</v>
      </c>
      <c r="D214">
        <v>36</v>
      </c>
      <c r="E214" t="s">
        <v>23</v>
      </c>
      <c r="F214" t="s">
        <v>35</v>
      </c>
      <c r="G214" t="s">
        <v>271</v>
      </c>
      <c r="H214">
        <v>4</v>
      </c>
      <c r="I214">
        <v>600</v>
      </c>
      <c r="J214">
        <v>0</v>
      </c>
      <c r="K214" t="s">
        <v>41</v>
      </c>
      <c r="L214" t="s">
        <v>20</v>
      </c>
      <c r="M214">
        <v>2400</v>
      </c>
      <c r="N214" t="s">
        <v>21</v>
      </c>
    </row>
    <row r="215" spans="1:14" x14ac:dyDescent="0.25">
      <c r="A215" t="s">
        <v>432</v>
      </c>
      <c r="B215" s="5">
        <v>45194</v>
      </c>
      <c r="D215">
        <v>28</v>
      </c>
      <c r="E215" t="s">
        <v>44</v>
      </c>
      <c r="F215" t="s">
        <v>433</v>
      </c>
      <c r="G215" t="s">
        <v>189</v>
      </c>
      <c r="H215">
        <v>3</v>
      </c>
      <c r="I215">
        <v>2500</v>
      </c>
      <c r="J215">
        <v>0</v>
      </c>
      <c r="K215" t="s">
        <v>25</v>
      </c>
      <c r="L215" t="s">
        <v>56</v>
      </c>
      <c r="M215">
        <v>7500</v>
      </c>
      <c r="N215" t="s">
        <v>45</v>
      </c>
    </row>
    <row r="216" spans="1:14" x14ac:dyDescent="0.25">
      <c r="A216" t="s">
        <v>434</v>
      </c>
      <c r="B216" s="5">
        <v>45186</v>
      </c>
      <c r="C216" t="s">
        <v>176</v>
      </c>
      <c r="D216">
        <v>25</v>
      </c>
      <c r="E216" t="s">
        <v>23</v>
      </c>
      <c r="F216" t="s">
        <v>30</v>
      </c>
      <c r="G216" t="s">
        <v>294</v>
      </c>
      <c r="H216">
        <v>9</v>
      </c>
      <c r="I216">
        <v>317</v>
      </c>
      <c r="J216">
        <v>15</v>
      </c>
      <c r="K216" t="s">
        <v>41</v>
      </c>
      <c r="L216" t="s">
        <v>20</v>
      </c>
      <c r="M216">
        <v>9700.2000000000007</v>
      </c>
      <c r="N216" t="s">
        <v>21</v>
      </c>
    </row>
    <row r="217" spans="1:14" x14ac:dyDescent="0.25">
      <c r="A217" t="s">
        <v>435</v>
      </c>
      <c r="B217" s="5">
        <v>45206</v>
      </c>
      <c r="C217" t="s">
        <v>156</v>
      </c>
      <c r="D217">
        <v>29</v>
      </c>
      <c r="E217" t="s">
        <v>16</v>
      </c>
      <c r="F217" t="s">
        <v>54</v>
      </c>
      <c r="G217" t="s">
        <v>237</v>
      </c>
      <c r="H217">
        <v>1</v>
      </c>
      <c r="I217">
        <v>52000</v>
      </c>
      <c r="J217">
        <v>15</v>
      </c>
      <c r="K217" t="s">
        <v>19</v>
      </c>
      <c r="L217" t="s">
        <v>20</v>
      </c>
      <c r="M217">
        <v>44200</v>
      </c>
      <c r="N217" t="s">
        <v>26</v>
      </c>
    </row>
    <row r="218" spans="1:14" x14ac:dyDescent="0.25">
      <c r="A218" t="s">
        <v>436</v>
      </c>
      <c r="B218" s="5">
        <v>45289</v>
      </c>
      <c r="C218" t="s">
        <v>165</v>
      </c>
      <c r="D218">
        <v>33</v>
      </c>
      <c r="E218" t="s">
        <v>16</v>
      </c>
      <c r="F218" t="s">
        <v>17</v>
      </c>
      <c r="G218" t="s">
        <v>80</v>
      </c>
      <c r="H218">
        <v>1</v>
      </c>
      <c r="I218">
        <v>7450</v>
      </c>
      <c r="J218">
        <v>80</v>
      </c>
      <c r="K218" t="s">
        <v>19</v>
      </c>
      <c r="L218" t="s">
        <v>20</v>
      </c>
      <c r="M218">
        <v>1490</v>
      </c>
      <c r="N218" t="s">
        <v>38</v>
      </c>
    </row>
    <row r="219" spans="1:14" x14ac:dyDescent="0.25">
      <c r="A219" t="s">
        <v>437</v>
      </c>
      <c r="B219" s="5" t="s">
        <v>1034</v>
      </c>
      <c r="C219" t="s">
        <v>179</v>
      </c>
      <c r="D219">
        <v>36</v>
      </c>
      <c r="E219" t="s">
        <v>23</v>
      </c>
      <c r="F219" t="s">
        <v>438</v>
      </c>
      <c r="G219" t="s">
        <v>18</v>
      </c>
      <c r="H219">
        <v>2</v>
      </c>
      <c r="I219">
        <v>2550</v>
      </c>
      <c r="J219">
        <v>25</v>
      </c>
      <c r="K219" t="s">
        <v>50</v>
      </c>
      <c r="L219" t="s">
        <v>363</v>
      </c>
      <c r="M219">
        <v>3825</v>
      </c>
      <c r="N219" t="s">
        <v>38</v>
      </c>
    </row>
    <row r="220" spans="1:14" x14ac:dyDescent="0.25">
      <c r="A220" t="s">
        <v>439</v>
      </c>
      <c r="B220" s="5" t="s">
        <v>440</v>
      </c>
      <c r="D220">
        <v>48</v>
      </c>
      <c r="E220" t="s">
        <v>16</v>
      </c>
      <c r="F220" t="s">
        <v>35</v>
      </c>
      <c r="G220" t="s">
        <v>111</v>
      </c>
      <c r="H220">
        <v>8</v>
      </c>
      <c r="I220">
        <v>240</v>
      </c>
      <c r="J220">
        <v>50</v>
      </c>
      <c r="K220" t="s">
        <v>25</v>
      </c>
      <c r="L220" t="s">
        <v>37</v>
      </c>
      <c r="M220">
        <v>960</v>
      </c>
      <c r="N220" t="s">
        <v>349</v>
      </c>
    </row>
    <row r="221" spans="1:14" x14ac:dyDescent="0.25">
      <c r="A221" t="s">
        <v>441</v>
      </c>
      <c r="B221" s="5">
        <v>44927</v>
      </c>
      <c r="C221" t="s">
        <v>128</v>
      </c>
      <c r="D221">
        <v>59</v>
      </c>
      <c r="E221" t="s">
        <v>16</v>
      </c>
      <c r="F221" t="s">
        <v>54</v>
      </c>
      <c r="G221" t="s">
        <v>282</v>
      </c>
      <c r="H221">
        <v>1</v>
      </c>
      <c r="I221">
        <v>18700</v>
      </c>
      <c r="J221">
        <v>25</v>
      </c>
      <c r="K221" t="s">
        <v>50</v>
      </c>
      <c r="L221" t="s">
        <v>20</v>
      </c>
      <c r="M221">
        <v>14025</v>
      </c>
      <c r="N221" t="s">
        <v>45</v>
      </c>
    </row>
    <row r="222" spans="1:14" x14ac:dyDescent="0.25">
      <c r="A222" t="s">
        <v>442</v>
      </c>
      <c r="B222" s="5">
        <v>45271</v>
      </c>
      <c r="C222" t="s">
        <v>28</v>
      </c>
      <c r="D222">
        <v>18</v>
      </c>
      <c r="E222" t="s">
        <v>443</v>
      </c>
      <c r="F222" t="s">
        <v>30</v>
      </c>
      <c r="G222" t="s">
        <v>218</v>
      </c>
      <c r="H222">
        <v>9</v>
      </c>
      <c r="I222">
        <v>2206</v>
      </c>
      <c r="J222">
        <v>10</v>
      </c>
      <c r="K222" t="s">
        <v>25</v>
      </c>
      <c r="L222" t="s">
        <v>20</v>
      </c>
      <c r="M222">
        <v>17868.599999999999</v>
      </c>
      <c r="N222" t="s">
        <v>45</v>
      </c>
    </row>
    <row r="223" spans="1:14" x14ac:dyDescent="0.25">
      <c r="A223" t="s">
        <v>444</v>
      </c>
      <c r="B223" s="5">
        <v>45046</v>
      </c>
      <c r="C223" t="s">
        <v>152</v>
      </c>
      <c r="D223">
        <v>48</v>
      </c>
      <c r="E223" t="s">
        <v>23</v>
      </c>
      <c r="F223" t="s">
        <v>30</v>
      </c>
      <c r="G223" t="s">
        <v>235</v>
      </c>
      <c r="H223">
        <v>2</v>
      </c>
      <c r="I223">
        <v>2412</v>
      </c>
      <c r="J223">
        <v>0</v>
      </c>
      <c r="K223" t="s">
        <v>445</v>
      </c>
      <c r="L223" t="s">
        <v>56</v>
      </c>
      <c r="M223">
        <v>4824</v>
      </c>
      <c r="N223" t="s">
        <v>349</v>
      </c>
    </row>
    <row r="224" spans="1:14" x14ac:dyDescent="0.25">
      <c r="A224" t="s">
        <v>446</v>
      </c>
      <c r="B224" s="5">
        <v>45276</v>
      </c>
      <c r="C224" t="s">
        <v>156</v>
      </c>
      <c r="E224" t="s">
        <v>23</v>
      </c>
      <c r="F224" t="s">
        <v>17</v>
      </c>
      <c r="G224" t="s">
        <v>49</v>
      </c>
      <c r="H224">
        <v>2</v>
      </c>
      <c r="I224">
        <v>1350</v>
      </c>
      <c r="J224">
        <v>10</v>
      </c>
      <c r="K224" t="s">
        <v>50</v>
      </c>
      <c r="L224" t="s">
        <v>20</v>
      </c>
      <c r="M224">
        <v>2430</v>
      </c>
      <c r="N224" t="s">
        <v>26</v>
      </c>
    </row>
    <row r="225" spans="1:14" x14ac:dyDescent="0.25">
      <c r="A225" t="s">
        <v>447</v>
      </c>
      <c r="B225" s="5">
        <v>45215</v>
      </c>
      <c r="C225" t="s">
        <v>337</v>
      </c>
      <c r="D225">
        <v>30</v>
      </c>
      <c r="E225" t="s">
        <v>143</v>
      </c>
      <c r="F225" t="s">
        <v>54</v>
      </c>
      <c r="G225" t="s">
        <v>237</v>
      </c>
      <c r="H225">
        <v>1</v>
      </c>
      <c r="I225">
        <v>31400</v>
      </c>
      <c r="J225">
        <v>0</v>
      </c>
      <c r="K225" t="s">
        <v>25</v>
      </c>
      <c r="L225" t="s">
        <v>51</v>
      </c>
      <c r="M225">
        <v>31400</v>
      </c>
      <c r="N225" t="s">
        <v>21</v>
      </c>
    </row>
    <row r="226" spans="1:14" x14ac:dyDescent="0.25">
      <c r="A226" t="s">
        <v>448</v>
      </c>
      <c r="B226" s="5">
        <v>45140</v>
      </c>
      <c r="C226" t="s">
        <v>87</v>
      </c>
      <c r="D226">
        <v>55</v>
      </c>
      <c r="E226" t="s">
        <v>23</v>
      </c>
      <c r="F226" t="s">
        <v>54</v>
      </c>
      <c r="G226" t="s">
        <v>280</v>
      </c>
      <c r="H226">
        <v>1</v>
      </c>
      <c r="I226">
        <v>70400</v>
      </c>
      <c r="J226">
        <v>10</v>
      </c>
      <c r="K226" t="s">
        <v>25</v>
      </c>
      <c r="L226" t="s">
        <v>449</v>
      </c>
      <c r="M226">
        <v>63360</v>
      </c>
      <c r="N226" t="s">
        <v>26</v>
      </c>
    </row>
    <row r="227" spans="1:14" x14ac:dyDescent="0.25">
      <c r="A227" t="s">
        <v>450</v>
      </c>
      <c r="B227" s="5">
        <v>45126</v>
      </c>
      <c r="C227" t="s">
        <v>152</v>
      </c>
      <c r="D227">
        <v>47</v>
      </c>
      <c r="E227" t="s">
        <v>44</v>
      </c>
      <c r="F227" t="s">
        <v>17</v>
      </c>
      <c r="G227" t="s">
        <v>274</v>
      </c>
      <c r="H227">
        <v>2</v>
      </c>
      <c r="I227">
        <v>4400</v>
      </c>
      <c r="J227">
        <v>5</v>
      </c>
      <c r="K227" t="s">
        <v>19</v>
      </c>
      <c r="L227" t="s">
        <v>20</v>
      </c>
      <c r="M227">
        <v>8360</v>
      </c>
      <c r="N227" t="s">
        <v>26</v>
      </c>
    </row>
    <row r="228" spans="1:14" x14ac:dyDescent="0.25">
      <c r="A228" t="s">
        <v>451</v>
      </c>
      <c r="B228" s="5">
        <v>45018</v>
      </c>
      <c r="C228" t="s">
        <v>452</v>
      </c>
      <c r="D228">
        <v>58</v>
      </c>
      <c r="E228" t="s">
        <v>16</v>
      </c>
      <c r="F228" t="s">
        <v>30</v>
      </c>
      <c r="G228" t="s">
        <v>60</v>
      </c>
      <c r="H228">
        <v>3</v>
      </c>
      <c r="I228">
        <v>5414</v>
      </c>
      <c r="J228">
        <v>-10</v>
      </c>
      <c r="K228" t="s">
        <v>41</v>
      </c>
      <c r="L228" t="s">
        <v>20</v>
      </c>
      <c r="M228">
        <v>17866.2</v>
      </c>
      <c r="N228" t="s">
        <v>276</v>
      </c>
    </row>
    <row r="229" spans="1:14" x14ac:dyDescent="0.25">
      <c r="A229" t="s">
        <v>453</v>
      </c>
      <c r="B229" s="5">
        <v>44988</v>
      </c>
      <c r="C229" t="s">
        <v>102</v>
      </c>
      <c r="D229">
        <v>21</v>
      </c>
      <c r="E229" t="s">
        <v>23</v>
      </c>
      <c r="F229" t="s">
        <v>54</v>
      </c>
      <c r="G229" t="s">
        <v>114</v>
      </c>
      <c r="H229">
        <v>1</v>
      </c>
      <c r="I229">
        <v>75800</v>
      </c>
      <c r="J229">
        <v>10</v>
      </c>
      <c r="K229" t="s">
        <v>222</v>
      </c>
      <c r="L229" t="s">
        <v>20</v>
      </c>
      <c r="M229">
        <v>68220</v>
      </c>
      <c r="N229" t="s">
        <v>21</v>
      </c>
    </row>
    <row r="230" spans="1:14" x14ac:dyDescent="0.25">
      <c r="A230" t="s">
        <v>454</v>
      </c>
      <c r="B230" s="5">
        <v>45264</v>
      </c>
      <c r="C230" t="s">
        <v>265</v>
      </c>
      <c r="D230">
        <v>59</v>
      </c>
      <c r="E230" t="s">
        <v>16</v>
      </c>
      <c r="F230" t="s">
        <v>35</v>
      </c>
      <c r="G230" t="s">
        <v>63</v>
      </c>
      <c r="H230">
        <v>8</v>
      </c>
      <c r="I230">
        <v>3352</v>
      </c>
      <c r="J230">
        <v>20</v>
      </c>
      <c r="K230" t="s">
        <v>41</v>
      </c>
      <c r="L230" t="s">
        <v>417</v>
      </c>
      <c r="M230">
        <v>21452.799999999999</v>
      </c>
      <c r="N230" t="s">
        <v>45</v>
      </c>
    </row>
    <row r="231" spans="1:14" x14ac:dyDescent="0.25">
      <c r="A231" t="s">
        <v>303</v>
      </c>
      <c r="B231" s="5">
        <v>44934</v>
      </c>
      <c r="C231" t="s">
        <v>48</v>
      </c>
      <c r="D231">
        <v>54</v>
      </c>
      <c r="E231" t="s">
        <v>16</v>
      </c>
      <c r="F231" t="s">
        <v>30</v>
      </c>
      <c r="G231" t="s">
        <v>135</v>
      </c>
      <c r="H231">
        <v>8</v>
      </c>
      <c r="I231">
        <v>14370</v>
      </c>
      <c r="J231">
        <v>0</v>
      </c>
      <c r="K231" t="s">
        <v>41</v>
      </c>
      <c r="L231" t="s">
        <v>56</v>
      </c>
      <c r="M231">
        <v>114960</v>
      </c>
      <c r="N231" t="s">
        <v>45</v>
      </c>
    </row>
    <row r="232" spans="1:14" x14ac:dyDescent="0.25">
      <c r="A232" t="s">
        <v>455</v>
      </c>
      <c r="B232" s="5">
        <v>45100</v>
      </c>
      <c r="C232" t="s">
        <v>128</v>
      </c>
      <c r="D232">
        <v>35</v>
      </c>
      <c r="E232" t="s">
        <v>146</v>
      </c>
      <c r="F232" t="s">
        <v>30</v>
      </c>
      <c r="G232" t="s">
        <v>130</v>
      </c>
      <c r="H232">
        <v>2</v>
      </c>
      <c r="I232">
        <v>3596</v>
      </c>
      <c r="J232">
        <v>15</v>
      </c>
      <c r="K232" t="s">
        <v>41</v>
      </c>
      <c r="L232" t="s">
        <v>51</v>
      </c>
      <c r="M232">
        <v>6113.2</v>
      </c>
      <c r="N232" t="s">
        <v>26</v>
      </c>
    </row>
    <row r="233" spans="1:14" x14ac:dyDescent="0.25">
      <c r="A233" t="s">
        <v>456</v>
      </c>
      <c r="B233" s="5">
        <v>44955</v>
      </c>
      <c r="C233" t="s">
        <v>217</v>
      </c>
      <c r="D233">
        <v>32</v>
      </c>
      <c r="E233" t="s">
        <v>138</v>
      </c>
      <c r="F233" t="s">
        <v>17</v>
      </c>
      <c r="G233" t="s">
        <v>80</v>
      </c>
      <c r="H233">
        <v>2</v>
      </c>
      <c r="I233">
        <v>5150</v>
      </c>
      <c r="J233">
        <v>5</v>
      </c>
      <c r="K233" t="s">
        <v>41</v>
      </c>
      <c r="L233" t="s">
        <v>51</v>
      </c>
      <c r="M233">
        <v>9785</v>
      </c>
      <c r="N233" t="s">
        <v>26</v>
      </c>
    </row>
    <row r="234" spans="1:14" x14ac:dyDescent="0.25">
      <c r="A234" t="s">
        <v>457</v>
      </c>
      <c r="B234" s="5">
        <v>45179</v>
      </c>
      <c r="C234" t="s">
        <v>176</v>
      </c>
      <c r="D234">
        <v>200</v>
      </c>
      <c r="E234" t="s">
        <v>23</v>
      </c>
      <c r="F234" t="s">
        <v>254</v>
      </c>
      <c r="G234" t="s">
        <v>104</v>
      </c>
      <c r="H234">
        <v>2</v>
      </c>
      <c r="I234">
        <v>11500</v>
      </c>
      <c r="J234">
        <v>50</v>
      </c>
      <c r="K234" t="s">
        <v>50</v>
      </c>
      <c r="L234" t="s">
        <v>51</v>
      </c>
      <c r="M234">
        <v>11500</v>
      </c>
      <c r="N234" t="s">
        <v>45</v>
      </c>
    </row>
    <row r="235" spans="1:14" x14ac:dyDescent="0.25">
      <c r="A235" t="s">
        <v>458</v>
      </c>
      <c r="B235" s="5">
        <v>45210</v>
      </c>
      <c r="C235" t="s">
        <v>28</v>
      </c>
      <c r="D235">
        <v>26</v>
      </c>
      <c r="E235" t="s">
        <v>23</v>
      </c>
      <c r="F235" t="s">
        <v>35</v>
      </c>
      <c r="G235" t="s">
        <v>257</v>
      </c>
      <c r="H235">
        <v>3</v>
      </c>
      <c r="I235">
        <v>1203</v>
      </c>
      <c r="J235">
        <v>5</v>
      </c>
      <c r="K235" t="s">
        <v>50</v>
      </c>
      <c r="L235" t="s">
        <v>20</v>
      </c>
      <c r="M235">
        <v>3428.55</v>
      </c>
      <c r="N235" t="s">
        <v>26</v>
      </c>
    </row>
    <row r="236" spans="1:14" x14ac:dyDescent="0.25">
      <c r="A236" t="s">
        <v>459</v>
      </c>
      <c r="B236" s="5">
        <v>45229</v>
      </c>
      <c r="C236" t="s">
        <v>176</v>
      </c>
      <c r="D236">
        <v>50</v>
      </c>
      <c r="E236" t="s">
        <v>23</v>
      </c>
      <c r="F236" t="s">
        <v>54</v>
      </c>
      <c r="G236" t="s">
        <v>282</v>
      </c>
      <c r="H236">
        <v>2</v>
      </c>
      <c r="I236">
        <v>18100</v>
      </c>
      <c r="J236">
        <v>40</v>
      </c>
      <c r="K236" t="s">
        <v>19</v>
      </c>
      <c r="L236" t="s">
        <v>107</v>
      </c>
      <c r="M236">
        <v>21720</v>
      </c>
      <c r="N236" t="s">
        <v>26</v>
      </c>
    </row>
    <row r="237" spans="1:14" x14ac:dyDescent="0.25">
      <c r="A237" t="s">
        <v>460</v>
      </c>
      <c r="B237" s="5">
        <v>44993</v>
      </c>
      <c r="C237" t="s">
        <v>69</v>
      </c>
      <c r="D237">
        <v>23</v>
      </c>
      <c r="E237" t="s">
        <v>23</v>
      </c>
      <c r="F237" t="s">
        <v>30</v>
      </c>
      <c r="G237" t="s">
        <v>195</v>
      </c>
      <c r="H237">
        <v>5</v>
      </c>
      <c r="I237">
        <v>4281</v>
      </c>
      <c r="J237">
        <v>10</v>
      </c>
      <c r="K237" t="s">
        <v>41</v>
      </c>
      <c r="L237" t="s">
        <v>20</v>
      </c>
      <c r="M237">
        <v>19264.5</v>
      </c>
      <c r="N237" t="s">
        <v>45</v>
      </c>
    </row>
    <row r="238" spans="1:14" x14ac:dyDescent="0.25">
      <c r="A238" t="s">
        <v>461</v>
      </c>
      <c r="B238" s="5" t="s">
        <v>462</v>
      </c>
      <c r="C238" t="s">
        <v>156</v>
      </c>
      <c r="D238">
        <v>55</v>
      </c>
      <c r="E238" t="s">
        <v>23</v>
      </c>
      <c r="F238" t="s">
        <v>35</v>
      </c>
      <c r="G238" t="s">
        <v>203</v>
      </c>
      <c r="H238">
        <v>2</v>
      </c>
      <c r="I238">
        <v>944</v>
      </c>
      <c r="J238">
        <v>25</v>
      </c>
      <c r="K238" t="s">
        <v>19</v>
      </c>
      <c r="L238" t="s">
        <v>20</v>
      </c>
      <c r="M238">
        <v>1416</v>
      </c>
      <c r="N238" t="s">
        <v>21</v>
      </c>
    </row>
    <row r="239" spans="1:14" x14ac:dyDescent="0.25">
      <c r="A239" t="s">
        <v>463</v>
      </c>
      <c r="B239" s="5">
        <v>45044</v>
      </c>
      <c r="C239" t="s">
        <v>411</v>
      </c>
      <c r="D239">
        <v>27</v>
      </c>
      <c r="E239" t="s">
        <v>16</v>
      </c>
      <c r="F239" t="s">
        <v>17</v>
      </c>
      <c r="G239" t="s">
        <v>40</v>
      </c>
      <c r="H239">
        <v>3</v>
      </c>
      <c r="I239">
        <v>4500</v>
      </c>
      <c r="J239">
        <v>0</v>
      </c>
      <c r="K239" t="s">
        <v>89</v>
      </c>
      <c r="L239" t="s">
        <v>20</v>
      </c>
      <c r="M239">
        <v>13500</v>
      </c>
      <c r="N239" t="s">
        <v>21</v>
      </c>
    </row>
    <row r="240" spans="1:14" x14ac:dyDescent="0.25">
      <c r="A240" t="s">
        <v>464</v>
      </c>
      <c r="B240" s="5">
        <v>44934</v>
      </c>
      <c r="C240" t="s">
        <v>170</v>
      </c>
      <c r="D240">
        <v>45</v>
      </c>
      <c r="E240" t="s">
        <v>73</v>
      </c>
      <c r="F240" t="s">
        <v>35</v>
      </c>
      <c r="G240" t="s">
        <v>271</v>
      </c>
      <c r="H240">
        <v>6</v>
      </c>
      <c r="I240">
        <v>575</v>
      </c>
      <c r="J240">
        <v>5</v>
      </c>
      <c r="K240" t="s">
        <v>25</v>
      </c>
      <c r="L240" t="s">
        <v>20</v>
      </c>
      <c r="M240">
        <v>3277.5</v>
      </c>
      <c r="N240" t="s">
        <v>45</v>
      </c>
    </row>
    <row r="241" spans="1:14" x14ac:dyDescent="0.25">
      <c r="A241" t="s">
        <v>465</v>
      </c>
      <c r="B241" s="5" t="s">
        <v>466</v>
      </c>
      <c r="C241" t="s">
        <v>72</v>
      </c>
      <c r="D241">
        <v>26</v>
      </c>
      <c r="E241" t="s">
        <v>23</v>
      </c>
      <c r="F241" t="s">
        <v>291</v>
      </c>
      <c r="G241" t="s">
        <v>259</v>
      </c>
      <c r="H241">
        <v>2</v>
      </c>
      <c r="I241">
        <v>4850</v>
      </c>
      <c r="J241">
        <v>40</v>
      </c>
      <c r="K241" t="s">
        <v>41</v>
      </c>
      <c r="L241" t="s">
        <v>20</v>
      </c>
      <c r="M241">
        <v>5820</v>
      </c>
      <c r="N241" t="s">
        <v>21</v>
      </c>
    </row>
    <row r="242" spans="1:14" x14ac:dyDescent="0.25">
      <c r="A242" t="s">
        <v>467</v>
      </c>
      <c r="B242" s="5" t="s">
        <v>468</v>
      </c>
      <c r="C242" t="s">
        <v>411</v>
      </c>
      <c r="D242">
        <v>35</v>
      </c>
      <c r="E242" t="s">
        <v>16</v>
      </c>
      <c r="F242" t="s">
        <v>17</v>
      </c>
      <c r="G242" t="s">
        <v>297</v>
      </c>
      <c r="H242">
        <v>3</v>
      </c>
      <c r="I242">
        <v>7600</v>
      </c>
      <c r="J242">
        <v>5</v>
      </c>
      <c r="K242" t="s">
        <v>41</v>
      </c>
      <c r="L242" t="s">
        <v>20</v>
      </c>
      <c r="M242">
        <v>21660</v>
      </c>
      <c r="N242" t="s">
        <v>167</v>
      </c>
    </row>
    <row r="243" spans="1:14" x14ac:dyDescent="0.25">
      <c r="A243" t="s">
        <v>469</v>
      </c>
      <c r="B243" s="5" t="s">
        <v>470</v>
      </c>
      <c r="C243" t="s">
        <v>28</v>
      </c>
      <c r="D243">
        <v>27</v>
      </c>
      <c r="E243" t="s">
        <v>73</v>
      </c>
      <c r="F243" t="s">
        <v>35</v>
      </c>
      <c r="G243" t="s">
        <v>139</v>
      </c>
      <c r="H243">
        <v>6</v>
      </c>
      <c r="I243">
        <v>532</v>
      </c>
      <c r="J243">
        <v>50</v>
      </c>
      <c r="K243" t="s">
        <v>19</v>
      </c>
      <c r="L243" t="s">
        <v>20</v>
      </c>
      <c r="M243">
        <v>1596</v>
      </c>
      <c r="N243" t="s">
        <v>45</v>
      </c>
    </row>
    <row r="244" spans="1:14" x14ac:dyDescent="0.25">
      <c r="A244" t="s">
        <v>471</v>
      </c>
      <c r="B244" s="5">
        <v>45257</v>
      </c>
      <c r="C244" t="s">
        <v>160</v>
      </c>
      <c r="D244">
        <v>18</v>
      </c>
      <c r="E244" t="s">
        <v>23</v>
      </c>
      <c r="F244" t="s">
        <v>35</v>
      </c>
      <c r="G244" t="s">
        <v>126</v>
      </c>
      <c r="H244">
        <v>4</v>
      </c>
      <c r="I244">
        <v>375</v>
      </c>
      <c r="J244">
        <v>25</v>
      </c>
      <c r="K244" t="s">
        <v>50</v>
      </c>
      <c r="L244" t="s">
        <v>20</v>
      </c>
      <c r="M244">
        <v>1125</v>
      </c>
      <c r="N244" t="s">
        <v>38</v>
      </c>
    </row>
    <row r="245" spans="1:14" x14ac:dyDescent="0.25">
      <c r="A245" t="s">
        <v>472</v>
      </c>
      <c r="B245" s="5">
        <v>45005</v>
      </c>
      <c r="C245" t="s">
        <v>28</v>
      </c>
      <c r="D245">
        <v>30</v>
      </c>
      <c r="E245" t="s">
        <v>23</v>
      </c>
      <c r="F245" t="s">
        <v>54</v>
      </c>
      <c r="G245" t="s">
        <v>114</v>
      </c>
      <c r="H245">
        <v>1</v>
      </c>
      <c r="I245">
        <v>88400</v>
      </c>
      <c r="J245">
        <v>30</v>
      </c>
      <c r="K245" t="s">
        <v>41</v>
      </c>
      <c r="L245" t="s">
        <v>20</v>
      </c>
      <c r="M245">
        <v>61880</v>
      </c>
      <c r="N245" t="s">
        <v>38</v>
      </c>
    </row>
    <row r="246" spans="1:14" x14ac:dyDescent="0.25">
      <c r="A246" t="s">
        <v>473</v>
      </c>
      <c r="B246" s="5">
        <v>45014</v>
      </c>
      <c r="C246" t="s">
        <v>192</v>
      </c>
      <c r="D246">
        <v>38</v>
      </c>
      <c r="E246" t="s">
        <v>16</v>
      </c>
      <c r="F246" t="s">
        <v>17</v>
      </c>
      <c r="G246" t="s">
        <v>80</v>
      </c>
      <c r="H246">
        <v>3</v>
      </c>
      <c r="I246">
        <v>4350</v>
      </c>
      <c r="J246">
        <v>10</v>
      </c>
      <c r="K246" t="s">
        <v>19</v>
      </c>
      <c r="L246" t="s">
        <v>20</v>
      </c>
      <c r="M246">
        <v>11745</v>
      </c>
      <c r="N246" t="s">
        <v>21</v>
      </c>
    </row>
    <row r="247" spans="1:14" x14ac:dyDescent="0.25">
      <c r="A247" t="s">
        <v>474</v>
      </c>
      <c r="B247" s="5">
        <v>45134</v>
      </c>
      <c r="C247" t="s">
        <v>192</v>
      </c>
      <c r="D247">
        <v>26</v>
      </c>
      <c r="E247" t="s">
        <v>475</v>
      </c>
      <c r="F247" t="s">
        <v>91</v>
      </c>
      <c r="G247" t="s">
        <v>88</v>
      </c>
      <c r="H247">
        <v>2</v>
      </c>
      <c r="I247">
        <v>50800</v>
      </c>
      <c r="J247">
        <v>-10</v>
      </c>
      <c r="K247" t="s">
        <v>41</v>
      </c>
      <c r="L247" t="s">
        <v>20</v>
      </c>
      <c r="M247">
        <v>50800</v>
      </c>
      <c r="N247" t="s">
        <v>38</v>
      </c>
    </row>
    <row r="248" spans="1:14" x14ac:dyDescent="0.25">
      <c r="A248" t="s">
        <v>476</v>
      </c>
      <c r="B248" s="5">
        <v>45253</v>
      </c>
      <c r="C248" t="s">
        <v>198</v>
      </c>
      <c r="D248">
        <v>50</v>
      </c>
      <c r="E248" t="s">
        <v>23</v>
      </c>
      <c r="F248" t="s">
        <v>70</v>
      </c>
      <c r="G248" t="s">
        <v>94</v>
      </c>
      <c r="H248">
        <v>3</v>
      </c>
      <c r="I248">
        <v>2900</v>
      </c>
      <c r="J248">
        <v>0</v>
      </c>
      <c r="K248" t="s">
        <v>89</v>
      </c>
      <c r="L248" t="s">
        <v>20</v>
      </c>
      <c r="M248">
        <v>2900</v>
      </c>
      <c r="N248" t="s">
        <v>26</v>
      </c>
    </row>
    <row r="249" spans="1:14" x14ac:dyDescent="0.25">
      <c r="A249" t="s">
        <v>477</v>
      </c>
      <c r="B249" s="5">
        <v>45057</v>
      </c>
      <c r="C249" t="s">
        <v>43</v>
      </c>
      <c r="D249">
        <v>51</v>
      </c>
      <c r="E249" t="s">
        <v>143</v>
      </c>
      <c r="F249" t="s">
        <v>30</v>
      </c>
      <c r="G249" t="s">
        <v>218</v>
      </c>
      <c r="H249">
        <v>9</v>
      </c>
      <c r="I249">
        <v>2193</v>
      </c>
      <c r="J249">
        <v>10</v>
      </c>
      <c r="K249" t="s">
        <v>19</v>
      </c>
      <c r="L249" t="s">
        <v>20</v>
      </c>
      <c r="M249">
        <v>17763.3</v>
      </c>
      <c r="N249" t="s">
        <v>45</v>
      </c>
    </row>
    <row r="250" spans="1:14" x14ac:dyDescent="0.25">
      <c r="A250" t="s">
        <v>478</v>
      </c>
      <c r="B250" s="5" t="s">
        <v>479</v>
      </c>
      <c r="C250" t="s">
        <v>192</v>
      </c>
      <c r="D250">
        <v>47</v>
      </c>
      <c r="E250" t="s">
        <v>23</v>
      </c>
      <c r="F250" t="s">
        <v>35</v>
      </c>
      <c r="G250" t="s">
        <v>126</v>
      </c>
      <c r="H250">
        <v>8</v>
      </c>
      <c r="I250">
        <v>493</v>
      </c>
      <c r="J250">
        <v>0</v>
      </c>
      <c r="K250" t="s">
        <v>25</v>
      </c>
      <c r="L250" t="s">
        <v>363</v>
      </c>
      <c r="M250">
        <v>3944</v>
      </c>
      <c r="N250" t="s">
        <v>38</v>
      </c>
    </row>
    <row r="251" spans="1:14" x14ac:dyDescent="0.25">
      <c r="A251" t="s">
        <v>480</v>
      </c>
      <c r="B251" s="5" t="s">
        <v>481</v>
      </c>
      <c r="C251" t="s">
        <v>48</v>
      </c>
      <c r="D251">
        <v>31</v>
      </c>
      <c r="E251" t="s">
        <v>475</v>
      </c>
      <c r="F251" t="s">
        <v>17</v>
      </c>
      <c r="G251" t="s">
        <v>297</v>
      </c>
      <c r="H251">
        <v>1</v>
      </c>
      <c r="J251">
        <v>20</v>
      </c>
      <c r="K251" t="s">
        <v>19</v>
      </c>
      <c r="L251" t="s">
        <v>20</v>
      </c>
      <c r="N251" t="s">
        <v>45</v>
      </c>
    </row>
    <row r="252" spans="1:14" x14ac:dyDescent="0.25">
      <c r="A252" t="s">
        <v>482</v>
      </c>
      <c r="B252" s="5" t="s">
        <v>483</v>
      </c>
      <c r="C252" t="s">
        <v>48</v>
      </c>
      <c r="D252">
        <v>20</v>
      </c>
      <c r="E252" t="s">
        <v>16</v>
      </c>
      <c r="F252" t="s">
        <v>35</v>
      </c>
      <c r="G252" t="s">
        <v>147</v>
      </c>
      <c r="H252">
        <v>6</v>
      </c>
      <c r="I252">
        <v>400</v>
      </c>
      <c r="J252">
        <v>5</v>
      </c>
      <c r="K252" t="s">
        <v>25</v>
      </c>
      <c r="L252" t="s">
        <v>20</v>
      </c>
      <c r="M252">
        <v>2280</v>
      </c>
      <c r="N252" t="s">
        <v>38</v>
      </c>
    </row>
    <row r="253" spans="1:14" x14ac:dyDescent="0.25">
      <c r="A253" t="s">
        <v>484</v>
      </c>
      <c r="B253" s="5" t="s">
        <v>1367</v>
      </c>
      <c r="C253" t="s">
        <v>28</v>
      </c>
      <c r="D253">
        <v>40</v>
      </c>
      <c r="E253" t="s">
        <v>16</v>
      </c>
      <c r="F253" t="s">
        <v>54</v>
      </c>
      <c r="G253" t="s">
        <v>280</v>
      </c>
      <c r="H253">
        <v>1</v>
      </c>
      <c r="I253">
        <v>70500</v>
      </c>
      <c r="J253">
        <v>20</v>
      </c>
      <c r="K253" t="s">
        <v>19</v>
      </c>
      <c r="L253" t="s">
        <v>51</v>
      </c>
      <c r="M253">
        <v>56400</v>
      </c>
      <c r="N253" t="s">
        <v>45</v>
      </c>
    </row>
    <row r="254" spans="1:14" x14ac:dyDescent="0.25">
      <c r="A254" t="s">
        <v>485</v>
      </c>
      <c r="B254" s="5">
        <v>44988</v>
      </c>
      <c r="C254" t="s">
        <v>243</v>
      </c>
      <c r="D254">
        <v>35</v>
      </c>
      <c r="E254" t="s">
        <v>16</v>
      </c>
      <c r="F254" t="s">
        <v>30</v>
      </c>
      <c r="G254" t="s">
        <v>235</v>
      </c>
      <c r="H254">
        <v>9</v>
      </c>
      <c r="I254">
        <v>1862</v>
      </c>
      <c r="J254">
        <v>0</v>
      </c>
      <c r="K254" t="s">
        <v>19</v>
      </c>
      <c r="L254" t="s">
        <v>20</v>
      </c>
      <c r="M254">
        <v>16758</v>
      </c>
      <c r="N254" t="s">
        <v>21</v>
      </c>
    </row>
    <row r="255" spans="1:14" x14ac:dyDescent="0.25">
      <c r="A255" t="s">
        <v>486</v>
      </c>
      <c r="B255" s="5">
        <v>45193</v>
      </c>
      <c r="C255" t="s">
        <v>156</v>
      </c>
      <c r="D255">
        <v>25</v>
      </c>
      <c r="E255" t="s">
        <v>443</v>
      </c>
      <c r="F255" t="s">
        <v>30</v>
      </c>
      <c r="G255" t="s">
        <v>195</v>
      </c>
      <c r="H255">
        <v>-1</v>
      </c>
      <c r="I255">
        <v>4453</v>
      </c>
      <c r="J255">
        <v>15</v>
      </c>
      <c r="K255" t="s">
        <v>487</v>
      </c>
      <c r="L255" t="s">
        <v>51</v>
      </c>
      <c r="M255">
        <v>-3785.05</v>
      </c>
      <c r="N255" t="s">
        <v>45</v>
      </c>
    </row>
    <row r="256" spans="1:14" x14ac:dyDescent="0.25">
      <c r="A256" t="s">
        <v>488</v>
      </c>
      <c r="B256" s="5" t="s">
        <v>901</v>
      </c>
      <c r="C256" t="s">
        <v>43</v>
      </c>
      <c r="D256">
        <v>34</v>
      </c>
      <c r="E256" t="s">
        <v>16</v>
      </c>
      <c r="F256" t="s">
        <v>30</v>
      </c>
      <c r="G256" t="s">
        <v>294</v>
      </c>
      <c r="H256">
        <v>8</v>
      </c>
      <c r="I256">
        <v>777</v>
      </c>
      <c r="J256">
        <v>10</v>
      </c>
      <c r="K256" t="s">
        <v>41</v>
      </c>
      <c r="L256" t="s">
        <v>20</v>
      </c>
      <c r="M256">
        <v>5594.4</v>
      </c>
      <c r="N256" t="s">
        <v>38</v>
      </c>
    </row>
    <row r="257" spans="1:14" x14ac:dyDescent="0.25">
      <c r="A257" t="s">
        <v>489</v>
      </c>
      <c r="B257" s="5">
        <v>45066</v>
      </c>
      <c r="D257">
        <v>40</v>
      </c>
      <c r="E257" t="s">
        <v>490</v>
      </c>
      <c r="F257" t="s">
        <v>35</v>
      </c>
      <c r="G257" t="s">
        <v>99</v>
      </c>
      <c r="H257">
        <v>3</v>
      </c>
      <c r="I257">
        <v>1270</v>
      </c>
      <c r="J257">
        <v>10</v>
      </c>
      <c r="K257" t="s">
        <v>19</v>
      </c>
      <c r="L257" t="s">
        <v>20</v>
      </c>
      <c r="M257">
        <v>3429</v>
      </c>
      <c r="N257" t="s">
        <v>21</v>
      </c>
    </row>
    <row r="258" spans="1:14" x14ac:dyDescent="0.25">
      <c r="A258" t="s">
        <v>491</v>
      </c>
      <c r="B258" s="5" t="s">
        <v>1367</v>
      </c>
      <c r="C258" t="s">
        <v>152</v>
      </c>
      <c r="D258">
        <v>27</v>
      </c>
      <c r="E258" t="s">
        <v>16</v>
      </c>
      <c r="F258" t="s">
        <v>17</v>
      </c>
      <c r="G258" t="s">
        <v>492</v>
      </c>
      <c r="H258">
        <v>1</v>
      </c>
      <c r="I258">
        <v>3200</v>
      </c>
      <c r="J258">
        <v>50</v>
      </c>
      <c r="K258" t="s">
        <v>50</v>
      </c>
      <c r="L258" t="s">
        <v>493</v>
      </c>
      <c r="M258">
        <v>1600</v>
      </c>
      <c r="N258" t="s">
        <v>38</v>
      </c>
    </row>
    <row r="259" spans="1:14" x14ac:dyDescent="0.25">
      <c r="A259" t="s">
        <v>494</v>
      </c>
      <c r="B259" s="5">
        <v>45197</v>
      </c>
      <c r="C259" t="s">
        <v>495</v>
      </c>
      <c r="D259">
        <v>28</v>
      </c>
      <c r="E259" t="s">
        <v>23</v>
      </c>
      <c r="F259" t="s">
        <v>17</v>
      </c>
      <c r="G259" t="s">
        <v>189</v>
      </c>
      <c r="H259">
        <v>3</v>
      </c>
      <c r="I259">
        <v>2400</v>
      </c>
      <c r="J259">
        <v>10</v>
      </c>
      <c r="K259" t="s">
        <v>41</v>
      </c>
      <c r="L259" t="s">
        <v>51</v>
      </c>
      <c r="M259">
        <v>6480</v>
      </c>
      <c r="N259" t="s">
        <v>21</v>
      </c>
    </row>
    <row r="260" spans="1:14" x14ac:dyDescent="0.25">
      <c r="A260" t="s">
        <v>496</v>
      </c>
      <c r="B260" s="5">
        <v>45150</v>
      </c>
      <c r="C260" t="s">
        <v>43</v>
      </c>
      <c r="D260">
        <v>36</v>
      </c>
      <c r="E260" t="s">
        <v>23</v>
      </c>
      <c r="F260" t="s">
        <v>54</v>
      </c>
      <c r="G260" t="s">
        <v>180</v>
      </c>
      <c r="H260">
        <v>2</v>
      </c>
      <c r="I260">
        <v>20300</v>
      </c>
      <c r="J260">
        <v>15</v>
      </c>
      <c r="K260" t="s">
        <v>25</v>
      </c>
      <c r="L260" t="s">
        <v>51</v>
      </c>
      <c r="M260">
        <v>34510</v>
      </c>
      <c r="N260" t="s">
        <v>45</v>
      </c>
    </row>
    <row r="261" spans="1:14" x14ac:dyDescent="0.25">
      <c r="A261" t="s">
        <v>497</v>
      </c>
      <c r="B261" s="5">
        <v>44965</v>
      </c>
      <c r="D261">
        <v>150</v>
      </c>
      <c r="E261" t="s">
        <v>16</v>
      </c>
      <c r="F261" t="s">
        <v>35</v>
      </c>
      <c r="G261" t="s">
        <v>111</v>
      </c>
      <c r="H261">
        <v>6</v>
      </c>
      <c r="I261">
        <v>353</v>
      </c>
      <c r="J261">
        <v>15</v>
      </c>
      <c r="K261" t="s">
        <v>41</v>
      </c>
      <c r="L261" t="s">
        <v>20</v>
      </c>
      <c r="M261">
        <v>1800.3</v>
      </c>
      <c r="N261" t="s">
        <v>26</v>
      </c>
    </row>
    <row r="262" spans="1:14" x14ac:dyDescent="0.25">
      <c r="A262" t="s">
        <v>498</v>
      </c>
      <c r="B262" s="5">
        <v>45154</v>
      </c>
      <c r="D262">
        <v>47</v>
      </c>
      <c r="E262" t="s">
        <v>16</v>
      </c>
      <c r="F262" t="s">
        <v>17</v>
      </c>
      <c r="G262" t="s">
        <v>80</v>
      </c>
      <c r="H262">
        <v>1</v>
      </c>
      <c r="I262">
        <v>5000</v>
      </c>
      <c r="J262">
        <v>15</v>
      </c>
      <c r="K262" t="s">
        <v>19</v>
      </c>
      <c r="L262" t="s">
        <v>20</v>
      </c>
      <c r="M262">
        <v>4250</v>
      </c>
      <c r="N262" t="s">
        <v>38</v>
      </c>
    </row>
    <row r="263" spans="1:14" x14ac:dyDescent="0.25">
      <c r="A263" t="s">
        <v>499</v>
      </c>
      <c r="B263" s="5" t="s">
        <v>1370</v>
      </c>
      <c r="C263" t="s">
        <v>265</v>
      </c>
      <c r="D263">
        <v>45</v>
      </c>
      <c r="E263" t="s">
        <v>16</v>
      </c>
      <c r="F263" t="s">
        <v>35</v>
      </c>
      <c r="G263" t="s">
        <v>166</v>
      </c>
      <c r="H263">
        <v>1</v>
      </c>
      <c r="I263">
        <v>913</v>
      </c>
      <c r="J263">
        <v>0</v>
      </c>
      <c r="K263" t="s">
        <v>25</v>
      </c>
      <c r="L263" t="s">
        <v>20</v>
      </c>
      <c r="M263">
        <v>913</v>
      </c>
      <c r="N263" t="s">
        <v>295</v>
      </c>
    </row>
    <row r="264" spans="1:14" x14ac:dyDescent="0.25">
      <c r="A264" t="s">
        <v>500</v>
      </c>
      <c r="B264" s="5">
        <v>45027</v>
      </c>
      <c r="D264">
        <v>29</v>
      </c>
      <c r="E264" t="s">
        <v>23</v>
      </c>
      <c r="F264" t="s">
        <v>97</v>
      </c>
      <c r="G264" t="s">
        <v>235</v>
      </c>
      <c r="H264">
        <v>2</v>
      </c>
      <c r="I264">
        <v>2136</v>
      </c>
      <c r="J264">
        <v>30</v>
      </c>
      <c r="K264" t="s">
        <v>19</v>
      </c>
      <c r="L264" t="s">
        <v>20</v>
      </c>
      <c r="M264">
        <v>11961.6</v>
      </c>
      <c r="N264" t="s">
        <v>21</v>
      </c>
    </row>
    <row r="265" spans="1:14" x14ac:dyDescent="0.25">
      <c r="A265" t="s">
        <v>501</v>
      </c>
      <c r="B265" s="5">
        <v>45241</v>
      </c>
      <c r="C265" t="s">
        <v>87</v>
      </c>
      <c r="D265">
        <v>31</v>
      </c>
      <c r="E265" t="s">
        <v>23</v>
      </c>
      <c r="F265" t="s">
        <v>17</v>
      </c>
      <c r="G265" t="s">
        <v>186</v>
      </c>
      <c r="H265">
        <v>2</v>
      </c>
      <c r="I265">
        <v>2750</v>
      </c>
      <c r="K265" t="s">
        <v>19</v>
      </c>
      <c r="L265" t="s">
        <v>51</v>
      </c>
      <c r="M265">
        <v>5500</v>
      </c>
      <c r="N265" t="s">
        <v>38</v>
      </c>
    </row>
    <row r="266" spans="1:14" x14ac:dyDescent="0.25">
      <c r="A266" t="s">
        <v>502</v>
      </c>
      <c r="B266" s="5" t="s">
        <v>320</v>
      </c>
      <c r="C266" t="s">
        <v>43</v>
      </c>
      <c r="D266">
        <v>46</v>
      </c>
      <c r="E266" t="s">
        <v>16</v>
      </c>
      <c r="F266" t="s">
        <v>30</v>
      </c>
      <c r="G266" t="s">
        <v>31</v>
      </c>
      <c r="H266">
        <v>3</v>
      </c>
      <c r="J266">
        <v>40</v>
      </c>
      <c r="K266" t="s">
        <v>50</v>
      </c>
      <c r="L266" t="s">
        <v>51</v>
      </c>
      <c r="N266" t="s">
        <v>38</v>
      </c>
    </row>
    <row r="267" spans="1:14" x14ac:dyDescent="0.25">
      <c r="A267" t="s">
        <v>503</v>
      </c>
      <c r="B267" s="5">
        <v>45267</v>
      </c>
      <c r="C267" t="s">
        <v>504</v>
      </c>
      <c r="D267">
        <v>52</v>
      </c>
      <c r="E267" t="s">
        <v>23</v>
      </c>
      <c r="F267" t="s">
        <v>30</v>
      </c>
      <c r="G267" t="s">
        <v>224</v>
      </c>
      <c r="H267">
        <v>5</v>
      </c>
      <c r="I267">
        <v>950</v>
      </c>
      <c r="J267">
        <v>40</v>
      </c>
      <c r="K267" t="s">
        <v>50</v>
      </c>
      <c r="L267" t="s">
        <v>20</v>
      </c>
      <c r="M267">
        <v>2850</v>
      </c>
      <c r="N267" t="s">
        <v>276</v>
      </c>
    </row>
    <row r="268" spans="1:14" x14ac:dyDescent="0.25">
      <c r="A268" t="s">
        <v>505</v>
      </c>
      <c r="B268" s="5" t="s">
        <v>506</v>
      </c>
      <c r="C268" t="s">
        <v>192</v>
      </c>
      <c r="D268">
        <v>37</v>
      </c>
      <c r="E268" t="s">
        <v>16</v>
      </c>
      <c r="F268" t="s">
        <v>54</v>
      </c>
      <c r="G268" t="s">
        <v>88</v>
      </c>
      <c r="H268">
        <v>1</v>
      </c>
      <c r="I268">
        <v>43200</v>
      </c>
      <c r="J268">
        <v>10</v>
      </c>
      <c r="K268" t="s">
        <v>25</v>
      </c>
      <c r="L268" t="s">
        <v>20</v>
      </c>
      <c r="M268">
        <v>38880</v>
      </c>
      <c r="N268" t="s">
        <v>375</v>
      </c>
    </row>
    <row r="269" spans="1:14" x14ac:dyDescent="0.25">
      <c r="A269" t="s">
        <v>507</v>
      </c>
      <c r="B269" s="5">
        <v>45238</v>
      </c>
      <c r="D269">
        <v>34</v>
      </c>
      <c r="E269" t="s">
        <v>23</v>
      </c>
      <c r="F269" t="s">
        <v>17</v>
      </c>
      <c r="G269" t="s">
        <v>189</v>
      </c>
      <c r="H269">
        <v>2</v>
      </c>
      <c r="I269">
        <v>4450</v>
      </c>
      <c r="J269">
        <v>5</v>
      </c>
      <c r="K269" t="s">
        <v>41</v>
      </c>
      <c r="L269" t="s">
        <v>20</v>
      </c>
      <c r="M269">
        <v>8455</v>
      </c>
      <c r="N269" t="s">
        <v>26</v>
      </c>
    </row>
    <row r="270" spans="1:14" x14ac:dyDescent="0.25">
      <c r="A270" t="s">
        <v>508</v>
      </c>
      <c r="B270" s="5">
        <v>45117</v>
      </c>
      <c r="C270" t="s">
        <v>192</v>
      </c>
      <c r="D270">
        <v>32</v>
      </c>
      <c r="E270" t="s">
        <v>490</v>
      </c>
      <c r="F270" t="s">
        <v>17</v>
      </c>
      <c r="G270" t="s">
        <v>18</v>
      </c>
      <c r="H270">
        <v>2</v>
      </c>
      <c r="I270">
        <v>3000</v>
      </c>
      <c r="J270">
        <v>20</v>
      </c>
      <c r="K270" t="s">
        <v>19</v>
      </c>
      <c r="L270" t="s">
        <v>20</v>
      </c>
      <c r="M270">
        <v>4800</v>
      </c>
      <c r="N270" t="s">
        <v>38</v>
      </c>
    </row>
    <row r="271" spans="1:14" x14ac:dyDescent="0.25">
      <c r="A271" t="s">
        <v>509</v>
      </c>
      <c r="B271" s="5">
        <v>45231</v>
      </c>
      <c r="C271" t="s">
        <v>217</v>
      </c>
      <c r="D271">
        <v>21</v>
      </c>
      <c r="E271" t="s">
        <v>16</v>
      </c>
      <c r="F271" t="s">
        <v>510</v>
      </c>
      <c r="G271" t="s">
        <v>88</v>
      </c>
      <c r="H271">
        <v>2</v>
      </c>
      <c r="I271">
        <v>54500</v>
      </c>
      <c r="J271">
        <v>15</v>
      </c>
      <c r="K271" t="s">
        <v>19</v>
      </c>
      <c r="L271" t="s">
        <v>51</v>
      </c>
      <c r="M271">
        <v>92650</v>
      </c>
      <c r="N271" t="s">
        <v>45</v>
      </c>
    </row>
    <row r="272" spans="1:14" x14ac:dyDescent="0.25">
      <c r="A272" t="s">
        <v>511</v>
      </c>
      <c r="B272" s="5" t="s">
        <v>512</v>
      </c>
      <c r="D272">
        <v>48</v>
      </c>
      <c r="E272" t="s">
        <v>16</v>
      </c>
      <c r="F272" t="s">
        <v>30</v>
      </c>
      <c r="G272" t="s">
        <v>60</v>
      </c>
      <c r="H272">
        <v>8</v>
      </c>
      <c r="I272">
        <v>5326</v>
      </c>
      <c r="J272">
        <v>10</v>
      </c>
      <c r="K272" t="s">
        <v>25</v>
      </c>
      <c r="L272" t="s">
        <v>20</v>
      </c>
      <c r="M272">
        <v>42608</v>
      </c>
      <c r="N272" t="s">
        <v>21</v>
      </c>
    </row>
    <row r="273" spans="1:14" x14ac:dyDescent="0.25">
      <c r="A273" t="s">
        <v>513</v>
      </c>
      <c r="B273" s="5">
        <v>45254</v>
      </c>
      <c r="C273" t="s">
        <v>217</v>
      </c>
      <c r="D273">
        <v>60</v>
      </c>
      <c r="E273" t="s">
        <v>138</v>
      </c>
      <c r="F273" t="s">
        <v>438</v>
      </c>
      <c r="G273" t="s">
        <v>80</v>
      </c>
      <c r="H273">
        <v>3</v>
      </c>
      <c r="I273">
        <v>5900</v>
      </c>
      <c r="J273">
        <v>10</v>
      </c>
      <c r="K273" t="s">
        <v>41</v>
      </c>
      <c r="L273" t="s">
        <v>20</v>
      </c>
      <c r="M273">
        <v>-15930</v>
      </c>
      <c r="N273" t="s">
        <v>45</v>
      </c>
    </row>
    <row r="274" spans="1:14" x14ac:dyDescent="0.25">
      <c r="A274" t="s">
        <v>514</v>
      </c>
      <c r="B274" s="5">
        <v>45115</v>
      </c>
      <c r="D274">
        <v>56</v>
      </c>
      <c r="E274" t="s">
        <v>16</v>
      </c>
      <c r="F274" t="s">
        <v>35</v>
      </c>
      <c r="G274" t="s">
        <v>36</v>
      </c>
      <c r="H274">
        <v>9</v>
      </c>
      <c r="I274">
        <v>921</v>
      </c>
      <c r="J274">
        <v>50</v>
      </c>
      <c r="K274" t="s">
        <v>19</v>
      </c>
      <c r="L274" t="s">
        <v>56</v>
      </c>
      <c r="M274">
        <v>4144.5</v>
      </c>
      <c r="N274" t="s">
        <v>21</v>
      </c>
    </row>
    <row r="275" spans="1:14" x14ac:dyDescent="0.25">
      <c r="A275" t="s">
        <v>515</v>
      </c>
      <c r="B275" s="5" t="s">
        <v>273</v>
      </c>
      <c r="C275" t="s">
        <v>15</v>
      </c>
      <c r="D275">
        <v>28</v>
      </c>
      <c r="E275" t="s">
        <v>16</v>
      </c>
      <c r="F275" t="s">
        <v>17</v>
      </c>
      <c r="G275" t="s">
        <v>117</v>
      </c>
      <c r="H275">
        <v>2</v>
      </c>
      <c r="I275">
        <v>5850</v>
      </c>
      <c r="J275">
        <v>25</v>
      </c>
      <c r="K275" t="s">
        <v>19</v>
      </c>
      <c r="L275" t="s">
        <v>56</v>
      </c>
      <c r="M275">
        <v>8775</v>
      </c>
      <c r="N275" t="s">
        <v>38</v>
      </c>
    </row>
    <row r="276" spans="1:14" x14ac:dyDescent="0.25">
      <c r="A276" t="s">
        <v>516</v>
      </c>
      <c r="B276" s="5" t="s">
        <v>273</v>
      </c>
      <c r="C276" t="s">
        <v>517</v>
      </c>
      <c r="D276">
        <v>62</v>
      </c>
      <c r="E276" t="s">
        <v>73</v>
      </c>
      <c r="F276" t="s">
        <v>17</v>
      </c>
      <c r="G276" t="s">
        <v>18</v>
      </c>
      <c r="H276">
        <v>1</v>
      </c>
      <c r="I276">
        <v>2200</v>
      </c>
      <c r="J276">
        <v>15</v>
      </c>
      <c r="K276" t="s">
        <v>19</v>
      </c>
      <c r="L276" t="s">
        <v>20</v>
      </c>
      <c r="M276">
        <v>-1870</v>
      </c>
      <c r="N276" t="s">
        <v>21</v>
      </c>
    </row>
    <row r="277" spans="1:14" x14ac:dyDescent="0.25">
      <c r="A277" t="s">
        <v>518</v>
      </c>
      <c r="B277" s="5">
        <v>45057</v>
      </c>
      <c r="D277">
        <v>61</v>
      </c>
      <c r="E277" t="s">
        <v>23</v>
      </c>
      <c r="F277" t="s">
        <v>17</v>
      </c>
      <c r="G277" t="s">
        <v>259</v>
      </c>
      <c r="H277">
        <v>1</v>
      </c>
      <c r="I277">
        <v>4900</v>
      </c>
      <c r="K277" t="s">
        <v>50</v>
      </c>
      <c r="L277" t="s">
        <v>20</v>
      </c>
      <c r="M277">
        <v>4900</v>
      </c>
      <c r="N277" t="s">
        <v>74</v>
      </c>
    </row>
    <row r="278" spans="1:14" x14ac:dyDescent="0.25">
      <c r="A278" t="s">
        <v>519</v>
      </c>
      <c r="B278" s="5">
        <v>44990</v>
      </c>
      <c r="C278" t="s">
        <v>192</v>
      </c>
      <c r="D278">
        <v>62</v>
      </c>
      <c r="E278" t="s">
        <v>16</v>
      </c>
      <c r="F278" t="s">
        <v>35</v>
      </c>
      <c r="G278" t="s">
        <v>257</v>
      </c>
      <c r="H278">
        <v>2</v>
      </c>
      <c r="I278">
        <v>986</v>
      </c>
      <c r="J278">
        <v>30</v>
      </c>
      <c r="K278" t="s">
        <v>25</v>
      </c>
      <c r="L278" t="s">
        <v>56</v>
      </c>
      <c r="M278">
        <v>1380.4</v>
      </c>
      <c r="N278" t="s">
        <v>57</v>
      </c>
    </row>
    <row r="279" spans="1:14" x14ac:dyDescent="0.25">
      <c r="A279" t="s">
        <v>520</v>
      </c>
      <c r="B279" s="5">
        <v>45068</v>
      </c>
      <c r="C279" t="s">
        <v>521</v>
      </c>
      <c r="D279">
        <v>33</v>
      </c>
      <c r="E279" t="s">
        <v>23</v>
      </c>
      <c r="F279" t="s">
        <v>30</v>
      </c>
      <c r="G279" t="s">
        <v>67</v>
      </c>
      <c r="H279">
        <v>10</v>
      </c>
      <c r="I279">
        <v>3667</v>
      </c>
      <c r="J279">
        <v>5</v>
      </c>
      <c r="K279" t="s">
        <v>89</v>
      </c>
      <c r="L279" t="s">
        <v>20</v>
      </c>
      <c r="M279">
        <v>69673</v>
      </c>
      <c r="N279" t="s">
        <v>45</v>
      </c>
    </row>
    <row r="280" spans="1:14" x14ac:dyDescent="0.25">
      <c r="A280" t="s">
        <v>522</v>
      </c>
      <c r="B280" s="5" t="s">
        <v>1371</v>
      </c>
      <c r="C280" t="s">
        <v>87</v>
      </c>
      <c r="D280">
        <v>35</v>
      </c>
      <c r="E280" t="s">
        <v>16</v>
      </c>
      <c r="F280" t="s">
        <v>35</v>
      </c>
      <c r="G280" t="s">
        <v>139</v>
      </c>
      <c r="H280">
        <v>10</v>
      </c>
      <c r="I280">
        <v>522</v>
      </c>
      <c r="J280">
        <v>5</v>
      </c>
      <c r="K280" t="s">
        <v>25</v>
      </c>
      <c r="L280" t="s">
        <v>51</v>
      </c>
      <c r="M280">
        <v>522</v>
      </c>
      <c r="N280" t="s">
        <v>21</v>
      </c>
    </row>
    <row r="281" spans="1:14" x14ac:dyDescent="0.25">
      <c r="A281" t="s">
        <v>523</v>
      </c>
      <c r="B281" s="5">
        <v>45247</v>
      </c>
      <c r="C281" t="s">
        <v>165</v>
      </c>
      <c r="D281">
        <v>25</v>
      </c>
      <c r="E281" t="s">
        <v>475</v>
      </c>
      <c r="F281" t="s">
        <v>30</v>
      </c>
      <c r="G281" t="s">
        <v>121</v>
      </c>
      <c r="H281">
        <v>1</v>
      </c>
      <c r="I281">
        <v>7402</v>
      </c>
      <c r="J281">
        <v>5</v>
      </c>
      <c r="K281" t="s">
        <v>25</v>
      </c>
      <c r="L281" t="s">
        <v>20</v>
      </c>
      <c r="M281">
        <v>7031.9</v>
      </c>
      <c r="N281" t="s">
        <v>45</v>
      </c>
    </row>
    <row r="282" spans="1:14" x14ac:dyDescent="0.25">
      <c r="A282" t="s">
        <v>524</v>
      </c>
      <c r="B282" s="5">
        <v>45237</v>
      </c>
      <c r="C282" t="s">
        <v>48</v>
      </c>
      <c r="D282">
        <v>57</v>
      </c>
      <c r="E282" t="s">
        <v>490</v>
      </c>
      <c r="F282" t="s">
        <v>17</v>
      </c>
      <c r="G282" t="s">
        <v>259</v>
      </c>
      <c r="H282">
        <v>1</v>
      </c>
      <c r="I282">
        <v>3450</v>
      </c>
      <c r="J282">
        <v>20</v>
      </c>
      <c r="K282" t="s">
        <v>25</v>
      </c>
      <c r="L282" t="s">
        <v>20</v>
      </c>
      <c r="M282">
        <v>2760</v>
      </c>
      <c r="N282" t="s">
        <v>45</v>
      </c>
    </row>
    <row r="283" spans="1:14" x14ac:dyDescent="0.25">
      <c r="A283" t="s">
        <v>525</v>
      </c>
      <c r="B283" s="5">
        <v>45161</v>
      </c>
      <c r="C283" t="s">
        <v>128</v>
      </c>
      <c r="D283">
        <v>29</v>
      </c>
      <c r="E283" t="s">
        <v>16</v>
      </c>
      <c r="F283" t="s">
        <v>30</v>
      </c>
      <c r="G283" t="s">
        <v>135</v>
      </c>
      <c r="H283">
        <v>3</v>
      </c>
      <c r="I283">
        <v>10078</v>
      </c>
      <c r="J283">
        <v>0</v>
      </c>
      <c r="K283" t="s">
        <v>19</v>
      </c>
      <c r="L283" t="s">
        <v>449</v>
      </c>
      <c r="M283">
        <v>30234</v>
      </c>
      <c r="N283" t="s">
        <v>45</v>
      </c>
    </row>
    <row r="284" spans="1:14" x14ac:dyDescent="0.25">
      <c r="A284" t="s">
        <v>526</v>
      </c>
      <c r="B284" s="5">
        <v>45055</v>
      </c>
      <c r="C284" t="s">
        <v>142</v>
      </c>
      <c r="D284">
        <v>50</v>
      </c>
      <c r="E284" t="s">
        <v>16</v>
      </c>
      <c r="F284" t="s">
        <v>35</v>
      </c>
      <c r="G284" t="s">
        <v>139</v>
      </c>
      <c r="H284">
        <v>9</v>
      </c>
      <c r="I284">
        <v>519</v>
      </c>
      <c r="J284">
        <v>15</v>
      </c>
      <c r="K284" t="s">
        <v>41</v>
      </c>
      <c r="L284" t="s">
        <v>20</v>
      </c>
      <c r="M284">
        <v>3970.35</v>
      </c>
      <c r="N284" t="s">
        <v>45</v>
      </c>
    </row>
    <row r="285" spans="1:14" x14ac:dyDescent="0.25">
      <c r="A285" t="s">
        <v>527</v>
      </c>
      <c r="B285" s="5" t="s">
        <v>1356</v>
      </c>
      <c r="D285">
        <v>42</v>
      </c>
      <c r="E285" t="s">
        <v>23</v>
      </c>
      <c r="F285" t="s">
        <v>30</v>
      </c>
      <c r="G285" t="s">
        <v>195</v>
      </c>
      <c r="H285">
        <v>4</v>
      </c>
      <c r="I285">
        <v>3452</v>
      </c>
      <c r="J285">
        <v>40</v>
      </c>
      <c r="K285" t="s">
        <v>41</v>
      </c>
      <c r="L285" t="s">
        <v>20</v>
      </c>
      <c r="M285">
        <v>8284.7999999999993</v>
      </c>
      <c r="N285" t="s">
        <v>21</v>
      </c>
    </row>
    <row r="286" spans="1:14" x14ac:dyDescent="0.25">
      <c r="A286" t="s">
        <v>528</v>
      </c>
      <c r="B286" s="5">
        <v>45231</v>
      </c>
      <c r="C286" t="s">
        <v>529</v>
      </c>
      <c r="D286">
        <v>44</v>
      </c>
      <c r="E286" t="s">
        <v>16</v>
      </c>
      <c r="F286" t="s">
        <v>54</v>
      </c>
      <c r="G286" t="s">
        <v>237</v>
      </c>
      <c r="H286">
        <v>2</v>
      </c>
      <c r="I286">
        <v>47300</v>
      </c>
      <c r="J286">
        <v>30</v>
      </c>
      <c r="K286" t="s">
        <v>19</v>
      </c>
      <c r="L286" t="s">
        <v>56</v>
      </c>
      <c r="M286">
        <v>66220</v>
      </c>
      <c r="N286" t="s">
        <v>149</v>
      </c>
    </row>
    <row r="287" spans="1:14" x14ac:dyDescent="0.25">
      <c r="A287" t="s">
        <v>530</v>
      </c>
      <c r="B287" s="5">
        <v>45167</v>
      </c>
      <c r="C287" t="s">
        <v>48</v>
      </c>
      <c r="D287">
        <v>20</v>
      </c>
      <c r="E287" t="s">
        <v>16</v>
      </c>
      <c r="F287" t="s">
        <v>17</v>
      </c>
      <c r="G287" t="s">
        <v>186</v>
      </c>
      <c r="H287">
        <v>2</v>
      </c>
      <c r="I287">
        <v>2350</v>
      </c>
      <c r="J287">
        <v>40</v>
      </c>
      <c r="K287" t="s">
        <v>531</v>
      </c>
      <c r="L287" t="s">
        <v>20</v>
      </c>
      <c r="M287">
        <v>2820</v>
      </c>
      <c r="N287" t="s">
        <v>45</v>
      </c>
    </row>
    <row r="288" spans="1:14" x14ac:dyDescent="0.25">
      <c r="A288" t="s">
        <v>532</v>
      </c>
      <c r="B288" s="5">
        <v>45083</v>
      </c>
      <c r="C288" t="s">
        <v>176</v>
      </c>
      <c r="D288">
        <v>22</v>
      </c>
      <c r="E288" t="s">
        <v>143</v>
      </c>
      <c r="F288" t="s">
        <v>35</v>
      </c>
      <c r="G288" t="s">
        <v>111</v>
      </c>
      <c r="H288">
        <v>2</v>
      </c>
      <c r="I288">
        <v>284</v>
      </c>
      <c r="J288">
        <v>20</v>
      </c>
      <c r="K288" t="s">
        <v>41</v>
      </c>
      <c r="L288" t="s">
        <v>20</v>
      </c>
      <c r="M288">
        <v>454.4</v>
      </c>
      <c r="N288" t="s">
        <v>375</v>
      </c>
    </row>
    <row r="289" spans="1:14" x14ac:dyDescent="0.25">
      <c r="A289" t="s">
        <v>533</v>
      </c>
      <c r="B289" s="5">
        <v>45104</v>
      </c>
      <c r="C289" t="s">
        <v>156</v>
      </c>
      <c r="D289">
        <v>24</v>
      </c>
      <c r="E289" t="s">
        <v>16</v>
      </c>
      <c r="F289" t="s">
        <v>30</v>
      </c>
      <c r="G289" t="s">
        <v>218</v>
      </c>
      <c r="H289">
        <v>4</v>
      </c>
      <c r="I289">
        <v>2213</v>
      </c>
      <c r="J289">
        <v>15</v>
      </c>
      <c r="K289" t="s">
        <v>41</v>
      </c>
      <c r="L289" t="s">
        <v>20</v>
      </c>
      <c r="M289">
        <v>7524.2</v>
      </c>
      <c r="N289" t="s">
        <v>21</v>
      </c>
    </row>
    <row r="290" spans="1:14" x14ac:dyDescent="0.25">
      <c r="A290" t="s">
        <v>534</v>
      </c>
      <c r="B290" s="5" t="s">
        <v>535</v>
      </c>
      <c r="D290">
        <v>18</v>
      </c>
      <c r="E290" t="s">
        <v>16</v>
      </c>
      <c r="F290" t="s">
        <v>17</v>
      </c>
      <c r="G290" t="s">
        <v>492</v>
      </c>
      <c r="H290">
        <v>2</v>
      </c>
      <c r="I290">
        <v>4150</v>
      </c>
      <c r="J290">
        <v>5</v>
      </c>
      <c r="K290" t="s">
        <v>41</v>
      </c>
      <c r="L290" t="s">
        <v>20</v>
      </c>
      <c r="M290">
        <v>7885</v>
      </c>
      <c r="N290" t="s">
        <v>352</v>
      </c>
    </row>
    <row r="291" spans="1:14" x14ac:dyDescent="0.25">
      <c r="A291" t="s">
        <v>536</v>
      </c>
      <c r="B291" s="5">
        <v>45136</v>
      </c>
      <c r="C291" t="s">
        <v>358</v>
      </c>
      <c r="D291">
        <v>52</v>
      </c>
      <c r="E291" t="s">
        <v>23</v>
      </c>
      <c r="F291" t="s">
        <v>54</v>
      </c>
      <c r="G291" t="s">
        <v>180</v>
      </c>
      <c r="H291">
        <v>1</v>
      </c>
      <c r="I291">
        <v>25100</v>
      </c>
      <c r="J291">
        <v>0</v>
      </c>
      <c r="K291" t="s">
        <v>19</v>
      </c>
      <c r="L291" t="s">
        <v>20</v>
      </c>
      <c r="M291">
        <v>25100</v>
      </c>
      <c r="N291" t="s">
        <v>26</v>
      </c>
    </row>
    <row r="292" spans="1:14" x14ac:dyDescent="0.25">
      <c r="A292" t="s">
        <v>537</v>
      </c>
      <c r="B292" s="5" t="s">
        <v>1372</v>
      </c>
      <c r="C292" t="s">
        <v>188</v>
      </c>
      <c r="D292">
        <v>34</v>
      </c>
      <c r="E292" t="s">
        <v>23</v>
      </c>
      <c r="F292" t="s">
        <v>324</v>
      </c>
      <c r="G292" t="s">
        <v>147</v>
      </c>
      <c r="H292">
        <v>1</v>
      </c>
      <c r="I292">
        <v>533</v>
      </c>
      <c r="J292">
        <v>15</v>
      </c>
      <c r="K292" t="s">
        <v>32</v>
      </c>
      <c r="L292" t="s">
        <v>51</v>
      </c>
      <c r="M292">
        <v>453.05</v>
      </c>
      <c r="N292" t="s">
        <v>38</v>
      </c>
    </row>
    <row r="293" spans="1:14" x14ac:dyDescent="0.25">
      <c r="A293" t="s">
        <v>538</v>
      </c>
      <c r="B293" s="5">
        <v>45199</v>
      </c>
      <c r="C293" t="s">
        <v>48</v>
      </c>
      <c r="D293">
        <v>52</v>
      </c>
      <c r="E293" t="s">
        <v>16</v>
      </c>
      <c r="F293" t="s">
        <v>17</v>
      </c>
      <c r="G293" t="s">
        <v>186</v>
      </c>
      <c r="H293">
        <v>2</v>
      </c>
      <c r="I293">
        <v>2000</v>
      </c>
      <c r="J293">
        <v>10</v>
      </c>
      <c r="K293" t="s">
        <v>41</v>
      </c>
      <c r="L293" t="s">
        <v>20</v>
      </c>
      <c r="M293">
        <v>3600</v>
      </c>
      <c r="N293" t="s">
        <v>33</v>
      </c>
    </row>
    <row r="294" spans="1:14" x14ac:dyDescent="0.25">
      <c r="A294" t="s">
        <v>539</v>
      </c>
      <c r="B294" s="5">
        <v>45107</v>
      </c>
      <c r="C294" t="s">
        <v>76</v>
      </c>
      <c r="D294">
        <v>60</v>
      </c>
      <c r="E294" t="s">
        <v>16</v>
      </c>
      <c r="F294" t="s">
        <v>30</v>
      </c>
      <c r="G294" t="s">
        <v>540</v>
      </c>
      <c r="H294">
        <v>6</v>
      </c>
      <c r="I294">
        <v>4901</v>
      </c>
      <c r="J294">
        <v>5</v>
      </c>
      <c r="K294" t="s">
        <v>25</v>
      </c>
      <c r="L294" t="s">
        <v>20</v>
      </c>
      <c r="M294">
        <v>27935.7</v>
      </c>
      <c r="N294" t="s">
        <v>21</v>
      </c>
    </row>
    <row r="295" spans="1:14" x14ac:dyDescent="0.25">
      <c r="A295" t="s">
        <v>541</v>
      </c>
      <c r="B295" s="5" t="s">
        <v>730</v>
      </c>
      <c r="C295" t="s">
        <v>152</v>
      </c>
      <c r="D295">
        <v>38</v>
      </c>
      <c r="E295" t="s">
        <v>23</v>
      </c>
      <c r="F295" t="s">
        <v>54</v>
      </c>
      <c r="G295" t="s">
        <v>88</v>
      </c>
      <c r="H295">
        <v>2</v>
      </c>
      <c r="I295">
        <v>50300</v>
      </c>
      <c r="J295">
        <v>0</v>
      </c>
      <c r="K295" t="s">
        <v>25</v>
      </c>
      <c r="L295" t="s">
        <v>51</v>
      </c>
      <c r="M295">
        <v>100600</v>
      </c>
      <c r="N295" t="s">
        <v>38</v>
      </c>
    </row>
    <row r="296" spans="1:14" x14ac:dyDescent="0.25">
      <c r="A296" t="s">
        <v>542</v>
      </c>
      <c r="B296" s="5">
        <v>44988</v>
      </c>
      <c r="C296" t="s">
        <v>28</v>
      </c>
      <c r="D296">
        <v>48</v>
      </c>
      <c r="E296" t="s">
        <v>16</v>
      </c>
      <c r="F296" t="s">
        <v>30</v>
      </c>
      <c r="G296" t="s">
        <v>60</v>
      </c>
      <c r="H296">
        <v>6</v>
      </c>
      <c r="I296">
        <v>8703</v>
      </c>
      <c r="J296">
        <v>0</v>
      </c>
      <c r="K296" t="s">
        <v>25</v>
      </c>
      <c r="L296" t="s">
        <v>51</v>
      </c>
      <c r="M296">
        <v>52218</v>
      </c>
      <c r="N296" t="s">
        <v>21</v>
      </c>
    </row>
    <row r="297" spans="1:14" x14ac:dyDescent="0.25">
      <c r="A297" t="s">
        <v>543</v>
      </c>
      <c r="B297" s="5">
        <v>45143</v>
      </c>
      <c r="C297" t="s">
        <v>128</v>
      </c>
      <c r="D297">
        <v>32</v>
      </c>
      <c r="E297" t="s">
        <v>23</v>
      </c>
      <c r="F297" t="s">
        <v>17</v>
      </c>
      <c r="G297" t="s">
        <v>40</v>
      </c>
      <c r="H297">
        <v>2</v>
      </c>
      <c r="I297">
        <v>4550</v>
      </c>
      <c r="J297">
        <v>10</v>
      </c>
      <c r="K297" t="s">
        <v>50</v>
      </c>
      <c r="L297" t="s">
        <v>56</v>
      </c>
      <c r="M297">
        <v>8190</v>
      </c>
      <c r="N297" t="s">
        <v>21</v>
      </c>
    </row>
    <row r="298" spans="1:14" x14ac:dyDescent="0.25">
      <c r="A298" t="s">
        <v>544</v>
      </c>
      <c r="B298" s="5">
        <v>45096</v>
      </c>
      <c r="C298" t="s">
        <v>62</v>
      </c>
      <c r="D298">
        <v>52</v>
      </c>
      <c r="E298" t="s">
        <v>29</v>
      </c>
      <c r="F298" t="s">
        <v>54</v>
      </c>
      <c r="G298" t="s">
        <v>92</v>
      </c>
      <c r="H298">
        <v>0</v>
      </c>
      <c r="I298">
        <v>13500</v>
      </c>
      <c r="J298">
        <v>50</v>
      </c>
      <c r="K298" t="s">
        <v>41</v>
      </c>
      <c r="L298" t="s">
        <v>20</v>
      </c>
      <c r="M298">
        <v>0</v>
      </c>
      <c r="N298" t="s">
        <v>122</v>
      </c>
    </row>
    <row r="299" spans="1:14" x14ac:dyDescent="0.25">
      <c r="A299" t="s">
        <v>545</v>
      </c>
      <c r="B299" s="5" t="s">
        <v>1373</v>
      </c>
      <c r="C299" t="s">
        <v>173</v>
      </c>
      <c r="E299" t="s">
        <v>16</v>
      </c>
      <c r="F299" t="s">
        <v>35</v>
      </c>
      <c r="G299" t="s">
        <v>331</v>
      </c>
      <c r="H299">
        <v>8</v>
      </c>
      <c r="I299">
        <v>219</v>
      </c>
      <c r="J299">
        <v>25</v>
      </c>
      <c r="K299" t="s">
        <v>19</v>
      </c>
      <c r="L299" t="s">
        <v>20</v>
      </c>
      <c r="M299">
        <v>1314</v>
      </c>
      <c r="N299" t="s">
        <v>45</v>
      </c>
    </row>
    <row r="300" spans="1:14" x14ac:dyDescent="0.25">
      <c r="A300" t="s">
        <v>546</v>
      </c>
      <c r="B300" s="5">
        <v>45231</v>
      </c>
      <c r="C300" t="s">
        <v>217</v>
      </c>
      <c r="D300">
        <v>61</v>
      </c>
      <c r="E300" t="s">
        <v>23</v>
      </c>
      <c r="F300" t="s">
        <v>291</v>
      </c>
      <c r="G300" t="s">
        <v>492</v>
      </c>
      <c r="H300">
        <v>2</v>
      </c>
      <c r="I300">
        <v>1500</v>
      </c>
      <c r="J300">
        <v>50</v>
      </c>
      <c r="K300" t="s">
        <v>25</v>
      </c>
      <c r="L300" t="s">
        <v>20</v>
      </c>
      <c r="M300">
        <v>1500</v>
      </c>
      <c r="N300" t="s">
        <v>167</v>
      </c>
    </row>
    <row r="301" spans="1:14" x14ac:dyDescent="0.25">
      <c r="A301" t="s">
        <v>547</v>
      </c>
      <c r="B301" s="5">
        <v>45247</v>
      </c>
      <c r="C301" t="s">
        <v>160</v>
      </c>
      <c r="D301">
        <v>57</v>
      </c>
      <c r="E301" t="s">
        <v>23</v>
      </c>
      <c r="F301" t="s">
        <v>30</v>
      </c>
      <c r="G301" t="s">
        <v>224</v>
      </c>
      <c r="H301">
        <v>8</v>
      </c>
      <c r="I301">
        <v>864</v>
      </c>
      <c r="J301">
        <v>30</v>
      </c>
      <c r="K301" t="s">
        <v>50</v>
      </c>
      <c r="L301" t="s">
        <v>20</v>
      </c>
      <c r="M301">
        <v>4838.3999999999996</v>
      </c>
      <c r="N301" t="s">
        <v>45</v>
      </c>
    </row>
    <row r="302" spans="1:14" x14ac:dyDescent="0.25">
      <c r="A302" t="s">
        <v>548</v>
      </c>
      <c r="B302" s="5">
        <v>45178</v>
      </c>
      <c r="C302" t="s">
        <v>549</v>
      </c>
      <c r="D302">
        <v>63</v>
      </c>
      <c r="E302" t="s">
        <v>23</v>
      </c>
      <c r="F302" t="s">
        <v>30</v>
      </c>
      <c r="G302" t="s">
        <v>218</v>
      </c>
      <c r="H302">
        <v>10</v>
      </c>
      <c r="I302">
        <v>3775</v>
      </c>
      <c r="J302">
        <v>5</v>
      </c>
      <c r="K302" t="s">
        <v>19</v>
      </c>
      <c r="L302" t="s">
        <v>20</v>
      </c>
      <c r="M302">
        <v>35862.5</v>
      </c>
      <c r="N302" t="s">
        <v>45</v>
      </c>
    </row>
    <row r="303" spans="1:14" x14ac:dyDescent="0.25">
      <c r="A303" t="s">
        <v>550</v>
      </c>
      <c r="B303" s="5">
        <v>45235</v>
      </c>
      <c r="C303" t="s">
        <v>66</v>
      </c>
      <c r="D303">
        <v>64</v>
      </c>
      <c r="E303" t="s">
        <v>23</v>
      </c>
      <c r="F303" t="s">
        <v>129</v>
      </c>
      <c r="G303" t="s">
        <v>268</v>
      </c>
      <c r="H303">
        <v>3</v>
      </c>
      <c r="I303">
        <v>1965</v>
      </c>
      <c r="J303">
        <v>25</v>
      </c>
      <c r="K303" t="s">
        <v>115</v>
      </c>
      <c r="L303" t="s">
        <v>20</v>
      </c>
      <c r="M303">
        <v>4421.25</v>
      </c>
      <c r="N303" t="s">
        <v>21</v>
      </c>
    </row>
    <row r="304" spans="1:14" x14ac:dyDescent="0.25">
      <c r="A304" t="s">
        <v>551</v>
      </c>
      <c r="B304" s="5">
        <v>45144</v>
      </c>
      <c r="D304">
        <v>18</v>
      </c>
      <c r="E304" t="s">
        <v>443</v>
      </c>
      <c r="F304" t="s">
        <v>250</v>
      </c>
      <c r="G304" t="s">
        <v>274</v>
      </c>
      <c r="H304">
        <v>3</v>
      </c>
      <c r="I304">
        <v>4250</v>
      </c>
      <c r="J304">
        <v>20</v>
      </c>
      <c r="K304" t="s">
        <v>41</v>
      </c>
      <c r="L304" t="s">
        <v>20</v>
      </c>
      <c r="M304">
        <v>10200</v>
      </c>
      <c r="N304" t="s">
        <v>38</v>
      </c>
    </row>
    <row r="305" spans="1:14" x14ac:dyDescent="0.25">
      <c r="A305" t="s">
        <v>552</v>
      </c>
      <c r="B305" s="5">
        <v>45232</v>
      </c>
      <c r="C305" t="s">
        <v>128</v>
      </c>
      <c r="D305">
        <v>53</v>
      </c>
      <c r="E305" t="s">
        <v>23</v>
      </c>
      <c r="F305" t="s">
        <v>30</v>
      </c>
      <c r="G305" t="s">
        <v>540</v>
      </c>
      <c r="H305">
        <v>10</v>
      </c>
      <c r="I305">
        <v>3645</v>
      </c>
      <c r="J305">
        <v>30</v>
      </c>
      <c r="K305" t="s">
        <v>487</v>
      </c>
      <c r="L305" t="s">
        <v>51</v>
      </c>
      <c r="M305">
        <v>25515</v>
      </c>
      <c r="N305" t="s">
        <v>21</v>
      </c>
    </row>
    <row r="306" spans="1:14" x14ac:dyDescent="0.25">
      <c r="A306" t="s">
        <v>553</v>
      </c>
      <c r="B306" s="5">
        <v>45253</v>
      </c>
      <c r="C306" t="s">
        <v>165</v>
      </c>
      <c r="D306">
        <v>52</v>
      </c>
      <c r="E306" t="s">
        <v>16</v>
      </c>
      <c r="F306" t="s">
        <v>17</v>
      </c>
      <c r="G306" t="s">
        <v>297</v>
      </c>
      <c r="H306">
        <v>2</v>
      </c>
      <c r="I306">
        <v>4600</v>
      </c>
      <c r="J306">
        <v>10</v>
      </c>
      <c r="K306" t="s">
        <v>41</v>
      </c>
      <c r="L306" t="s">
        <v>56</v>
      </c>
      <c r="M306">
        <v>8280</v>
      </c>
      <c r="N306" t="s">
        <v>45</v>
      </c>
    </row>
    <row r="307" spans="1:14" x14ac:dyDescent="0.25">
      <c r="A307" t="s">
        <v>554</v>
      </c>
      <c r="B307" s="5">
        <v>45271</v>
      </c>
      <c r="C307" t="s">
        <v>413</v>
      </c>
      <c r="D307">
        <v>56</v>
      </c>
      <c r="E307" t="s">
        <v>16</v>
      </c>
      <c r="F307" t="s">
        <v>17</v>
      </c>
      <c r="G307" t="s">
        <v>124</v>
      </c>
      <c r="H307">
        <v>3</v>
      </c>
      <c r="I307">
        <v>7700</v>
      </c>
      <c r="J307">
        <v>50</v>
      </c>
      <c r="K307" t="s">
        <v>50</v>
      </c>
      <c r="L307" t="s">
        <v>20</v>
      </c>
      <c r="M307">
        <v>11550</v>
      </c>
      <c r="N307" t="s">
        <v>356</v>
      </c>
    </row>
    <row r="308" spans="1:14" x14ac:dyDescent="0.25">
      <c r="A308" t="s">
        <v>555</v>
      </c>
      <c r="B308" s="5">
        <v>45132</v>
      </c>
      <c r="C308" t="s">
        <v>28</v>
      </c>
      <c r="D308">
        <v>25</v>
      </c>
      <c r="E308" t="s">
        <v>29</v>
      </c>
      <c r="F308" t="s">
        <v>17</v>
      </c>
      <c r="G308" t="s">
        <v>117</v>
      </c>
      <c r="H308">
        <v>3</v>
      </c>
      <c r="I308">
        <v>7850</v>
      </c>
      <c r="J308">
        <v>5</v>
      </c>
      <c r="K308" t="s">
        <v>50</v>
      </c>
      <c r="L308" t="s">
        <v>20</v>
      </c>
      <c r="M308">
        <v>22372.5</v>
      </c>
      <c r="N308" t="s">
        <v>26</v>
      </c>
    </row>
    <row r="309" spans="1:14" x14ac:dyDescent="0.25">
      <c r="A309" t="s">
        <v>556</v>
      </c>
      <c r="B309" s="5" t="s">
        <v>1374</v>
      </c>
      <c r="C309" t="s">
        <v>170</v>
      </c>
      <c r="D309">
        <v>51</v>
      </c>
      <c r="E309" t="s">
        <v>16</v>
      </c>
      <c r="F309" t="s">
        <v>35</v>
      </c>
      <c r="G309" t="s">
        <v>331</v>
      </c>
      <c r="H309">
        <v>8</v>
      </c>
      <c r="I309">
        <v>373</v>
      </c>
      <c r="J309">
        <v>0</v>
      </c>
      <c r="K309" t="s">
        <v>25</v>
      </c>
      <c r="L309" t="s">
        <v>56</v>
      </c>
      <c r="M309">
        <v>2984</v>
      </c>
      <c r="N309" t="s">
        <v>21</v>
      </c>
    </row>
    <row r="310" spans="1:14" x14ac:dyDescent="0.25">
      <c r="A310" t="s">
        <v>557</v>
      </c>
      <c r="B310" s="5" t="s">
        <v>558</v>
      </c>
      <c r="C310" t="s">
        <v>358</v>
      </c>
      <c r="D310">
        <v>25</v>
      </c>
      <c r="E310" t="s">
        <v>16</v>
      </c>
      <c r="F310" t="s">
        <v>35</v>
      </c>
      <c r="G310" t="s">
        <v>111</v>
      </c>
      <c r="H310">
        <v>10</v>
      </c>
      <c r="I310">
        <v>478</v>
      </c>
      <c r="J310">
        <v>0</v>
      </c>
      <c r="K310" t="s">
        <v>19</v>
      </c>
      <c r="L310" t="s">
        <v>20</v>
      </c>
      <c r="M310">
        <v>478</v>
      </c>
      <c r="N310" t="s">
        <v>38</v>
      </c>
    </row>
    <row r="311" spans="1:14" x14ac:dyDescent="0.25">
      <c r="A311" t="s">
        <v>559</v>
      </c>
      <c r="B311" s="5">
        <v>45119</v>
      </c>
      <c r="C311" t="s">
        <v>152</v>
      </c>
      <c r="D311">
        <v>41</v>
      </c>
      <c r="E311" t="s">
        <v>29</v>
      </c>
      <c r="F311" t="s">
        <v>17</v>
      </c>
      <c r="G311" t="s">
        <v>297</v>
      </c>
      <c r="H311">
        <v>3</v>
      </c>
      <c r="I311">
        <v>4</v>
      </c>
      <c r="J311">
        <v>10</v>
      </c>
      <c r="K311" t="s">
        <v>381</v>
      </c>
      <c r="L311" t="s">
        <v>449</v>
      </c>
      <c r="M311">
        <v>10.8</v>
      </c>
      <c r="N311" t="s">
        <v>26</v>
      </c>
    </row>
    <row r="312" spans="1:14" x14ac:dyDescent="0.25">
      <c r="A312" t="s">
        <v>560</v>
      </c>
      <c r="B312" s="5">
        <v>45175</v>
      </c>
      <c r="D312">
        <v>27</v>
      </c>
      <c r="E312" t="s">
        <v>23</v>
      </c>
      <c r="F312" t="s">
        <v>54</v>
      </c>
      <c r="G312" t="s">
        <v>88</v>
      </c>
      <c r="H312">
        <v>2</v>
      </c>
      <c r="I312">
        <v>52100</v>
      </c>
      <c r="J312">
        <v>5</v>
      </c>
      <c r="K312" t="s">
        <v>19</v>
      </c>
      <c r="L312" t="s">
        <v>20</v>
      </c>
      <c r="M312">
        <v>98990</v>
      </c>
      <c r="N312" t="s">
        <v>45</v>
      </c>
    </row>
    <row r="313" spans="1:14" x14ac:dyDescent="0.25">
      <c r="A313" t="s">
        <v>561</v>
      </c>
      <c r="B313" s="5">
        <v>44995</v>
      </c>
      <c r="D313">
        <v>23</v>
      </c>
      <c r="E313" t="s">
        <v>138</v>
      </c>
      <c r="F313" t="s">
        <v>54</v>
      </c>
      <c r="G313" t="s">
        <v>55</v>
      </c>
      <c r="H313">
        <v>1</v>
      </c>
      <c r="I313">
        <v>40200</v>
      </c>
      <c r="J313">
        <v>5</v>
      </c>
      <c r="K313" t="s">
        <v>19</v>
      </c>
      <c r="L313" t="s">
        <v>20</v>
      </c>
      <c r="M313">
        <v>38190</v>
      </c>
      <c r="N313" t="s">
        <v>38</v>
      </c>
    </row>
    <row r="314" spans="1:14" x14ac:dyDescent="0.25">
      <c r="A314" t="s">
        <v>562</v>
      </c>
      <c r="B314" s="5">
        <v>45005</v>
      </c>
      <c r="C314" t="s">
        <v>43</v>
      </c>
      <c r="D314">
        <v>5</v>
      </c>
      <c r="E314" t="s">
        <v>44</v>
      </c>
      <c r="F314" t="s">
        <v>17</v>
      </c>
      <c r="G314" t="s">
        <v>80</v>
      </c>
      <c r="H314">
        <v>3</v>
      </c>
      <c r="I314">
        <v>6550</v>
      </c>
      <c r="J314">
        <v>-10</v>
      </c>
      <c r="K314" t="s">
        <v>50</v>
      </c>
      <c r="L314" t="s">
        <v>20</v>
      </c>
      <c r="M314">
        <v>21615</v>
      </c>
      <c r="N314" t="s">
        <v>26</v>
      </c>
    </row>
    <row r="315" spans="1:14" x14ac:dyDescent="0.25">
      <c r="A315" t="s">
        <v>563</v>
      </c>
      <c r="B315" s="5">
        <v>45224</v>
      </c>
      <c r="C315" t="s">
        <v>165</v>
      </c>
      <c r="D315">
        <v>50</v>
      </c>
      <c r="E315" t="s">
        <v>23</v>
      </c>
      <c r="F315" t="s">
        <v>54</v>
      </c>
      <c r="G315" t="s">
        <v>280</v>
      </c>
      <c r="H315">
        <v>2</v>
      </c>
      <c r="I315">
        <v>79800</v>
      </c>
      <c r="J315">
        <v>50</v>
      </c>
      <c r="K315" t="s">
        <v>41</v>
      </c>
      <c r="L315" t="s">
        <v>37</v>
      </c>
      <c r="M315">
        <v>79800</v>
      </c>
      <c r="N315" t="s">
        <v>45</v>
      </c>
    </row>
    <row r="316" spans="1:14" x14ac:dyDescent="0.25">
      <c r="A316" t="s">
        <v>564</v>
      </c>
      <c r="B316" s="5" t="s">
        <v>565</v>
      </c>
      <c r="C316" t="s">
        <v>102</v>
      </c>
      <c r="D316">
        <v>29</v>
      </c>
      <c r="E316" t="s">
        <v>23</v>
      </c>
      <c r="F316" t="s">
        <v>54</v>
      </c>
      <c r="G316" t="s">
        <v>311</v>
      </c>
      <c r="H316">
        <v>2</v>
      </c>
      <c r="I316">
        <v>5000</v>
      </c>
      <c r="J316">
        <v>10</v>
      </c>
      <c r="K316" t="s">
        <v>326</v>
      </c>
      <c r="L316" t="s">
        <v>20</v>
      </c>
      <c r="M316">
        <v>9000</v>
      </c>
      <c r="N316" t="s">
        <v>26</v>
      </c>
    </row>
    <row r="317" spans="1:14" x14ac:dyDescent="0.25">
      <c r="A317" t="s">
        <v>566</v>
      </c>
      <c r="B317" s="5" t="s">
        <v>334</v>
      </c>
      <c r="C317" t="s">
        <v>173</v>
      </c>
      <c r="D317">
        <v>55</v>
      </c>
      <c r="E317" t="s">
        <v>23</v>
      </c>
      <c r="F317" t="s">
        <v>324</v>
      </c>
      <c r="G317" t="s">
        <v>63</v>
      </c>
      <c r="H317">
        <v>99</v>
      </c>
      <c r="I317">
        <v>3301</v>
      </c>
      <c r="J317">
        <v>50</v>
      </c>
      <c r="K317" t="s">
        <v>19</v>
      </c>
      <c r="L317" t="s">
        <v>20</v>
      </c>
      <c r="M317">
        <v>163399.5</v>
      </c>
      <c r="N317" t="s">
        <v>38</v>
      </c>
    </row>
    <row r="318" spans="1:14" x14ac:dyDescent="0.25">
      <c r="A318" t="s">
        <v>567</v>
      </c>
      <c r="B318" s="5">
        <v>44938</v>
      </c>
      <c r="C318" t="s">
        <v>165</v>
      </c>
      <c r="D318">
        <v>28</v>
      </c>
      <c r="E318" t="s">
        <v>16</v>
      </c>
      <c r="F318" t="s">
        <v>30</v>
      </c>
      <c r="G318" t="s">
        <v>268</v>
      </c>
      <c r="H318">
        <v>1</v>
      </c>
      <c r="I318">
        <v>1429</v>
      </c>
      <c r="J318">
        <v>5</v>
      </c>
      <c r="K318" t="s">
        <v>115</v>
      </c>
      <c r="L318" t="s">
        <v>20</v>
      </c>
      <c r="M318">
        <v>1357.55</v>
      </c>
      <c r="N318" t="s">
        <v>26</v>
      </c>
    </row>
    <row r="319" spans="1:14" x14ac:dyDescent="0.25">
      <c r="A319" t="s">
        <v>568</v>
      </c>
      <c r="B319" s="5">
        <v>45206</v>
      </c>
      <c r="D319">
        <v>50</v>
      </c>
      <c r="E319" t="s">
        <v>16</v>
      </c>
      <c r="F319" t="s">
        <v>569</v>
      </c>
      <c r="G319" t="s">
        <v>271</v>
      </c>
      <c r="H319">
        <v>6</v>
      </c>
      <c r="I319">
        <v>439</v>
      </c>
      <c r="J319">
        <v>10</v>
      </c>
      <c r="K319" t="s">
        <v>41</v>
      </c>
      <c r="L319" t="s">
        <v>20</v>
      </c>
      <c r="M319">
        <v>439</v>
      </c>
      <c r="N319" t="s">
        <v>21</v>
      </c>
    </row>
    <row r="320" spans="1:14" x14ac:dyDescent="0.25">
      <c r="A320" t="s">
        <v>249</v>
      </c>
      <c r="B320" s="5">
        <v>45040</v>
      </c>
      <c r="C320" t="s">
        <v>217</v>
      </c>
      <c r="D320">
        <v>64</v>
      </c>
      <c r="E320" t="s">
        <v>23</v>
      </c>
      <c r="F320" t="s">
        <v>250</v>
      </c>
      <c r="G320" t="s">
        <v>186</v>
      </c>
      <c r="H320">
        <v>1</v>
      </c>
      <c r="I320">
        <v>2050</v>
      </c>
      <c r="J320">
        <v>5</v>
      </c>
      <c r="K320" t="s">
        <v>41</v>
      </c>
      <c r="L320" t="s">
        <v>56</v>
      </c>
      <c r="M320">
        <v>1947.5</v>
      </c>
      <c r="N320" t="s">
        <v>26</v>
      </c>
    </row>
    <row r="321" spans="1:14" x14ac:dyDescent="0.25">
      <c r="A321" t="s">
        <v>570</v>
      </c>
      <c r="B321" s="5">
        <v>45250</v>
      </c>
      <c r="C321" t="s">
        <v>66</v>
      </c>
      <c r="D321">
        <v>37</v>
      </c>
      <c r="E321" t="s">
        <v>23</v>
      </c>
      <c r="F321" t="s">
        <v>30</v>
      </c>
      <c r="G321" t="s">
        <v>153</v>
      </c>
      <c r="H321">
        <v>2</v>
      </c>
      <c r="I321">
        <v>2303</v>
      </c>
      <c r="J321">
        <v>0</v>
      </c>
      <c r="K321" t="s">
        <v>25</v>
      </c>
      <c r="L321" t="s">
        <v>20</v>
      </c>
      <c r="M321">
        <v>4606</v>
      </c>
      <c r="N321" t="s">
        <v>38</v>
      </c>
    </row>
    <row r="322" spans="1:14" x14ac:dyDescent="0.25">
      <c r="A322" t="s">
        <v>571</v>
      </c>
      <c r="B322" s="5">
        <v>44997</v>
      </c>
      <c r="C322" t="s">
        <v>66</v>
      </c>
      <c r="D322">
        <v>53</v>
      </c>
      <c r="E322" t="s">
        <v>23</v>
      </c>
      <c r="F322" t="s">
        <v>17</v>
      </c>
      <c r="G322" t="s">
        <v>94</v>
      </c>
      <c r="H322">
        <v>1</v>
      </c>
      <c r="I322">
        <v>2200</v>
      </c>
      <c r="J322">
        <v>25</v>
      </c>
      <c r="K322" t="s">
        <v>41</v>
      </c>
      <c r="L322" t="s">
        <v>20</v>
      </c>
      <c r="M322">
        <v>1650</v>
      </c>
      <c r="N322" t="s">
        <v>45</v>
      </c>
    </row>
    <row r="323" spans="1:14" x14ac:dyDescent="0.25">
      <c r="A323" t="s">
        <v>572</v>
      </c>
      <c r="B323" s="5">
        <v>45034</v>
      </c>
      <c r="C323" t="s">
        <v>165</v>
      </c>
      <c r="D323">
        <v>49</v>
      </c>
      <c r="E323" t="s">
        <v>23</v>
      </c>
      <c r="F323" t="s">
        <v>30</v>
      </c>
      <c r="G323" t="s">
        <v>224</v>
      </c>
      <c r="H323">
        <v>9</v>
      </c>
      <c r="I323">
        <v>972</v>
      </c>
      <c r="J323">
        <v>75</v>
      </c>
      <c r="K323" t="s">
        <v>105</v>
      </c>
      <c r="L323" t="s">
        <v>20</v>
      </c>
      <c r="M323">
        <v>8748</v>
      </c>
      <c r="N323" t="s">
        <v>45</v>
      </c>
    </row>
    <row r="324" spans="1:14" x14ac:dyDescent="0.25">
      <c r="A324" t="s">
        <v>573</v>
      </c>
      <c r="B324" s="5" t="s">
        <v>273</v>
      </c>
      <c r="C324" t="s">
        <v>43</v>
      </c>
      <c r="D324">
        <v>53</v>
      </c>
      <c r="E324" t="s">
        <v>23</v>
      </c>
      <c r="F324" t="s">
        <v>54</v>
      </c>
      <c r="G324" t="s">
        <v>338</v>
      </c>
      <c r="H324">
        <v>1</v>
      </c>
      <c r="I324">
        <v>5000</v>
      </c>
      <c r="J324">
        <v>10</v>
      </c>
      <c r="K324" t="s">
        <v>25</v>
      </c>
      <c r="L324" t="s">
        <v>20</v>
      </c>
      <c r="M324">
        <v>4500</v>
      </c>
      <c r="N324" t="s">
        <v>21</v>
      </c>
    </row>
    <row r="325" spans="1:14" x14ac:dyDescent="0.25">
      <c r="A325" t="s">
        <v>574</v>
      </c>
      <c r="B325" s="5" t="s">
        <v>830</v>
      </c>
      <c r="C325" t="s">
        <v>66</v>
      </c>
      <c r="D325">
        <v>46</v>
      </c>
      <c r="E325" t="s">
        <v>23</v>
      </c>
      <c r="F325" t="s">
        <v>17</v>
      </c>
      <c r="G325" t="s">
        <v>18</v>
      </c>
      <c r="H325">
        <v>1</v>
      </c>
      <c r="I325">
        <v>2200</v>
      </c>
      <c r="J325">
        <v>5</v>
      </c>
      <c r="K325" t="s">
        <v>89</v>
      </c>
      <c r="L325" t="s">
        <v>20</v>
      </c>
      <c r="M325">
        <v>2090</v>
      </c>
      <c r="N325" t="s">
        <v>26</v>
      </c>
    </row>
    <row r="326" spans="1:14" x14ac:dyDescent="0.25">
      <c r="A326" t="s">
        <v>575</v>
      </c>
      <c r="B326" s="5">
        <v>45197</v>
      </c>
      <c r="C326" t="s">
        <v>66</v>
      </c>
      <c r="D326">
        <v>19</v>
      </c>
      <c r="E326" t="s">
        <v>16</v>
      </c>
      <c r="F326" t="s">
        <v>54</v>
      </c>
      <c r="G326" t="s">
        <v>77</v>
      </c>
      <c r="H326">
        <v>2</v>
      </c>
      <c r="I326">
        <v>17000</v>
      </c>
      <c r="J326">
        <v>10</v>
      </c>
      <c r="K326" t="s">
        <v>41</v>
      </c>
      <c r="L326" t="s">
        <v>51</v>
      </c>
      <c r="M326">
        <v>30600</v>
      </c>
      <c r="N326" t="s">
        <v>26</v>
      </c>
    </row>
    <row r="327" spans="1:14" x14ac:dyDescent="0.25">
      <c r="A327" t="s">
        <v>576</v>
      </c>
      <c r="B327" s="5">
        <v>44937</v>
      </c>
      <c r="D327">
        <v>37</v>
      </c>
      <c r="E327" t="s">
        <v>16</v>
      </c>
      <c r="F327" t="s">
        <v>35</v>
      </c>
      <c r="G327" t="s">
        <v>139</v>
      </c>
      <c r="H327">
        <v>5</v>
      </c>
      <c r="I327">
        <v>479</v>
      </c>
      <c r="J327">
        <v>10</v>
      </c>
      <c r="K327" t="s">
        <v>222</v>
      </c>
      <c r="L327" t="s">
        <v>20</v>
      </c>
      <c r="M327">
        <v>2155.5</v>
      </c>
      <c r="N327" t="s">
        <v>38</v>
      </c>
    </row>
    <row r="328" spans="1:14" x14ac:dyDescent="0.25">
      <c r="A328" t="s">
        <v>577</v>
      </c>
      <c r="B328" s="5">
        <v>45178</v>
      </c>
      <c r="C328" t="s">
        <v>15</v>
      </c>
      <c r="D328">
        <v>999</v>
      </c>
      <c r="E328" t="s">
        <v>23</v>
      </c>
      <c r="F328" t="s">
        <v>30</v>
      </c>
      <c r="G328" t="s">
        <v>121</v>
      </c>
      <c r="H328">
        <v>1</v>
      </c>
      <c r="I328">
        <v>4338</v>
      </c>
      <c r="J328">
        <v>10</v>
      </c>
      <c r="K328" t="s">
        <v>50</v>
      </c>
      <c r="L328" t="s">
        <v>20</v>
      </c>
      <c r="M328">
        <v>3904.2</v>
      </c>
      <c r="N328" t="s">
        <v>26</v>
      </c>
    </row>
    <row r="329" spans="1:14" x14ac:dyDescent="0.25">
      <c r="A329" t="s">
        <v>578</v>
      </c>
      <c r="B329" s="5">
        <v>44967</v>
      </c>
      <c r="C329" t="s">
        <v>579</v>
      </c>
      <c r="D329">
        <v>53</v>
      </c>
      <c r="E329" t="s">
        <v>16</v>
      </c>
      <c r="F329" t="s">
        <v>35</v>
      </c>
      <c r="G329" t="s">
        <v>203</v>
      </c>
      <c r="H329">
        <v>9</v>
      </c>
      <c r="I329">
        <v>1242</v>
      </c>
      <c r="J329">
        <v>0</v>
      </c>
      <c r="K329" t="s">
        <v>19</v>
      </c>
      <c r="L329" t="s">
        <v>51</v>
      </c>
      <c r="M329">
        <v>11178</v>
      </c>
      <c r="N329" t="s">
        <v>21</v>
      </c>
    </row>
    <row r="330" spans="1:14" x14ac:dyDescent="0.25">
      <c r="A330" t="s">
        <v>580</v>
      </c>
      <c r="B330" s="5" t="s">
        <v>273</v>
      </c>
      <c r="C330" t="s">
        <v>87</v>
      </c>
      <c r="D330">
        <v>20</v>
      </c>
      <c r="E330" t="s">
        <v>16</v>
      </c>
      <c r="F330" t="s">
        <v>17</v>
      </c>
      <c r="G330" t="s">
        <v>186</v>
      </c>
      <c r="H330">
        <v>2</v>
      </c>
      <c r="I330">
        <v>2700</v>
      </c>
      <c r="J330">
        <v>5</v>
      </c>
      <c r="K330" t="s">
        <v>41</v>
      </c>
      <c r="L330" t="s">
        <v>20</v>
      </c>
      <c r="M330">
        <v>5130</v>
      </c>
      <c r="N330" t="s">
        <v>38</v>
      </c>
    </row>
    <row r="331" spans="1:14" x14ac:dyDescent="0.25">
      <c r="A331" t="s">
        <v>581</v>
      </c>
      <c r="B331" s="5">
        <v>45058</v>
      </c>
      <c r="C331" t="s">
        <v>192</v>
      </c>
      <c r="D331">
        <v>57</v>
      </c>
      <c r="E331" t="s">
        <v>16</v>
      </c>
      <c r="F331" t="s">
        <v>35</v>
      </c>
      <c r="G331" t="s">
        <v>257</v>
      </c>
      <c r="H331">
        <v>7</v>
      </c>
      <c r="I331">
        <v>1388</v>
      </c>
      <c r="J331">
        <v>40</v>
      </c>
      <c r="K331" t="s">
        <v>19</v>
      </c>
      <c r="L331" t="s">
        <v>56</v>
      </c>
      <c r="M331">
        <v>5829.6</v>
      </c>
      <c r="N331" t="s">
        <v>26</v>
      </c>
    </row>
    <row r="332" spans="1:14" x14ac:dyDescent="0.25">
      <c r="A332" t="s">
        <v>582</v>
      </c>
      <c r="B332" s="5">
        <v>45021</v>
      </c>
      <c r="C332" t="s">
        <v>192</v>
      </c>
      <c r="D332">
        <v>47</v>
      </c>
      <c r="E332" t="s">
        <v>16</v>
      </c>
      <c r="F332" t="s">
        <v>54</v>
      </c>
      <c r="G332" t="s">
        <v>348</v>
      </c>
      <c r="H332">
        <v>1</v>
      </c>
      <c r="I332">
        <v>2500</v>
      </c>
      <c r="J332">
        <v>0</v>
      </c>
      <c r="K332" t="s">
        <v>41</v>
      </c>
      <c r="L332" t="s">
        <v>20</v>
      </c>
      <c r="M332">
        <v>2500</v>
      </c>
      <c r="N332" t="s">
        <v>26</v>
      </c>
    </row>
    <row r="333" spans="1:14" x14ac:dyDescent="0.25">
      <c r="A333" t="s">
        <v>583</v>
      </c>
      <c r="B333" s="5">
        <v>44995</v>
      </c>
      <c r="D333">
        <v>56</v>
      </c>
      <c r="E333" t="s">
        <v>23</v>
      </c>
      <c r="F333" t="s">
        <v>17</v>
      </c>
      <c r="G333" t="s">
        <v>492</v>
      </c>
      <c r="H333">
        <v>1</v>
      </c>
      <c r="I333">
        <v>2750</v>
      </c>
      <c r="J333">
        <v>0</v>
      </c>
      <c r="K333" t="s">
        <v>41</v>
      </c>
      <c r="L333" t="s">
        <v>20</v>
      </c>
      <c r="M333">
        <v>2750</v>
      </c>
      <c r="N333" t="s">
        <v>45</v>
      </c>
    </row>
    <row r="334" spans="1:14" x14ac:dyDescent="0.25">
      <c r="A334" t="s">
        <v>584</v>
      </c>
      <c r="B334" s="5">
        <v>45034</v>
      </c>
      <c r="C334" t="s">
        <v>211</v>
      </c>
      <c r="D334">
        <v>29</v>
      </c>
      <c r="E334" t="s">
        <v>23</v>
      </c>
      <c r="F334" t="s">
        <v>17</v>
      </c>
      <c r="G334" t="s">
        <v>80</v>
      </c>
      <c r="H334">
        <v>2</v>
      </c>
      <c r="I334">
        <v>4350</v>
      </c>
      <c r="J334">
        <v>5</v>
      </c>
      <c r="K334" t="s">
        <v>50</v>
      </c>
      <c r="L334" t="s">
        <v>449</v>
      </c>
      <c r="M334">
        <v>8265</v>
      </c>
      <c r="N334" t="s">
        <v>38</v>
      </c>
    </row>
    <row r="335" spans="1:14" x14ac:dyDescent="0.25">
      <c r="A335" t="s">
        <v>585</v>
      </c>
      <c r="B335" s="5" t="s">
        <v>1369</v>
      </c>
      <c r="D335">
        <v>23</v>
      </c>
      <c r="E335" t="s">
        <v>16</v>
      </c>
      <c r="F335" t="s">
        <v>91</v>
      </c>
      <c r="G335" t="s">
        <v>77</v>
      </c>
      <c r="H335">
        <v>1</v>
      </c>
      <c r="I335">
        <v>18400</v>
      </c>
      <c r="J335">
        <v>40</v>
      </c>
      <c r="K335" t="s">
        <v>41</v>
      </c>
      <c r="L335" t="s">
        <v>20</v>
      </c>
      <c r="M335">
        <v>11040</v>
      </c>
      <c r="N335" t="s">
        <v>26</v>
      </c>
    </row>
    <row r="336" spans="1:14" x14ac:dyDescent="0.25">
      <c r="A336" t="s">
        <v>586</v>
      </c>
      <c r="B336" s="5">
        <v>45160</v>
      </c>
      <c r="C336" t="s">
        <v>587</v>
      </c>
      <c r="D336">
        <v>56</v>
      </c>
      <c r="E336" t="s">
        <v>16</v>
      </c>
      <c r="F336" t="s">
        <v>17</v>
      </c>
      <c r="G336" t="s">
        <v>492</v>
      </c>
      <c r="H336">
        <v>2</v>
      </c>
      <c r="I336">
        <v>4750</v>
      </c>
      <c r="J336">
        <v>15</v>
      </c>
      <c r="K336" t="s">
        <v>41</v>
      </c>
      <c r="L336" t="s">
        <v>20</v>
      </c>
      <c r="M336">
        <v>8075</v>
      </c>
      <c r="N336" t="s">
        <v>26</v>
      </c>
    </row>
    <row r="337" spans="1:14" x14ac:dyDescent="0.25">
      <c r="A337" t="s">
        <v>588</v>
      </c>
      <c r="B337" s="5">
        <v>45058</v>
      </c>
      <c r="C337" t="s">
        <v>587</v>
      </c>
      <c r="D337">
        <v>51</v>
      </c>
      <c r="E337" t="s">
        <v>16</v>
      </c>
      <c r="F337" t="s">
        <v>30</v>
      </c>
      <c r="G337" t="s">
        <v>135</v>
      </c>
      <c r="H337">
        <v>7</v>
      </c>
      <c r="I337">
        <v>10792</v>
      </c>
      <c r="J337">
        <v>0</v>
      </c>
      <c r="K337" t="s">
        <v>41</v>
      </c>
      <c r="L337" t="s">
        <v>20</v>
      </c>
      <c r="M337">
        <v>75544</v>
      </c>
      <c r="N337" t="s">
        <v>26</v>
      </c>
    </row>
    <row r="338" spans="1:14" x14ac:dyDescent="0.25">
      <c r="A338" t="s">
        <v>589</v>
      </c>
      <c r="B338" s="5">
        <v>45164</v>
      </c>
      <c r="C338" t="s">
        <v>53</v>
      </c>
      <c r="D338">
        <v>59</v>
      </c>
      <c r="E338" t="s">
        <v>16</v>
      </c>
      <c r="F338" t="s">
        <v>30</v>
      </c>
      <c r="G338" t="s">
        <v>195</v>
      </c>
      <c r="H338">
        <v>6</v>
      </c>
      <c r="I338">
        <v>3472</v>
      </c>
      <c r="J338">
        <v>5</v>
      </c>
      <c r="K338" t="s">
        <v>50</v>
      </c>
      <c r="L338" t="s">
        <v>20</v>
      </c>
      <c r="M338">
        <v>19790.400000000001</v>
      </c>
      <c r="N338" t="s">
        <v>26</v>
      </c>
    </row>
    <row r="339" spans="1:14" x14ac:dyDescent="0.25">
      <c r="A339" t="s">
        <v>590</v>
      </c>
      <c r="B339" s="5">
        <v>45238</v>
      </c>
      <c r="C339" t="s">
        <v>28</v>
      </c>
      <c r="D339">
        <v>52</v>
      </c>
      <c r="E339" t="s">
        <v>16</v>
      </c>
      <c r="F339" t="s">
        <v>30</v>
      </c>
      <c r="G339" t="s">
        <v>294</v>
      </c>
      <c r="H339">
        <v>9</v>
      </c>
      <c r="I339">
        <v>2</v>
      </c>
      <c r="J339">
        <v>15</v>
      </c>
      <c r="K339" t="s">
        <v>89</v>
      </c>
      <c r="L339" t="s">
        <v>51</v>
      </c>
      <c r="M339">
        <v>15.3</v>
      </c>
      <c r="N339" t="s">
        <v>21</v>
      </c>
    </row>
    <row r="340" spans="1:14" x14ac:dyDescent="0.25">
      <c r="A340" t="s">
        <v>591</v>
      </c>
      <c r="B340" s="5">
        <v>45055</v>
      </c>
      <c r="C340" t="s">
        <v>87</v>
      </c>
      <c r="D340">
        <v>58</v>
      </c>
      <c r="E340" t="s">
        <v>23</v>
      </c>
      <c r="F340" t="s">
        <v>30</v>
      </c>
      <c r="G340" t="s">
        <v>60</v>
      </c>
      <c r="H340">
        <v>8</v>
      </c>
      <c r="I340">
        <v>7651</v>
      </c>
      <c r="J340">
        <v>10</v>
      </c>
      <c r="K340" t="s">
        <v>89</v>
      </c>
      <c r="L340" t="s">
        <v>20</v>
      </c>
      <c r="M340">
        <v>55087.199999999997</v>
      </c>
      <c r="N340" t="s">
        <v>21</v>
      </c>
    </row>
    <row r="341" spans="1:14" x14ac:dyDescent="0.25">
      <c r="A341" t="s">
        <v>592</v>
      </c>
      <c r="B341" s="5">
        <v>45174</v>
      </c>
      <c r="C341" t="s">
        <v>102</v>
      </c>
      <c r="D341">
        <v>61</v>
      </c>
      <c r="E341" t="s">
        <v>23</v>
      </c>
      <c r="F341" t="s">
        <v>30</v>
      </c>
      <c r="G341" t="s">
        <v>294</v>
      </c>
      <c r="H341">
        <v>7</v>
      </c>
      <c r="I341">
        <v>305</v>
      </c>
      <c r="J341">
        <v>20</v>
      </c>
      <c r="K341" t="s">
        <v>41</v>
      </c>
      <c r="L341" t="s">
        <v>449</v>
      </c>
      <c r="M341">
        <v>1708</v>
      </c>
      <c r="N341" t="s">
        <v>45</v>
      </c>
    </row>
    <row r="342" spans="1:14" x14ac:dyDescent="0.25">
      <c r="A342" t="s">
        <v>593</v>
      </c>
      <c r="B342" s="5" t="s">
        <v>1356</v>
      </c>
      <c r="C342" t="s">
        <v>82</v>
      </c>
      <c r="D342">
        <v>21</v>
      </c>
      <c r="E342" t="s">
        <v>16</v>
      </c>
      <c r="F342" t="s">
        <v>129</v>
      </c>
      <c r="G342" t="s">
        <v>268</v>
      </c>
      <c r="H342">
        <v>8</v>
      </c>
      <c r="I342">
        <v>1011</v>
      </c>
      <c r="J342">
        <v>5</v>
      </c>
      <c r="K342" t="s">
        <v>83</v>
      </c>
      <c r="L342" t="s">
        <v>20</v>
      </c>
      <c r="M342">
        <v>7683.6</v>
      </c>
      <c r="N342" t="s">
        <v>45</v>
      </c>
    </row>
    <row r="343" spans="1:14" x14ac:dyDescent="0.25">
      <c r="A343" t="s">
        <v>594</v>
      </c>
      <c r="B343" s="5" t="s">
        <v>229</v>
      </c>
      <c r="D343">
        <v>28</v>
      </c>
      <c r="E343" t="s">
        <v>16</v>
      </c>
      <c r="F343" t="s">
        <v>30</v>
      </c>
      <c r="G343" t="s">
        <v>540</v>
      </c>
      <c r="H343">
        <v>4</v>
      </c>
      <c r="I343">
        <v>2978</v>
      </c>
      <c r="J343">
        <v>5</v>
      </c>
      <c r="K343" t="s">
        <v>25</v>
      </c>
      <c r="L343" t="s">
        <v>20</v>
      </c>
      <c r="M343">
        <v>11316.4</v>
      </c>
      <c r="N343" t="s">
        <v>295</v>
      </c>
    </row>
    <row r="344" spans="1:14" x14ac:dyDescent="0.25">
      <c r="A344" t="s">
        <v>595</v>
      </c>
      <c r="B344" s="5">
        <v>45092</v>
      </c>
      <c r="C344" t="s">
        <v>160</v>
      </c>
      <c r="D344">
        <v>58</v>
      </c>
      <c r="E344" t="s">
        <v>16</v>
      </c>
      <c r="F344" t="s">
        <v>54</v>
      </c>
      <c r="G344" t="s">
        <v>55</v>
      </c>
      <c r="H344">
        <v>1</v>
      </c>
      <c r="I344">
        <v>33400</v>
      </c>
      <c r="J344">
        <v>0</v>
      </c>
      <c r="K344" t="s">
        <v>41</v>
      </c>
      <c r="L344" t="s">
        <v>20</v>
      </c>
      <c r="M344">
        <v>33400</v>
      </c>
      <c r="N344" t="s">
        <v>21</v>
      </c>
    </row>
    <row r="345" spans="1:14" x14ac:dyDescent="0.25">
      <c r="A345" t="s">
        <v>596</v>
      </c>
      <c r="B345" s="5" t="s">
        <v>229</v>
      </c>
      <c r="C345" t="s">
        <v>355</v>
      </c>
      <c r="D345">
        <v>33</v>
      </c>
      <c r="E345" t="s">
        <v>23</v>
      </c>
      <c r="F345" t="s">
        <v>30</v>
      </c>
      <c r="G345" t="s">
        <v>31</v>
      </c>
      <c r="H345">
        <v>4</v>
      </c>
      <c r="I345">
        <v>2819</v>
      </c>
      <c r="J345">
        <v>50</v>
      </c>
      <c r="K345" t="s">
        <v>19</v>
      </c>
      <c r="L345" t="s">
        <v>51</v>
      </c>
      <c r="M345">
        <v>5638</v>
      </c>
      <c r="N345" t="s">
        <v>26</v>
      </c>
    </row>
    <row r="346" spans="1:14" x14ac:dyDescent="0.25">
      <c r="A346" t="s">
        <v>597</v>
      </c>
      <c r="B346" s="5">
        <v>44975</v>
      </c>
      <c r="C346" t="s">
        <v>241</v>
      </c>
      <c r="D346">
        <v>38</v>
      </c>
      <c r="E346" t="s">
        <v>23</v>
      </c>
      <c r="F346" t="s">
        <v>384</v>
      </c>
      <c r="G346" t="s">
        <v>60</v>
      </c>
      <c r="H346">
        <v>1</v>
      </c>
      <c r="I346">
        <v>9713</v>
      </c>
      <c r="J346">
        <v>5</v>
      </c>
      <c r="K346" t="s">
        <v>25</v>
      </c>
      <c r="L346" t="s">
        <v>51</v>
      </c>
      <c r="M346">
        <v>9227.35</v>
      </c>
      <c r="N346" t="s">
        <v>21</v>
      </c>
    </row>
    <row r="347" spans="1:14" x14ac:dyDescent="0.25">
      <c r="A347" t="s">
        <v>598</v>
      </c>
      <c r="B347" s="5" t="s">
        <v>1084</v>
      </c>
      <c r="C347" t="s">
        <v>217</v>
      </c>
      <c r="D347">
        <v>60</v>
      </c>
      <c r="E347" t="s">
        <v>171</v>
      </c>
      <c r="F347" t="s">
        <v>35</v>
      </c>
      <c r="G347" t="s">
        <v>126</v>
      </c>
      <c r="H347">
        <v>3</v>
      </c>
      <c r="I347">
        <v>524</v>
      </c>
      <c r="J347">
        <v>50</v>
      </c>
      <c r="K347" t="s">
        <v>50</v>
      </c>
      <c r="L347" t="s">
        <v>20</v>
      </c>
      <c r="M347">
        <v>786</v>
      </c>
      <c r="N347" t="s">
        <v>38</v>
      </c>
    </row>
    <row r="348" spans="1:14" x14ac:dyDescent="0.25">
      <c r="A348" t="s">
        <v>599</v>
      </c>
      <c r="B348" s="5">
        <v>44955</v>
      </c>
      <c r="C348" t="s">
        <v>160</v>
      </c>
      <c r="D348">
        <v>62</v>
      </c>
      <c r="E348" t="s">
        <v>23</v>
      </c>
      <c r="F348" t="s">
        <v>17</v>
      </c>
      <c r="G348" t="s">
        <v>124</v>
      </c>
      <c r="H348">
        <v>3</v>
      </c>
      <c r="I348">
        <v>7000</v>
      </c>
      <c r="J348">
        <v>20</v>
      </c>
      <c r="K348" t="s">
        <v>41</v>
      </c>
      <c r="L348" t="s">
        <v>20</v>
      </c>
      <c r="M348">
        <v>16800</v>
      </c>
      <c r="N348" t="s">
        <v>38</v>
      </c>
    </row>
    <row r="349" spans="1:14" x14ac:dyDescent="0.25">
      <c r="A349" t="s">
        <v>600</v>
      </c>
      <c r="B349" s="5">
        <v>45179</v>
      </c>
      <c r="C349" t="s">
        <v>128</v>
      </c>
      <c r="D349">
        <v>42</v>
      </c>
      <c r="E349" t="s">
        <v>29</v>
      </c>
      <c r="F349" t="s">
        <v>17</v>
      </c>
      <c r="G349" t="s">
        <v>94</v>
      </c>
      <c r="H349">
        <v>3</v>
      </c>
      <c r="I349">
        <v>3450</v>
      </c>
      <c r="J349">
        <v>5</v>
      </c>
      <c r="K349" t="s">
        <v>19</v>
      </c>
      <c r="L349" t="s">
        <v>107</v>
      </c>
      <c r="M349">
        <v>9832.5</v>
      </c>
      <c r="N349" t="s">
        <v>45</v>
      </c>
    </row>
    <row r="350" spans="1:14" x14ac:dyDescent="0.25">
      <c r="A350" t="s">
        <v>601</v>
      </c>
      <c r="B350" s="5">
        <v>45125</v>
      </c>
      <c r="C350" t="s">
        <v>48</v>
      </c>
      <c r="D350">
        <v>58</v>
      </c>
      <c r="E350" t="s">
        <v>23</v>
      </c>
      <c r="F350" t="s">
        <v>54</v>
      </c>
      <c r="G350" t="s">
        <v>92</v>
      </c>
      <c r="H350">
        <v>2</v>
      </c>
      <c r="I350">
        <v>15000</v>
      </c>
      <c r="J350">
        <v>20</v>
      </c>
      <c r="K350" t="s">
        <v>25</v>
      </c>
      <c r="L350" t="s">
        <v>20</v>
      </c>
      <c r="M350">
        <v>24000</v>
      </c>
      <c r="N350" t="s">
        <v>26</v>
      </c>
    </row>
    <row r="351" spans="1:14" x14ac:dyDescent="0.25">
      <c r="A351" t="s">
        <v>602</v>
      </c>
      <c r="B351" s="5" t="s">
        <v>603</v>
      </c>
      <c r="C351" t="s">
        <v>62</v>
      </c>
      <c r="D351">
        <v>31</v>
      </c>
      <c r="E351" t="s">
        <v>23</v>
      </c>
      <c r="F351" t="s">
        <v>35</v>
      </c>
      <c r="G351" t="s">
        <v>203</v>
      </c>
      <c r="H351">
        <v>9</v>
      </c>
      <c r="I351">
        <v>1447</v>
      </c>
      <c r="J351">
        <v>5</v>
      </c>
      <c r="K351" t="s">
        <v>41</v>
      </c>
      <c r="L351" t="s">
        <v>20</v>
      </c>
      <c r="M351">
        <v>-12371.85</v>
      </c>
      <c r="N351" t="s">
        <v>21</v>
      </c>
    </row>
    <row r="352" spans="1:14" x14ac:dyDescent="0.25">
      <c r="A352" t="s">
        <v>604</v>
      </c>
      <c r="B352" s="5">
        <v>45100</v>
      </c>
      <c r="D352">
        <v>54</v>
      </c>
      <c r="E352" t="s">
        <v>23</v>
      </c>
      <c r="F352" t="s">
        <v>17</v>
      </c>
      <c r="G352" t="s">
        <v>189</v>
      </c>
      <c r="H352">
        <v>2</v>
      </c>
      <c r="I352">
        <v>2600</v>
      </c>
      <c r="J352">
        <v>15</v>
      </c>
      <c r="K352" t="s">
        <v>41</v>
      </c>
      <c r="L352" t="s">
        <v>51</v>
      </c>
      <c r="M352">
        <v>4420</v>
      </c>
      <c r="N352" t="s">
        <v>38</v>
      </c>
    </row>
    <row r="353" spans="1:14" x14ac:dyDescent="0.25">
      <c r="A353" t="s">
        <v>605</v>
      </c>
      <c r="B353" s="5">
        <v>45261</v>
      </c>
      <c r="C353" t="s">
        <v>156</v>
      </c>
      <c r="D353">
        <v>42</v>
      </c>
      <c r="E353" t="s">
        <v>23</v>
      </c>
      <c r="F353" t="s">
        <v>30</v>
      </c>
      <c r="G353" t="s">
        <v>218</v>
      </c>
      <c r="H353">
        <v>10</v>
      </c>
      <c r="I353">
        <v>2547</v>
      </c>
      <c r="J353">
        <v>5</v>
      </c>
      <c r="K353" t="s">
        <v>50</v>
      </c>
      <c r="L353" t="s">
        <v>20</v>
      </c>
      <c r="M353">
        <v>24196.5</v>
      </c>
      <c r="N353" t="s">
        <v>26</v>
      </c>
    </row>
    <row r="354" spans="1:14" x14ac:dyDescent="0.25">
      <c r="A354" t="s">
        <v>441</v>
      </c>
      <c r="B354" s="5">
        <v>44927</v>
      </c>
      <c r="C354" t="s">
        <v>128</v>
      </c>
      <c r="D354">
        <v>59</v>
      </c>
      <c r="E354" t="s">
        <v>16</v>
      </c>
      <c r="F354" t="s">
        <v>54</v>
      </c>
      <c r="G354" t="s">
        <v>282</v>
      </c>
      <c r="H354">
        <v>1</v>
      </c>
      <c r="I354">
        <v>18700</v>
      </c>
      <c r="J354">
        <v>25</v>
      </c>
      <c r="K354" t="s">
        <v>50</v>
      </c>
      <c r="L354" t="s">
        <v>20</v>
      </c>
      <c r="M354">
        <v>14025</v>
      </c>
      <c r="N354" t="s">
        <v>45</v>
      </c>
    </row>
    <row r="355" spans="1:14" x14ac:dyDescent="0.25">
      <c r="A355" t="s">
        <v>606</v>
      </c>
      <c r="B355" s="5" t="s">
        <v>607</v>
      </c>
      <c r="D355">
        <v>33</v>
      </c>
      <c r="E355" t="s">
        <v>23</v>
      </c>
      <c r="F355" t="s">
        <v>608</v>
      </c>
      <c r="G355" t="s">
        <v>92</v>
      </c>
      <c r="H355">
        <v>1</v>
      </c>
      <c r="I355">
        <v>5000</v>
      </c>
      <c r="J355">
        <v>0</v>
      </c>
      <c r="K355" t="s">
        <v>19</v>
      </c>
      <c r="L355" t="s">
        <v>20</v>
      </c>
      <c r="M355">
        <v>5000</v>
      </c>
      <c r="N355" t="s">
        <v>38</v>
      </c>
    </row>
    <row r="356" spans="1:14" x14ac:dyDescent="0.25">
      <c r="A356" t="s">
        <v>609</v>
      </c>
      <c r="B356" s="5">
        <v>45098</v>
      </c>
      <c r="C356" t="s">
        <v>452</v>
      </c>
      <c r="D356">
        <v>59</v>
      </c>
      <c r="E356" t="s">
        <v>16</v>
      </c>
      <c r="F356" t="s">
        <v>54</v>
      </c>
      <c r="G356" t="s">
        <v>114</v>
      </c>
      <c r="H356">
        <v>1</v>
      </c>
      <c r="I356">
        <v>87300</v>
      </c>
      <c r="K356" t="s">
        <v>41</v>
      </c>
      <c r="L356" t="s">
        <v>20</v>
      </c>
      <c r="M356">
        <v>87300</v>
      </c>
      <c r="N356" t="s">
        <v>21</v>
      </c>
    </row>
    <row r="357" spans="1:14" x14ac:dyDescent="0.25">
      <c r="A357" t="s">
        <v>610</v>
      </c>
      <c r="B357" s="5">
        <v>45159</v>
      </c>
      <c r="C357" t="s">
        <v>188</v>
      </c>
      <c r="D357">
        <v>30</v>
      </c>
      <c r="E357" t="s">
        <v>143</v>
      </c>
      <c r="F357" t="s">
        <v>54</v>
      </c>
      <c r="G357" t="s">
        <v>199</v>
      </c>
      <c r="H357">
        <v>1</v>
      </c>
      <c r="I357">
        <v>60100</v>
      </c>
      <c r="J357">
        <v>50</v>
      </c>
      <c r="K357" t="s">
        <v>41</v>
      </c>
      <c r="L357" t="s">
        <v>20</v>
      </c>
      <c r="M357">
        <v>30050</v>
      </c>
      <c r="N357" t="s">
        <v>38</v>
      </c>
    </row>
    <row r="358" spans="1:14" x14ac:dyDescent="0.25">
      <c r="A358" t="s">
        <v>611</v>
      </c>
      <c r="B358" s="5">
        <v>45144</v>
      </c>
      <c r="C358" t="s">
        <v>102</v>
      </c>
      <c r="D358">
        <v>29</v>
      </c>
      <c r="E358" t="s">
        <v>73</v>
      </c>
      <c r="F358" t="s">
        <v>17</v>
      </c>
      <c r="G358" t="s">
        <v>94</v>
      </c>
      <c r="H358">
        <v>3</v>
      </c>
      <c r="I358">
        <v>3150</v>
      </c>
      <c r="J358">
        <v>0</v>
      </c>
      <c r="K358" t="s">
        <v>19</v>
      </c>
      <c r="L358" t="s">
        <v>20</v>
      </c>
      <c r="M358">
        <v>9450</v>
      </c>
      <c r="N358" t="s">
        <v>26</v>
      </c>
    </row>
    <row r="359" spans="1:14" x14ac:dyDescent="0.25">
      <c r="A359" t="s">
        <v>612</v>
      </c>
      <c r="B359" s="5">
        <v>45246</v>
      </c>
      <c r="C359" t="s">
        <v>152</v>
      </c>
      <c r="D359">
        <v>29</v>
      </c>
      <c r="E359" t="s">
        <v>490</v>
      </c>
      <c r="F359" t="s">
        <v>17</v>
      </c>
      <c r="G359" t="s">
        <v>80</v>
      </c>
      <c r="H359">
        <v>0</v>
      </c>
      <c r="I359">
        <v>7850</v>
      </c>
      <c r="J359">
        <v>20</v>
      </c>
      <c r="K359" t="s">
        <v>25</v>
      </c>
      <c r="L359" t="s">
        <v>20</v>
      </c>
      <c r="M359">
        <v>0</v>
      </c>
      <c r="N359" t="s">
        <v>26</v>
      </c>
    </row>
    <row r="360" spans="1:14" x14ac:dyDescent="0.25">
      <c r="A360" t="s">
        <v>613</v>
      </c>
      <c r="B360" s="5" t="s">
        <v>614</v>
      </c>
      <c r="D360">
        <v>30</v>
      </c>
      <c r="E360" t="s">
        <v>16</v>
      </c>
      <c r="F360" t="s">
        <v>17</v>
      </c>
      <c r="G360" t="s">
        <v>492</v>
      </c>
      <c r="H360">
        <v>3</v>
      </c>
      <c r="I360">
        <v>2050</v>
      </c>
      <c r="J360">
        <v>30</v>
      </c>
      <c r="K360" t="s">
        <v>19</v>
      </c>
      <c r="L360" t="s">
        <v>56</v>
      </c>
      <c r="M360">
        <v>4305</v>
      </c>
      <c r="N360" t="s">
        <v>26</v>
      </c>
    </row>
    <row r="361" spans="1:14" x14ac:dyDescent="0.25">
      <c r="A361" t="s">
        <v>615</v>
      </c>
      <c r="B361" s="5">
        <v>45050</v>
      </c>
      <c r="C361" t="s">
        <v>616</v>
      </c>
      <c r="D361">
        <v>22</v>
      </c>
      <c r="E361" t="s">
        <v>23</v>
      </c>
      <c r="F361" t="s">
        <v>569</v>
      </c>
      <c r="G361" t="s">
        <v>166</v>
      </c>
      <c r="H361">
        <v>9</v>
      </c>
      <c r="I361">
        <v>957</v>
      </c>
      <c r="J361">
        <v>25</v>
      </c>
      <c r="K361" t="s">
        <v>41</v>
      </c>
      <c r="L361" t="s">
        <v>20</v>
      </c>
      <c r="M361">
        <v>6459.75</v>
      </c>
      <c r="N361" t="s">
        <v>45</v>
      </c>
    </row>
    <row r="362" spans="1:14" x14ac:dyDescent="0.25">
      <c r="A362" t="s">
        <v>617</v>
      </c>
      <c r="B362" s="5">
        <v>45254</v>
      </c>
      <c r="C362" t="s">
        <v>28</v>
      </c>
      <c r="D362">
        <v>49</v>
      </c>
      <c r="E362" t="s">
        <v>16</v>
      </c>
      <c r="F362" t="s">
        <v>54</v>
      </c>
      <c r="G362" t="s">
        <v>180</v>
      </c>
      <c r="H362">
        <v>2</v>
      </c>
      <c r="I362">
        <v>25100</v>
      </c>
      <c r="J362">
        <v>5</v>
      </c>
      <c r="K362" t="s">
        <v>25</v>
      </c>
      <c r="L362" t="s">
        <v>20</v>
      </c>
      <c r="M362">
        <v>47690</v>
      </c>
      <c r="N362" t="s">
        <v>21</v>
      </c>
    </row>
    <row r="363" spans="1:14" x14ac:dyDescent="0.25">
      <c r="A363" t="s">
        <v>618</v>
      </c>
      <c r="B363" s="5">
        <v>45195</v>
      </c>
      <c r="D363">
        <v>32</v>
      </c>
      <c r="E363" t="s">
        <v>16</v>
      </c>
      <c r="F363" t="s">
        <v>17</v>
      </c>
      <c r="G363" t="s">
        <v>186</v>
      </c>
      <c r="H363">
        <v>1</v>
      </c>
      <c r="I363">
        <v>2000</v>
      </c>
      <c r="J363">
        <v>0</v>
      </c>
      <c r="K363" t="s">
        <v>25</v>
      </c>
      <c r="L363" t="s">
        <v>20</v>
      </c>
      <c r="M363">
        <v>2000</v>
      </c>
      <c r="N363" t="s">
        <v>26</v>
      </c>
    </row>
    <row r="364" spans="1:14" x14ac:dyDescent="0.25">
      <c r="A364" t="s">
        <v>619</v>
      </c>
      <c r="B364" s="5">
        <v>45235</v>
      </c>
      <c r="C364" t="s">
        <v>48</v>
      </c>
      <c r="D364">
        <v>30</v>
      </c>
      <c r="E364" t="s">
        <v>16</v>
      </c>
      <c r="F364" t="s">
        <v>30</v>
      </c>
      <c r="G364" t="s">
        <v>294</v>
      </c>
      <c r="H364">
        <v>4</v>
      </c>
      <c r="I364">
        <v>571</v>
      </c>
      <c r="J364">
        <v>30</v>
      </c>
      <c r="K364" t="s">
        <v>19</v>
      </c>
      <c r="L364" t="s">
        <v>20</v>
      </c>
      <c r="M364">
        <v>1598.8</v>
      </c>
      <c r="N364" t="s">
        <v>149</v>
      </c>
    </row>
    <row r="365" spans="1:14" x14ac:dyDescent="0.25">
      <c r="A365" t="s">
        <v>620</v>
      </c>
      <c r="B365" s="5">
        <v>45252</v>
      </c>
      <c r="C365" t="s">
        <v>48</v>
      </c>
      <c r="D365">
        <v>50</v>
      </c>
      <c r="E365" t="s">
        <v>23</v>
      </c>
      <c r="F365" t="s">
        <v>30</v>
      </c>
      <c r="G365" t="s">
        <v>67</v>
      </c>
      <c r="H365">
        <v>2</v>
      </c>
      <c r="I365">
        <v>3915</v>
      </c>
      <c r="J365">
        <v>0</v>
      </c>
      <c r="K365" t="s">
        <v>41</v>
      </c>
      <c r="L365" t="s">
        <v>20</v>
      </c>
      <c r="M365">
        <v>7830</v>
      </c>
      <c r="N365" t="s">
        <v>621</v>
      </c>
    </row>
    <row r="366" spans="1:14" x14ac:dyDescent="0.25">
      <c r="A366" t="s">
        <v>622</v>
      </c>
      <c r="B366" s="5" t="s">
        <v>424</v>
      </c>
      <c r="C366" t="s">
        <v>211</v>
      </c>
      <c r="D366">
        <v>60</v>
      </c>
      <c r="E366" t="s">
        <v>23</v>
      </c>
      <c r="F366" t="s">
        <v>54</v>
      </c>
      <c r="G366" t="s">
        <v>237</v>
      </c>
      <c r="H366">
        <v>1</v>
      </c>
      <c r="I366">
        <v>53000</v>
      </c>
      <c r="J366">
        <v>10</v>
      </c>
      <c r="K366" t="s">
        <v>19</v>
      </c>
      <c r="L366" t="s">
        <v>20</v>
      </c>
      <c r="M366">
        <v>47700</v>
      </c>
      <c r="N366" t="s">
        <v>21</v>
      </c>
    </row>
    <row r="367" spans="1:14" x14ac:dyDescent="0.25">
      <c r="A367" t="s">
        <v>623</v>
      </c>
      <c r="B367" s="5" t="s">
        <v>1368</v>
      </c>
      <c r="D367">
        <v>51</v>
      </c>
      <c r="E367" t="s">
        <v>16</v>
      </c>
      <c r="F367" t="s">
        <v>30</v>
      </c>
      <c r="G367" t="s">
        <v>218</v>
      </c>
      <c r="H367">
        <v>4</v>
      </c>
      <c r="I367">
        <v>2149</v>
      </c>
      <c r="J367">
        <v>20</v>
      </c>
      <c r="K367" t="s">
        <v>41</v>
      </c>
      <c r="L367" t="s">
        <v>51</v>
      </c>
      <c r="M367">
        <v>6876.8</v>
      </c>
      <c r="N367" t="s">
        <v>45</v>
      </c>
    </row>
    <row r="368" spans="1:14" x14ac:dyDescent="0.25">
      <c r="A368" t="s">
        <v>624</v>
      </c>
      <c r="B368" s="5" t="s">
        <v>273</v>
      </c>
      <c r="C368" t="s">
        <v>15</v>
      </c>
      <c r="D368">
        <v>37</v>
      </c>
      <c r="E368" t="s">
        <v>138</v>
      </c>
      <c r="F368" t="s">
        <v>35</v>
      </c>
      <c r="G368" t="s">
        <v>271</v>
      </c>
      <c r="H368">
        <v>8</v>
      </c>
      <c r="I368">
        <v>487</v>
      </c>
      <c r="J368">
        <v>20</v>
      </c>
      <c r="K368" t="s">
        <v>41</v>
      </c>
      <c r="L368" t="s">
        <v>20</v>
      </c>
      <c r="M368">
        <v>3116.8</v>
      </c>
      <c r="N368" t="s">
        <v>45</v>
      </c>
    </row>
    <row r="369" spans="1:14" x14ac:dyDescent="0.25">
      <c r="A369" t="s">
        <v>625</v>
      </c>
      <c r="B369" s="5" t="s">
        <v>468</v>
      </c>
      <c r="C369" t="s">
        <v>53</v>
      </c>
      <c r="D369">
        <v>60</v>
      </c>
      <c r="E369" t="s">
        <v>23</v>
      </c>
      <c r="F369" t="s">
        <v>254</v>
      </c>
      <c r="G369" t="s">
        <v>55</v>
      </c>
      <c r="H369">
        <v>2</v>
      </c>
      <c r="I369">
        <v>31600</v>
      </c>
      <c r="J369">
        <v>40</v>
      </c>
      <c r="K369" t="s">
        <v>19</v>
      </c>
      <c r="L369" t="s">
        <v>20</v>
      </c>
      <c r="M369">
        <v>37920</v>
      </c>
      <c r="N369" t="s">
        <v>38</v>
      </c>
    </row>
    <row r="370" spans="1:14" x14ac:dyDescent="0.25">
      <c r="A370" t="s">
        <v>626</v>
      </c>
      <c r="B370" s="5">
        <v>45002</v>
      </c>
      <c r="C370" t="s">
        <v>28</v>
      </c>
      <c r="D370">
        <v>50</v>
      </c>
      <c r="E370" t="s">
        <v>16</v>
      </c>
      <c r="F370" t="s">
        <v>347</v>
      </c>
      <c r="G370" t="s">
        <v>311</v>
      </c>
      <c r="H370">
        <v>1</v>
      </c>
      <c r="I370">
        <v>4000</v>
      </c>
      <c r="J370">
        <v>50</v>
      </c>
      <c r="K370" t="s">
        <v>19</v>
      </c>
      <c r="L370" t="s">
        <v>20</v>
      </c>
      <c r="M370">
        <v>2000</v>
      </c>
      <c r="N370" t="s">
        <v>21</v>
      </c>
    </row>
    <row r="371" spans="1:14" x14ac:dyDescent="0.25">
      <c r="A371" t="s">
        <v>627</v>
      </c>
      <c r="B371" s="5">
        <v>45275</v>
      </c>
      <c r="C371" t="s">
        <v>628</v>
      </c>
      <c r="D371">
        <v>65</v>
      </c>
      <c r="E371" t="s">
        <v>23</v>
      </c>
      <c r="F371" t="s">
        <v>17</v>
      </c>
      <c r="G371" t="s">
        <v>80</v>
      </c>
      <c r="H371">
        <v>3</v>
      </c>
      <c r="I371">
        <v>5700</v>
      </c>
      <c r="J371">
        <v>40</v>
      </c>
      <c r="K371" t="s">
        <v>105</v>
      </c>
      <c r="L371" t="s">
        <v>20</v>
      </c>
      <c r="M371">
        <v>10260</v>
      </c>
      <c r="N371" t="s">
        <v>26</v>
      </c>
    </row>
    <row r="372" spans="1:14" x14ac:dyDescent="0.25">
      <c r="A372" t="s">
        <v>629</v>
      </c>
      <c r="B372" s="5">
        <v>45234</v>
      </c>
      <c r="C372" t="s">
        <v>243</v>
      </c>
      <c r="D372">
        <v>58</v>
      </c>
      <c r="E372" t="s">
        <v>29</v>
      </c>
      <c r="F372" t="s">
        <v>30</v>
      </c>
      <c r="G372" t="s">
        <v>268</v>
      </c>
      <c r="H372">
        <v>2</v>
      </c>
      <c r="I372">
        <v>1719</v>
      </c>
      <c r="J372">
        <v>20</v>
      </c>
      <c r="K372" t="s">
        <v>41</v>
      </c>
      <c r="L372" t="s">
        <v>20</v>
      </c>
      <c r="M372">
        <v>2750.4</v>
      </c>
      <c r="N372" t="s">
        <v>38</v>
      </c>
    </row>
    <row r="373" spans="1:14" x14ac:dyDescent="0.25">
      <c r="A373" t="s">
        <v>630</v>
      </c>
      <c r="B373" s="5">
        <v>45079</v>
      </c>
      <c r="C373" t="s">
        <v>102</v>
      </c>
      <c r="D373">
        <v>51</v>
      </c>
      <c r="E373" t="s">
        <v>23</v>
      </c>
      <c r="F373" t="s">
        <v>103</v>
      </c>
      <c r="G373" t="s">
        <v>77</v>
      </c>
      <c r="H373">
        <v>1</v>
      </c>
      <c r="I373">
        <v>18900</v>
      </c>
      <c r="J373">
        <v>0</v>
      </c>
      <c r="K373" t="s">
        <v>19</v>
      </c>
      <c r="L373" t="s">
        <v>37</v>
      </c>
      <c r="M373">
        <v>18900</v>
      </c>
      <c r="N373" t="s">
        <v>621</v>
      </c>
    </row>
    <row r="374" spans="1:14" x14ac:dyDescent="0.25">
      <c r="A374" t="s">
        <v>631</v>
      </c>
      <c r="B374" s="5" t="s">
        <v>632</v>
      </c>
      <c r="C374" t="s">
        <v>110</v>
      </c>
      <c r="D374">
        <v>45</v>
      </c>
      <c r="E374" t="s">
        <v>16</v>
      </c>
      <c r="F374" t="s">
        <v>17</v>
      </c>
      <c r="G374" t="s">
        <v>274</v>
      </c>
      <c r="H374">
        <v>1</v>
      </c>
      <c r="I374">
        <v>3100</v>
      </c>
      <c r="J374">
        <v>40</v>
      </c>
      <c r="K374" t="s">
        <v>41</v>
      </c>
      <c r="L374" t="s">
        <v>20</v>
      </c>
      <c r="M374">
        <v>1860</v>
      </c>
      <c r="N374" t="s">
        <v>38</v>
      </c>
    </row>
    <row r="375" spans="1:14" x14ac:dyDescent="0.25">
      <c r="A375" t="s">
        <v>633</v>
      </c>
      <c r="B375" s="5">
        <v>45071</v>
      </c>
      <c r="D375">
        <v>22</v>
      </c>
      <c r="E375" t="s">
        <v>23</v>
      </c>
      <c r="F375" t="s">
        <v>250</v>
      </c>
      <c r="G375" t="s">
        <v>186</v>
      </c>
      <c r="H375">
        <v>3</v>
      </c>
      <c r="I375">
        <v>1250</v>
      </c>
      <c r="J375">
        <v>0</v>
      </c>
      <c r="K375" t="s">
        <v>25</v>
      </c>
      <c r="L375" t="s">
        <v>20</v>
      </c>
      <c r="M375">
        <v>3750</v>
      </c>
      <c r="N375" t="s">
        <v>38</v>
      </c>
    </row>
    <row r="376" spans="1:14" x14ac:dyDescent="0.25">
      <c r="A376" t="s">
        <v>634</v>
      </c>
      <c r="B376" s="5" t="s">
        <v>635</v>
      </c>
      <c r="C376" t="s">
        <v>87</v>
      </c>
      <c r="D376">
        <v>41</v>
      </c>
      <c r="E376" t="s">
        <v>16</v>
      </c>
      <c r="F376" t="s">
        <v>54</v>
      </c>
      <c r="G376" t="s">
        <v>338</v>
      </c>
      <c r="H376">
        <v>1</v>
      </c>
      <c r="I376">
        <v>7000</v>
      </c>
      <c r="J376">
        <v>40</v>
      </c>
      <c r="K376" t="s">
        <v>50</v>
      </c>
      <c r="L376" t="s">
        <v>20</v>
      </c>
      <c r="M376">
        <v>4200</v>
      </c>
      <c r="N376" t="s">
        <v>21</v>
      </c>
    </row>
    <row r="377" spans="1:14" x14ac:dyDescent="0.25">
      <c r="A377" t="s">
        <v>636</v>
      </c>
      <c r="B377" s="5">
        <v>45078</v>
      </c>
      <c r="D377">
        <v>21</v>
      </c>
      <c r="E377" t="s">
        <v>16</v>
      </c>
      <c r="F377" t="s">
        <v>35</v>
      </c>
      <c r="G377" t="s">
        <v>63</v>
      </c>
      <c r="H377">
        <v>1</v>
      </c>
      <c r="I377">
        <v>2273</v>
      </c>
      <c r="J377">
        <v>5</v>
      </c>
      <c r="K377" t="s">
        <v>41</v>
      </c>
      <c r="L377" t="s">
        <v>20</v>
      </c>
      <c r="M377">
        <v>2159.35</v>
      </c>
      <c r="N377" t="s">
        <v>379</v>
      </c>
    </row>
    <row r="378" spans="1:14" x14ac:dyDescent="0.25">
      <c r="A378" t="s">
        <v>637</v>
      </c>
      <c r="B378" s="5">
        <v>45256</v>
      </c>
      <c r="C378" t="s">
        <v>128</v>
      </c>
      <c r="D378">
        <v>52</v>
      </c>
      <c r="E378" t="s">
        <v>16</v>
      </c>
      <c r="F378" t="s">
        <v>17</v>
      </c>
      <c r="G378" t="s">
        <v>94</v>
      </c>
      <c r="H378">
        <v>2</v>
      </c>
      <c r="I378">
        <v>3100</v>
      </c>
      <c r="J378">
        <v>15</v>
      </c>
      <c r="K378" t="s">
        <v>50</v>
      </c>
      <c r="L378" t="s">
        <v>20</v>
      </c>
      <c r="M378">
        <v>5270</v>
      </c>
      <c r="N378" t="s">
        <v>375</v>
      </c>
    </row>
    <row r="379" spans="1:14" x14ac:dyDescent="0.25">
      <c r="A379" t="s">
        <v>638</v>
      </c>
      <c r="B379" s="5" t="s">
        <v>273</v>
      </c>
      <c r="C379" t="s">
        <v>355</v>
      </c>
      <c r="D379">
        <v>28</v>
      </c>
      <c r="E379" t="s">
        <v>16</v>
      </c>
      <c r="F379" t="s">
        <v>30</v>
      </c>
      <c r="G379" t="s">
        <v>135</v>
      </c>
      <c r="H379">
        <v>1</v>
      </c>
      <c r="I379">
        <v>10485</v>
      </c>
      <c r="J379">
        <v>15</v>
      </c>
      <c r="K379" t="s">
        <v>19</v>
      </c>
      <c r="L379" t="s">
        <v>56</v>
      </c>
      <c r="M379">
        <v>8912.25</v>
      </c>
      <c r="N379" t="s">
        <v>26</v>
      </c>
    </row>
    <row r="380" spans="1:14" x14ac:dyDescent="0.25">
      <c r="A380" t="s">
        <v>639</v>
      </c>
      <c r="B380" s="5">
        <v>45201</v>
      </c>
      <c r="C380" t="s">
        <v>152</v>
      </c>
      <c r="D380">
        <v>48</v>
      </c>
      <c r="E380" t="s">
        <v>16</v>
      </c>
      <c r="F380" t="s">
        <v>54</v>
      </c>
      <c r="G380" t="s">
        <v>180</v>
      </c>
      <c r="H380">
        <v>1</v>
      </c>
      <c r="I380">
        <v>27100</v>
      </c>
      <c r="J380">
        <v>0</v>
      </c>
      <c r="K380" t="s">
        <v>41</v>
      </c>
      <c r="L380" t="s">
        <v>20</v>
      </c>
      <c r="M380">
        <v>27100</v>
      </c>
      <c r="N380" t="s">
        <v>21</v>
      </c>
    </row>
    <row r="381" spans="1:14" x14ac:dyDescent="0.25">
      <c r="A381" t="s">
        <v>640</v>
      </c>
      <c r="B381" s="5" t="s">
        <v>1357</v>
      </c>
      <c r="D381">
        <v>36</v>
      </c>
      <c r="E381" t="s">
        <v>138</v>
      </c>
      <c r="F381" t="s">
        <v>35</v>
      </c>
      <c r="G381" t="s">
        <v>99</v>
      </c>
      <c r="H381">
        <v>5</v>
      </c>
      <c r="I381">
        <v>910</v>
      </c>
      <c r="J381">
        <v>0</v>
      </c>
      <c r="K381" t="s">
        <v>41</v>
      </c>
      <c r="L381" t="s">
        <v>51</v>
      </c>
      <c r="M381">
        <v>4550</v>
      </c>
      <c r="N381" t="s">
        <v>21</v>
      </c>
    </row>
    <row r="382" spans="1:14" x14ac:dyDescent="0.25">
      <c r="A382" t="s">
        <v>641</v>
      </c>
      <c r="B382" s="5">
        <v>45230</v>
      </c>
      <c r="C382" t="s">
        <v>243</v>
      </c>
      <c r="D382">
        <v>60</v>
      </c>
      <c r="E382" t="s">
        <v>23</v>
      </c>
      <c r="F382" t="s">
        <v>384</v>
      </c>
      <c r="G382" t="s">
        <v>224</v>
      </c>
      <c r="H382">
        <v>9</v>
      </c>
      <c r="I382">
        <v>590057</v>
      </c>
      <c r="J382">
        <v>5</v>
      </c>
      <c r="K382" t="s">
        <v>25</v>
      </c>
      <c r="L382" t="s">
        <v>20</v>
      </c>
      <c r="M382">
        <v>5044987.3499999996</v>
      </c>
      <c r="N382" t="s">
        <v>26</v>
      </c>
    </row>
    <row r="383" spans="1:14" x14ac:dyDescent="0.25">
      <c r="A383" t="s">
        <v>642</v>
      </c>
      <c r="B383" s="5" t="s">
        <v>273</v>
      </c>
      <c r="C383" t="s">
        <v>62</v>
      </c>
      <c r="D383">
        <v>57</v>
      </c>
      <c r="E383" t="s">
        <v>16</v>
      </c>
      <c r="F383" t="s">
        <v>35</v>
      </c>
      <c r="G383" t="s">
        <v>139</v>
      </c>
      <c r="H383">
        <v>10</v>
      </c>
      <c r="I383">
        <v>858</v>
      </c>
      <c r="J383">
        <v>0</v>
      </c>
      <c r="K383" t="s">
        <v>50</v>
      </c>
      <c r="L383" t="s">
        <v>20</v>
      </c>
      <c r="M383">
        <v>8580</v>
      </c>
      <c r="N383" t="s">
        <v>26</v>
      </c>
    </row>
    <row r="384" spans="1:14" x14ac:dyDescent="0.25">
      <c r="A384" t="s">
        <v>643</v>
      </c>
      <c r="B384" s="5">
        <v>45270</v>
      </c>
      <c r="C384" t="s">
        <v>102</v>
      </c>
      <c r="D384">
        <v>48</v>
      </c>
      <c r="E384" t="s">
        <v>23</v>
      </c>
      <c r="F384" t="s">
        <v>17</v>
      </c>
      <c r="G384" t="s">
        <v>94</v>
      </c>
      <c r="H384">
        <v>3</v>
      </c>
      <c r="I384">
        <v>3650</v>
      </c>
      <c r="J384">
        <v>25</v>
      </c>
      <c r="K384" t="s">
        <v>41</v>
      </c>
      <c r="L384" t="s">
        <v>20</v>
      </c>
      <c r="M384">
        <v>8212.5</v>
      </c>
      <c r="N384" t="s">
        <v>45</v>
      </c>
    </row>
    <row r="385" spans="1:14" x14ac:dyDescent="0.25">
      <c r="A385" t="s">
        <v>644</v>
      </c>
      <c r="B385" s="5">
        <v>44956</v>
      </c>
      <c r="C385" t="s">
        <v>265</v>
      </c>
      <c r="D385">
        <v>60</v>
      </c>
      <c r="E385" t="s">
        <v>16</v>
      </c>
      <c r="F385" t="s">
        <v>30</v>
      </c>
      <c r="G385" t="s">
        <v>218</v>
      </c>
      <c r="H385">
        <v>4</v>
      </c>
      <c r="J385">
        <v>5</v>
      </c>
      <c r="K385" t="s">
        <v>50</v>
      </c>
      <c r="L385" t="s">
        <v>56</v>
      </c>
      <c r="N385" t="s">
        <v>108</v>
      </c>
    </row>
    <row r="386" spans="1:14" x14ac:dyDescent="0.25">
      <c r="A386" t="s">
        <v>645</v>
      </c>
      <c r="B386" s="5">
        <v>45273</v>
      </c>
      <c r="C386" t="s">
        <v>646</v>
      </c>
      <c r="D386">
        <v>19</v>
      </c>
      <c r="E386" t="s">
        <v>16</v>
      </c>
      <c r="F386" t="s">
        <v>35</v>
      </c>
      <c r="G386" t="s">
        <v>36</v>
      </c>
      <c r="H386">
        <v>9</v>
      </c>
      <c r="J386">
        <v>50</v>
      </c>
      <c r="K386" t="s">
        <v>41</v>
      </c>
      <c r="L386" t="s">
        <v>20</v>
      </c>
      <c r="N386" t="s">
        <v>45</v>
      </c>
    </row>
    <row r="387" spans="1:14" x14ac:dyDescent="0.25">
      <c r="A387" t="s">
        <v>647</v>
      </c>
      <c r="B387" s="5">
        <v>44960</v>
      </c>
      <c r="C387" t="s">
        <v>48</v>
      </c>
      <c r="D387">
        <v>22</v>
      </c>
      <c r="E387" t="s">
        <v>23</v>
      </c>
      <c r="F387" t="s">
        <v>54</v>
      </c>
      <c r="G387" t="s">
        <v>237</v>
      </c>
      <c r="H387">
        <v>1</v>
      </c>
      <c r="I387">
        <v>43200</v>
      </c>
      <c r="J387">
        <v>50</v>
      </c>
      <c r="K387" t="s">
        <v>41</v>
      </c>
      <c r="L387" t="s">
        <v>20</v>
      </c>
      <c r="M387">
        <v>21600</v>
      </c>
      <c r="N387" t="s">
        <v>38</v>
      </c>
    </row>
    <row r="388" spans="1:14" x14ac:dyDescent="0.25">
      <c r="A388" t="s">
        <v>648</v>
      </c>
      <c r="B388" s="5">
        <v>45181</v>
      </c>
      <c r="C388" t="s">
        <v>152</v>
      </c>
      <c r="D388">
        <v>52</v>
      </c>
      <c r="E388" t="s">
        <v>16</v>
      </c>
      <c r="F388" t="s">
        <v>17</v>
      </c>
      <c r="G388" t="s">
        <v>274</v>
      </c>
      <c r="H388">
        <v>3</v>
      </c>
      <c r="I388">
        <v>3000</v>
      </c>
      <c r="J388">
        <v>10</v>
      </c>
      <c r="K388" t="s">
        <v>50</v>
      </c>
      <c r="L388" t="s">
        <v>100</v>
      </c>
      <c r="M388">
        <v>9000</v>
      </c>
      <c r="N388" t="s">
        <v>38</v>
      </c>
    </row>
    <row r="389" spans="1:14" x14ac:dyDescent="0.25">
      <c r="A389" t="s">
        <v>649</v>
      </c>
      <c r="B389" s="5">
        <v>45010</v>
      </c>
      <c r="D389">
        <v>47</v>
      </c>
      <c r="E389" t="s">
        <v>23</v>
      </c>
      <c r="F389" t="s">
        <v>17</v>
      </c>
      <c r="G389" t="s">
        <v>49</v>
      </c>
      <c r="H389">
        <v>3</v>
      </c>
      <c r="I389">
        <v>1950</v>
      </c>
      <c r="J389">
        <v>30</v>
      </c>
      <c r="K389" t="s">
        <v>115</v>
      </c>
      <c r="L389" t="s">
        <v>51</v>
      </c>
      <c r="M389">
        <v>4095</v>
      </c>
      <c r="N389" t="s">
        <v>21</v>
      </c>
    </row>
    <row r="390" spans="1:14" x14ac:dyDescent="0.25">
      <c r="A390" t="s">
        <v>650</v>
      </c>
      <c r="B390" s="5">
        <v>45105</v>
      </c>
      <c r="D390">
        <v>25</v>
      </c>
      <c r="E390" t="s">
        <v>23</v>
      </c>
      <c r="F390" t="s">
        <v>54</v>
      </c>
      <c r="G390" t="s">
        <v>348</v>
      </c>
      <c r="H390">
        <v>2</v>
      </c>
      <c r="I390">
        <v>2300</v>
      </c>
      <c r="K390" t="s">
        <v>25</v>
      </c>
      <c r="L390" t="s">
        <v>56</v>
      </c>
      <c r="M390">
        <v>4600</v>
      </c>
      <c r="N390" t="s">
        <v>38</v>
      </c>
    </row>
    <row r="391" spans="1:14" x14ac:dyDescent="0.25">
      <c r="A391" t="s">
        <v>651</v>
      </c>
      <c r="B391" s="5">
        <v>45220</v>
      </c>
      <c r="D391">
        <v>56</v>
      </c>
      <c r="E391" t="s">
        <v>23</v>
      </c>
      <c r="F391" t="s">
        <v>35</v>
      </c>
      <c r="G391" t="s">
        <v>213</v>
      </c>
      <c r="H391">
        <v>4</v>
      </c>
      <c r="I391">
        <v>554</v>
      </c>
      <c r="J391">
        <v>80</v>
      </c>
      <c r="K391" t="s">
        <v>41</v>
      </c>
      <c r="L391" t="s">
        <v>20</v>
      </c>
      <c r="M391">
        <v>443.2</v>
      </c>
      <c r="N391" t="s">
        <v>26</v>
      </c>
    </row>
    <row r="392" spans="1:14" x14ac:dyDescent="0.25">
      <c r="A392" t="s">
        <v>652</v>
      </c>
      <c r="B392" s="5">
        <v>44992</v>
      </c>
      <c r="C392" t="s">
        <v>152</v>
      </c>
      <c r="D392">
        <v>53</v>
      </c>
      <c r="E392" t="s">
        <v>23</v>
      </c>
      <c r="F392" t="s">
        <v>17</v>
      </c>
      <c r="G392" t="s">
        <v>80</v>
      </c>
      <c r="H392">
        <v>3</v>
      </c>
      <c r="I392">
        <v>6800</v>
      </c>
      <c r="J392">
        <v>30</v>
      </c>
      <c r="K392" t="s">
        <v>50</v>
      </c>
      <c r="L392" t="s">
        <v>20</v>
      </c>
      <c r="M392">
        <v>14280</v>
      </c>
      <c r="N392" t="s">
        <v>21</v>
      </c>
    </row>
    <row r="393" spans="1:14" x14ac:dyDescent="0.25">
      <c r="A393" t="s">
        <v>653</v>
      </c>
      <c r="B393" s="5">
        <v>45132</v>
      </c>
      <c r="C393" t="s">
        <v>170</v>
      </c>
      <c r="D393">
        <v>61</v>
      </c>
      <c r="E393" t="s">
        <v>16</v>
      </c>
      <c r="F393" t="s">
        <v>17</v>
      </c>
      <c r="G393" t="s">
        <v>297</v>
      </c>
      <c r="H393">
        <v>3</v>
      </c>
      <c r="I393">
        <v>5950</v>
      </c>
      <c r="J393">
        <v>10</v>
      </c>
      <c r="K393" t="s">
        <v>41</v>
      </c>
      <c r="L393" t="s">
        <v>20</v>
      </c>
      <c r="M393">
        <v>16065</v>
      </c>
      <c r="N393" t="s">
        <v>621</v>
      </c>
    </row>
    <row r="394" spans="1:14" x14ac:dyDescent="0.25">
      <c r="A394" t="s">
        <v>654</v>
      </c>
      <c r="B394" s="5">
        <v>45250</v>
      </c>
      <c r="C394" t="s">
        <v>152</v>
      </c>
      <c r="D394">
        <v>60</v>
      </c>
      <c r="E394" t="s">
        <v>16</v>
      </c>
      <c r="F394" t="s">
        <v>324</v>
      </c>
      <c r="G394" t="s">
        <v>36</v>
      </c>
      <c r="H394">
        <v>9</v>
      </c>
      <c r="I394">
        <v>903</v>
      </c>
      <c r="J394">
        <v>5</v>
      </c>
      <c r="K394" t="s">
        <v>25</v>
      </c>
      <c r="L394" t="s">
        <v>20</v>
      </c>
      <c r="M394">
        <v>7720.65</v>
      </c>
      <c r="N394" t="s">
        <v>45</v>
      </c>
    </row>
    <row r="395" spans="1:14" x14ac:dyDescent="0.25">
      <c r="A395" t="s">
        <v>655</v>
      </c>
      <c r="B395" s="5" t="s">
        <v>656</v>
      </c>
      <c r="C395" t="s">
        <v>207</v>
      </c>
      <c r="D395">
        <v>23</v>
      </c>
      <c r="E395" t="s">
        <v>16</v>
      </c>
      <c r="F395" t="s">
        <v>70</v>
      </c>
      <c r="G395" t="s">
        <v>124</v>
      </c>
      <c r="H395">
        <v>-1</v>
      </c>
      <c r="I395">
        <v>7450</v>
      </c>
      <c r="J395">
        <v>5</v>
      </c>
      <c r="K395" t="s">
        <v>657</v>
      </c>
      <c r="L395" t="s">
        <v>658</v>
      </c>
      <c r="M395">
        <v>-7077.5</v>
      </c>
      <c r="N395" t="s">
        <v>21</v>
      </c>
    </row>
    <row r="396" spans="1:14" x14ac:dyDescent="0.25">
      <c r="A396" t="s">
        <v>659</v>
      </c>
      <c r="B396" s="5" t="s">
        <v>660</v>
      </c>
      <c r="C396" t="s">
        <v>87</v>
      </c>
      <c r="D396">
        <v>34</v>
      </c>
      <c r="E396" t="s">
        <v>16</v>
      </c>
      <c r="F396" t="s">
        <v>30</v>
      </c>
      <c r="G396" t="s">
        <v>294</v>
      </c>
      <c r="H396">
        <v>4</v>
      </c>
      <c r="I396">
        <v>342</v>
      </c>
      <c r="J396">
        <v>5</v>
      </c>
      <c r="K396" t="s">
        <v>89</v>
      </c>
      <c r="L396" t="s">
        <v>51</v>
      </c>
      <c r="M396">
        <v>1299.5999999999999</v>
      </c>
      <c r="N396" t="s">
        <v>38</v>
      </c>
    </row>
    <row r="397" spans="1:14" x14ac:dyDescent="0.25">
      <c r="A397" t="s">
        <v>661</v>
      </c>
      <c r="B397" s="5">
        <v>45059</v>
      </c>
      <c r="C397" t="s">
        <v>128</v>
      </c>
      <c r="D397">
        <v>22</v>
      </c>
      <c r="E397" t="s">
        <v>16</v>
      </c>
      <c r="F397" t="s">
        <v>17</v>
      </c>
      <c r="G397" t="s">
        <v>274</v>
      </c>
      <c r="H397">
        <v>3</v>
      </c>
      <c r="I397">
        <v>2400</v>
      </c>
      <c r="J397">
        <v>10</v>
      </c>
      <c r="K397" t="s">
        <v>445</v>
      </c>
      <c r="L397" t="s">
        <v>56</v>
      </c>
      <c r="M397">
        <v>6480</v>
      </c>
      <c r="N397" t="s">
        <v>26</v>
      </c>
    </row>
    <row r="398" spans="1:14" x14ac:dyDescent="0.25">
      <c r="A398" t="s">
        <v>662</v>
      </c>
      <c r="B398" s="5">
        <v>44981</v>
      </c>
      <c r="C398" t="s">
        <v>53</v>
      </c>
      <c r="D398">
        <v>43</v>
      </c>
      <c r="E398" t="s">
        <v>16</v>
      </c>
      <c r="F398" t="s">
        <v>30</v>
      </c>
      <c r="G398" t="s">
        <v>224</v>
      </c>
      <c r="H398">
        <v>2</v>
      </c>
      <c r="I398">
        <v>1327</v>
      </c>
      <c r="J398">
        <v>5</v>
      </c>
      <c r="K398" t="s">
        <v>19</v>
      </c>
      <c r="L398" t="s">
        <v>20</v>
      </c>
      <c r="M398">
        <v>2521.3000000000002</v>
      </c>
      <c r="N398" t="s">
        <v>26</v>
      </c>
    </row>
    <row r="399" spans="1:14" x14ac:dyDescent="0.25">
      <c r="A399" t="s">
        <v>663</v>
      </c>
      <c r="B399" s="5">
        <v>45003</v>
      </c>
      <c r="C399" t="s">
        <v>43</v>
      </c>
      <c r="D399">
        <v>55</v>
      </c>
      <c r="E399" t="s">
        <v>443</v>
      </c>
      <c r="F399" t="s">
        <v>35</v>
      </c>
      <c r="G399" t="s">
        <v>271</v>
      </c>
      <c r="H399">
        <v>6</v>
      </c>
      <c r="I399">
        <v>332</v>
      </c>
      <c r="J399">
        <v>10</v>
      </c>
      <c r="K399" t="s">
        <v>83</v>
      </c>
      <c r="L399" t="s">
        <v>56</v>
      </c>
      <c r="M399">
        <v>1792.8</v>
      </c>
      <c r="N399" t="s">
        <v>26</v>
      </c>
    </row>
    <row r="400" spans="1:14" x14ac:dyDescent="0.25">
      <c r="A400" t="s">
        <v>664</v>
      </c>
      <c r="B400" s="5">
        <v>45192</v>
      </c>
      <c r="C400" t="s">
        <v>176</v>
      </c>
      <c r="D400">
        <v>30</v>
      </c>
      <c r="E400" t="s">
        <v>16</v>
      </c>
      <c r="F400" t="s">
        <v>17</v>
      </c>
      <c r="G400" t="s">
        <v>274</v>
      </c>
      <c r="H400">
        <v>1</v>
      </c>
      <c r="I400">
        <v>2000</v>
      </c>
      <c r="J400">
        <v>5</v>
      </c>
      <c r="K400" t="s">
        <v>41</v>
      </c>
      <c r="L400" t="s">
        <v>20</v>
      </c>
      <c r="M400">
        <v>1900</v>
      </c>
      <c r="N400" t="s">
        <v>26</v>
      </c>
    </row>
    <row r="401" spans="1:14" x14ac:dyDescent="0.25">
      <c r="A401" t="s">
        <v>665</v>
      </c>
      <c r="B401" s="5">
        <v>45062</v>
      </c>
      <c r="C401" t="s">
        <v>192</v>
      </c>
      <c r="D401">
        <v>200</v>
      </c>
      <c r="E401" t="s">
        <v>23</v>
      </c>
      <c r="F401" t="s">
        <v>30</v>
      </c>
      <c r="G401" t="s">
        <v>67</v>
      </c>
      <c r="H401">
        <v>9</v>
      </c>
      <c r="I401">
        <v>4606</v>
      </c>
      <c r="J401">
        <v>15</v>
      </c>
      <c r="K401" t="s">
        <v>50</v>
      </c>
      <c r="L401" t="s">
        <v>378</v>
      </c>
      <c r="M401">
        <v>35235.9</v>
      </c>
      <c r="N401" t="s">
        <v>26</v>
      </c>
    </row>
    <row r="402" spans="1:14" x14ac:dyDescent="0.25">
      <c r="A402" t="s">
        <v>666</v>
      </c>
      <c r="B402" s="5">
        <v>44964</v>
      </c>
      <c r="D402">
        <v>19</v>
      </c>
      <c r="E402" t="s">
        <v>138</v>
      </c>
      <c r="F402" t="s">
        <v>17</v>
      </c>
      <c r="G402" t="s">
        <v>186</v>
      </c>
      <c r="H402">
        <v>2</v>
      </c>
      <c r="I402">
        <v>1400</v>
      </c>
      <c r="J402">
        <v>40</v>
      </c>
      <c r="K402" t="s">
        <v>41</v>
      </c>
      <c r="L402" t="s">
        <v>20</v>
      </c>
      <c r="M402">
        <v>1680</v>
      </c>
      <c r="N402" t="s">
        <v>38</v>
      </c>
    </row>
    <row r="403" spans="1:14" x14ac:dyDescent="0.25">
      <c r="A403" t="s">
        <v>667</v>
      </c>
      <c r="B403" s="5">
        <v>45005</v>
      </c>
      <c r="C403" t="s">
        <v>170</v>
      </c>
      <c r="D403">
        <v>44</v>
      </c>
      <c r="E403" t="s">
        <v>16</v>
      </c>
      <c r="F403" t="s">
        <v>54</v>
      </c>
      <c r="G403" t="s">
        <v>237</v>
      </c>
      <c r="H403">
        <v>1</v>
      </c>
      <c r="I403">
        <v>40500</v>
      </c>
      <c r="J403">
        <v>0</v>
      </c>
      <c r="K403" t="s">
        <v>50</v>
      </c>
      <c r="L403" t="s">
        <v>20</v>
      </c>
      <c r="M403">
        <v>40500</v>
      </c>
      <c r="N403" t="s">
        <v>21</v>
      </c>
    </row>
    <row r="404" spans="1:14" x14ac:dyDescent="0.25">
      <c r="A404" t="s">
        <v>668</v>
      </c>
      <c r="B404" s="5">
        <v>45226</v>
      </c>
      <c r="C404" t="s">
        <v>43</v>
      </c>
      <c r="D404">
        <v>46</v>
      </c>
      <c r="E404" t="s">
        <v>16</v>
      </c>
      <c r="F404" t="s">
        <v>35</v>
      </c>
      <c r="G404" t="s">
        <v>111</v>
      </c>
      <c r="H404">
        <v>7</v>
      </c>
      <c r="I404">
        <v>347</v>
      </c>
      <c r="J404">
        <v>0</v>
      </c>
      <c r="K404" t="s">
        <v>41</v>
      </c>
      <c r="L404" t="s">
        <v>20</v>
      </c>
      <c r="M404">
        <v>2429</v>
      </c>
      <c r="N404" t="s">
        <v>26</v>
      </c>
    </row>
    <row r="405" spans="1:14" x14ac:dyDescent="0.25">
      <c r="A405" t="s">
        <v>669</v>
      </c>
      <c r="B405" s="5" t="s">
        <v>670</v>
      </c>
      <c r="C405" t="s">
        <v>192</v>
      </c>
      <c r="D405">
        <v>29</v>
      </c>
      <c r="E405" t="s">
        <v>29</v>
      </c>
      <c r="F405" t="s">
        <v>30</v>
      </c>
      <c r="G405" t="s">
        <v>268</v>
      </c>
      <c r="H405">
        <v>4</v>
      </c>
      <c r="I405">
        <v>1372</v>
      </c>
      <c r="J405">
        <v>40</v>
      </c>
      <c r="K405" t="s">
        <v>95</v>
      </c>
      <c r="L405" t="s">
        <v>20</v>
      </c>
      <c r="M405">
        <v>3292.8</v>
      </c>
      <c r="N405" t="s">
        <v>26</v>
      </c>
    </row>
    <row r="406" spans="1:14" x14ac:dyDescent="0.25">
      <c r="A406" t="s">
        <v>671</v>
      </c>
      <c r="B406" s="5">
        <v>45225</v>
      </c>
      <c r="C406" t="s">
        <v>672</v>
      </c>
      <c r="D406">
        <v>22</v>
      </c>
      <c r="E406" t="s">
        <v>143</v>
      </c>
      <c r="F406" t="s">
        <v>54</v>
      </c>
      <c r="G406" t="s">
        <v>55</v>
      </c>
      <c r="H406">
        <v>1</v>
      </c>
      <c r="I406">
        <v>36100</v>
      </c>
      <c r="J406">
        <v>5</v>
      </c>
      <c r="K406" t="s">
        <v>41</v>
      </c>
      <c r="L406" t="s">
        <v>20</v>
      </c>
      <c r="M406">
        <v>34295</v>
      </c>
      <c r="N406" t="s">
        <v>375</v>
      </c>
    </row>
    <row r="407" spans="1:14" x14ac:dyDescent="0.25">
      <c r="A407" t="s">
        <v>673</v>
      </c>
      <c r="B407" s="5">
        <v>44981</v>
      </c>
      <c r="C407" t="s">
        <v>165</v>
      </c>
      <c r="D407">
        <v>32</v>
      </c>
      <c r="E407" t="s">
        <v>146</v>
      </c>
      <c r="F407" t="s">
        <v>30</v>
      </c>
      <c r="G407" t="s">
        <v>218</v>
      </c>
      <c r="H407">
        <v>4</v>
      </c>
      <c r="I407">
        <v>3245</v>
      </c>
      <c r="J407">
        <v>30</v>
      </c>
      <c r="K407" t="s">
        <v>41</v>
      </c>
      <c r="L407" t="s">
        <v>107</v>
      </c>
      <c r="M407">
        <v>9086</v>
      </c>
      <c r="N407" t="s">
        <v>38</v>
      </c>
    </row>
    <row r="408" spans="1:14" x14ac:dyDescent="0.25">
      <c r="A408" t="s">
        <v>674</v>
      </c>
      <c r="B408" s="5">
        <v>45041</v>
      </c>
      <c r="C408" t="s">
        <v>156</v>
      </c>
      <c r="D408">
        <v>20</v>
      </c>
      <c r="E408" t="s">
        <v>16</v>
      </c>
      <c r="F408" t="s">
        <v>35</v>
      </c>
      <c r="G408" t="s">
        <v>257</v>
      </c>
      <c r="H408">
        <v>1</v>
      </c>
      <c r="I408">
        <v>1161</v>
      </c>
      <c r="J408">
        <v>5</v>
      </c>
      <c r="K408" t="s">
        <v>25</v>
      </c>
      <c r="L408" t="s">
        <v>20</v>
      </c>
      <c r="M408">
        <v>1102.95</v>
      </c>
      <c r="N408" t="s">
        <v>45</v>
      </c>
    </row>
    <row r="409" spans="1:14" x14ac:dyDescent="0.25">
      <c r="A409" t="s">
        <v>675</v>
      </c>
      <c r="B409" s="5">
        <v>45182</v>
      </c>
      <c r="C409" t="s">
        <v>265</v>
      </c>
      <c r="D409">
        <v>21</v>
      </c>
      <c r="E409" t="s">
        <v>44</v>
      </c>
      <c r="F409" t="s">
        <v>54</v>
      </c>
      <c r="G409" t="s">
        <v>199</v>
      </c>
      <c r="H409">
        <v>1</v>
      </c>
      <c r="I409">
        <v>59400</v>
      </c>
      <c r="J409">
        <v>0</v>
      </c>
      <c r="K409" t="s">
        <v>50</v>
      </c>
      <c r="L409" t="s">
        <v>51</v>
      </c>
      <c r="M409">
        <v>59400</v>
      </c>
      <c r="N409" t="s">
        <v>621</v>
      </c>
    </row>
    <row r="410" spans="1:14" x14ac:dyDescent="0.25">
      <c r="A410" t="s">
        <v>676</v>
      </c>
      <c r="B410" s="5">
        <v>45085</v>
      </c>
      <c r="C410" t="s">
        <v>165</v>
      </c>
      <c r="D410">
        <v>21</v>
      </c>
      <c r="E410" t="s">
        <v>16</v>
      </c>
      <c r="F410" t="s">
        <v>35</v>
      </c>
      <c r="G410" t="s">
        <v>99</v>
      </c>
      <c r="H410">
        <v>8</v>
      </c>
      <c r="I410">
        <v>826</v>
      </c>
      <c r="J410">
        <v>10</v>
      </c>
      <c r="K410" t="s">
        <v>50</v>
      </c>
      <c r="L410" t="s">
        <v>56</v>
      </c>
      <c r="M410">
        <v>5947.2</v>
      </c>
      <c r="N410" t="s">
        <v>26</v>
      </c>
    </row>
    <row r="411" spans="1:14" x14ac:dyDescent="0.25">
      <c r="A411" t="s">
        <v>677</v>
      </c>
      <c r="B411" s="5">
        <v>45248</v>
      </c>
      <c r="D411">
        <v>28</v>
      </c>
      <c r="E411" t="s">
        <v>16</v>
      </c>
      <c r="F411" t="s">
        <v>30</v>
      </c>
      <c r="G411" t="s">
        <v>121</v>
      </c>
      <c r="H411">
        <v>5</v>
      </c>
      <c r="I411">
        <v>4994</v>
      </c>
      <c r="J411">
        <v>25</v>
      </c>
      <c r="K411" t="s">
        <v>50</v>
      </c>
      <c r="L411" t="s">
        <v>20</v>
      </c>
      <c r="M411">
        <v>18727.5</v>
      </c>
      <c r="N411" t="s">
        <v>21</v>
      </c>
    </row>
    <row r="412" spans="1:14" x14ac:dyDescent="0.25">
      <c r="A412" t="s">
        <v>678</v>
      </c>
      <c r="B412" s="5">
        <v>44961</v>
      </c>
      <c r="C412" t="s">
        <v>160</v>
      </c>
      <c r="E412" t="s">
        <v>23</v>
      </c>
      <c r="F412" t="s">
        <v>17</v>
      </c>
      <c r="G412" t="s">
        <v>189</v>
      </c>
      <c r="H412">
        <v>2</v>
      </c>
      <c r="I412">
        <v>2600</v>
      </c>
      <c r="J412">
        <v>10</v>
      </c>
      <c r="K412" t="s">
        <v>41</v>
      </c>
      <c r="L412" t="s">
        <v>100</v>
      </c>
      <c r="M412">
        <v>4680</v>
      </c>
      <c r="N412" t="s">
        <v>21</v>
      </c>
    </row>
    <row r="413" spans="1:14" x14ac:dyDescent="0.25">
      <c r="A413" t="s">
        <v>679</v>
      </c>
      <c r="B413" s="5">
        <v>45213</v>
      </c>
      <c r="C413" t="s">
        <v>165</v>
      </c>
      <c r="D413">
        <v>58</v>
      </c>
      <c r="E413" t="s">
        <v>16</v>
      </c>
      <c r="F413" t="s">
        <v>30</v>
      </c>
      <c r="G413" t="s">
        <v>60</v>
      </c>
      <c r="H413">
        <v>4</v>
      </c>
      <c r="I413">
        <v>9222</v>
      </c>
      <c r="J413">
        <v>10</v>
      </c>
      <c r="K413" t="s">
        <v>41</v>
      </c>
      <c r="L413" t="s">
        <v>20</v>
      </c>
      <c r="M413">
        <v>33199.199999999997</v>
      </c>
      <c r="N413" t="s">
        <v>26</v>
      </c>
    </row>
    <row r="414" spans="1:14" x14ac:dyDescent="0.25">
      <c r="A414" t="s">
        <v>680</v>
      </c>
      <c r="B414" s="5">
        <v>44954</v>
      </c>
      <c r="C414" t="s">
        <v>76</v>
      </c>
      <c r="D414">
        <v>32</v>
      </c>
      <c r="E414" t="s">
        <v>23</v>
      </c>
      <c r="F414" t="s">
        <v>54</v>
      </c>
      <c r="G414" t="s">
        <v>104</v>
      </c>
      <c r="H414">
        <v>1</v>
      </c>
      <c r="I414">
        <v>8000</v>
      </c>
      <c r="J414">
        <v>0</v>
      </c>
      <c r="K414" t="s">
        <v>64</v>
      </c>
      <c r="L414" t="s">
        <v>204</v>
      </c>
      <c r="M414">
        <v>8000</v>
      </c>
      <c r="N414" t="s">
        <v>621</v>
      </c>
    </row>
    <row r="415" spans="1:14" x14ac:dyDescent="0.25">
      <c r="A415" t="s">
        <v>681</v>
      </c>
      <c r="B415" s="5" t="s">
        <v>1375</v>
      </c>
      <c r="C415" t="s">
        <v>682</v>
      </c>
      <c r="D415">
        <v>53</v>
      </c>
      <c r="E415" t="s">
        <v>143</v>
      </c>
      <c r="F415" t="s">
        <v>17</v>
      </c>
      <c r="G415" t="s">
        <v>40</v>
      </c>
      <c r="H415">
        <v>3</v>
      </c>
      <c r="I415">
        <v>4900</v>
      </c>
      <c r="J415">
        <v>40</v>
      </c>
      <c r="K415" t="s">
        <v>19</v>
      </c>
      <c r="L415" t="s">
        <v>20</v>
      </c>
      <c r="M415">
        <v>8820</v>
      </c>
      <c r="N415" t="s">
        <v>26</v>
      </c>
    </row>
    <row r="416" spans="1:14" x14ac:dyDescent="0.25">
      <c r="A416" t="s">
        <v>683</v>
      </c>
      <c r="B416" s="5">
        <v>45081</v>
      </c>
      <c r="C416" t="s">
        <v>48</v>
      </c>
      <c r="D416">
        <v>39</v>
      </c>
      <c r="E416" t="s">
        <v>44</v>
      </c>
      <c r="F416" t="s">
        <v>17</v>
      </c>
      <c r="G416" t="s">
        <v>24</v>
      </c>
      <c r="H416">
        <v>1</v>
      </c>
      <c r="I416">
        <v>2200</v>
      </c>
      <c r="J416">
        <v>10</v>
      </c>
      <c r="K416" t="s">
        <v>41</v>
      </c>
      <c r="L416" t="s">
        <v>684</v>
      </c>
      <c r="M416">
        <v>1980</v>
      </c>
      <c r="N416" t="s">
        <v>685</v>
      </c>
    </row>
    <row r="417" spans="1:14" x14ac:dyDescent="0.25">
      <c r="A417" t="s">
        <v>686</v>
      </c>
      <c r="B417" s="5">
        <v>45259</v>
      </c>
      <c r="C417" t="s">
        <v>672</v>
      </c>
      <c r="D417">
        <v>34</v>
      </c>
      <c r="E417" t="s">
        <v>23</v>
      </c>
      <c r="F417" t="s">
        <v>54</v>
      </c>
      <c r="G417" t="s">
        <v>348</v>
      </c>
      <c r="H417">
        <v>2</v>
      </c>
      <c r="I417">
        <v>3700</v>
      </c>
      <c r="J417">
        <v>25</v>
      </c>
      <c r="K417" t="s">
        <v>50</v>
      </c>
      <c r="L417" t="s">
        <v>20</v>
      </c>
      <c r="M417">
        <v>5550</v>
      </c>
      <c r="N417" t="s">
        <v>45</v>
      </c>
    </row>
    <row r="418" spans="1:14" x14ac:dyDescent="0.25">
      <c r="A418" t="s">
        <v>687</v>
      </c>
      <c r="B418" s="5">
        <v>45026</v>
      </c>
      <c r="D418">
        <v>48</v>
      </c>
      <c r="E418" t="s">
        <v>138</v>
      </c>
      <c r="F418" t="s">
        <v>17</v>
      </c>
      <c r="G418" t="s">
        <v>297</v>
      </c>
      <c r="H418">
        <v>2</v>
      </c>
      <c r="I418">
        <v>5700</v>
      </c>
      <c r="J418">
        <v>25</v>
      </c>
      <c r="K418" t="s">
        <v>25</v>
      </c>
      <c r="L418" t="s">
        <v>51</v>
      </c>
      <c r="M418">
        <v>11400</v>
      </c>
      <c r="N418" t="s">
        <v>38</v>
      </c>
    </row>
    <row r="419" spans="1:14" x14ac:dyDescent="0.25">
      <c r="A419" t="s">
        <v>688</v>
      </c>
      <c r="B419" s="5">
        <v>45191</v>
      </c>
      <c r="D419">
        <v>64</v>
      </c>
      <c r="E419" t="s">
        <v>16</v>
      </c>
      <c r="F419" t="s">
        <v>30</v>
      </c>
      <c r="G419" t="s">
        <v>235</v>
      </c>
      <c r="H419">
        <v>10</v>
      </c>
      <c r="I419">
        <v>2432</v>
      </c>
      <c r="J419">
        <v>0</v>
      </c>
      <c r="K419" t="s">
        <v>487</v>
      </c>
      <c r="L419" t="s">
        <v>20</v>
      </c>
      <c r="M419">
        <v>24320</v>
      </c>
      <c r="N419" t="s">
        <v>45</v>
      </c>
    </row>
    <row r="420" spans="1:14" x14ac:dyDescent="0.25">
      <c r="A420" t="s">
        <v>689</v>
      </c>
      <c r="B420" s="5" t="s">
        <v>690</v>
      </c>
      <c r="C420" t="s">
        <v>241</v>
      </c>
      <c r="D420">
        <v>40</v>
      </c>
      <c r="E420" t="s">
        <v>23</v>
      </c>
      <c r="F420" t="s">
        <v>54</v>
      </c>
      <c r="G420" t="s">
        <v>338</v>
      </c>
      <c r="H420">
        <v>1</v>
      </c>
      <c r="I420">
        <v>4800</v>
      </c>
      <c r="J420">
        <v>20</v>
      </c>
      <c r="K420" t="s">
        <v>19</v>
      </c>
      <c r="L420" t="s">
        <v>51</v>
      </c>
      <c r="M420">
        <v>3840</v>
      </c>
      <c r="N420" t="s">
        <v>45</v>
      </c>
    </row>
    <row r="421" spans="1:14" x14ac:dyDescent="0.25">
      <c r="A421" t="s">
        <v>691</v>
      </c>
      <c r="B421" s="5">
        <v>45236</v>
      </c>
      <c r="C421" t="s">
        <v>165</v>
      </c>
      <c r="D421">
        <v>24</v>
      </c>
      <c r="E421" t="s">
        <v>23</v>
      </c>
      <c r="F421" t="s">
        <v>54</v>
      </c>
      <c r="G421" t="s">
        <v>88</v>
      </c>
      <c r="H421">
        <v>1</v>
      </c>
      <c r="I421">
        <v>48200</v>
      </c>
      <c r="J421">
        <v>0</v>
      </c>
      <c r="K421" t="s">
        <v>115</v>
      </c>
      <c r="L421" t="s">
        <v>20</v>
      </c>
      <c r="M421">
        <v>48200</v>
      </c>
      <c r="N421" t="s">
        <v>21</v>
      </c>
    </row>
    <row r="422" spans="1:14" x14ac:dyDescent="0.25">
      <c r="A422" t="s">
        <v>692</v>
      </c>
      <c r="B422" s="5">
        <v>45014</v>
      </c>
      <c r="C422" t="s">
        <v>165</v>
      </c>
      <c r="D422">
        <v>61</v>
      </c>
      <c r="E422" t="s">
        <v>23</v>
      </c>
      <c r="F422" t="s">
        <v>35</v>
      </c>
      <c r="G422" t="s">
        <v>203</v>
      </c>
      <c r="H422">
        <v>3</v>
      </c>
      <c r="I422">
        <v>1420</v>
      </c>
      <c r="J422">
        <v>10</v>
      </c>
      <c r="K422" t="s">
        <v>25</v>
      </c>
      <c r="L422" t="s">
        <v>20</v>
      </c>
      <c r="M422">
        <v>3834</v>
      </c>
      <c r="N422" t="s">
        <v>45</v>
      </c>
    </row>
    <row r="423" spans="1:14" x14ac:dyDescent="0.25">
      <c r="A423" t="s">
        <v>693</v>
      </c>
      <c r="B423" s="5" t="s">
        <v>1376</v>
      </c>
      <c r="C423" t="s">
        <v>160</v>
      </c>
      <c r="D423">
        <v>33</v>
      </c>
      <c r="E423" t="s">
        <v>23</v>
      </c>
      <c r="F423" t="s">
        <v>17</v>
      </c>
      <c r="G423" t="s">
        <v>40</v>
      </c>
      <c r="H423">
        <v>1</v>
      </c>
      <c r="I423">
        <v>3500</v>
      </c>
      <c r="K423" t="s">
        <v>41</v>
      </c>
      <c r="L423" t="s">
        <v>20</v>
      </c>
      <c r="M423">
        <v>3500</v>
      </c>
      <c r="N423" t="s">
        <v>295</v>
      </c>
    </row>
    <row r="424" spans="1:14" x14ac:dyDescent="0.25">
      <c r="A424" t="s">
        <v>694</v>
      </c>
      <c r="B424" s="5">
        <v>45244</v>
      </c>
      <c r="C424" t="s">
        <v>128</v>
      </c>
      <c r="D424">
        <v>18</v>
      </c>
      <c r="E424" t="s">
        <v>23</v>
      </c>
      <c r="F424" t="s">
        <v>35</v>
      </c>
      <c r="G424" t="s">
        <v>257</v>
      </c>
      <c r="H424">
        <v>0</v>
      </c>
      <c r="I424">
        <v>847</v>
      </c>
      <c r="J424">
        <v>30</v>
      </c>
      <c r="K424" t="s">
        <v>41</v>
      </c>
      <c r="L424" t="s">
        <v>20</v>
      </c>
      <c r="M424">
        <v>0</v>
      </c>
      <c r="N424" t="s">
        <v>21</v>
      </c>
    </row>
    <row r="425" spans="1:14" x14ac:dyDescent="0.25">
      <c r="A425" t="s">
        <v>695</v>
      </c>
      <c r="B425" s="5">
        <v>45145</v>
      </c>
      <c r="C425" t="s">
        <v>192</v>
      </c>
      <c r="D425">
        <v>53</v>
      </c>
      <c r="E425" t="s">
        <v>138</v>
      </c>
      <c r="F425" t="s">
        <v>17</v>
      </c>
      <c r="G425" t="s">
        <v>189</v>
      </c>
      <c r="H425">
        <v>3</v>
      </c>
      <c r="I425">
        <v>3100</v>
      </c>
      <c r="J425">
        <v>40</v>
      </c>
      <c r="K425" t="s">
        <v>261</v>
      </c>
      <c r="L425" t="s">
        <v>20</v>
      </c>
      <c r="M425">
        <v>5580</v>
      </c>
      <c r="N425" t="s">
        <v>45</v>
      </c>
    </row>
    <row r="426" spans="1:14" x14ac:dyDescent="0.25">
      <c r="A426" t="s">
        <v>696</v>
      </c>
      <c r="B426" s="5">
        <v>45022</v>
      </c>
      <c r="D426">
        <v>26</v>
      </c>
      <c r="E426" t="s">
        <v>16</v>
      </c>
      <c r="F426" t="s">
        <v>608</v>
      </c>
      <c r="G426" t="s">
        <v>282</v>
      </c>
      <c r="H426">
        <v>2</v>
      </c>
      <c r="I426">
        <v>16700</v>
      </c>
      <c r="K426" t="s">
        <v>41</v>
      </c>
      <c r="L426" t="s">
        <v>20</v>
      </c>
      <c r="M426">
        <v>33400</v>
      </c>
      <c r="N426" t="s">
        <v>21</v>
      </c>
    </row>
    <row r="427" spans="1:14" x14ac:dyDescent="0.25">
      <c r="A427" t="s">
        <v>697</v>
      </c>
      <c r="B427" s="5">
        <v>45214</v>
      </c>
      <c r="C427" t="s">
        <v>198</v>
      </c>
      <c r="D427">
        <v>40</v>
      </c>
      <c r="E427" t="s">
        <v>16</v>
      </c>
      <c r="F427" t="s">
        <v>17</v>
      </c>
      <c r="G427" t="s">
        <v>259</v>
      </c>
      <c r="H427">
        <v>1</v>
      </c>
      <c r="I427">
        <v>4300</v>
      </c>
      <c r="J427">
        <v>25</v>
      </c>
      <c r="K427" t="s">
        <v>19</v>
      </c>
      <c r="L427" t="s">
        <v>20</v>
      </c>
      <c r="M427">
        <v>3225</v>
      </c>
      <c r="N427" t="s">
        <v>38</v>
      </c>
    </row>
    <row r="428" spans="1:14" x14ac:dyDescent="0.25">
      <c r="A428" t="s">
        <v>698</v>
      </c>
      <c r="B428" s="5" t="s">
        <v>229</v>
      </c>
      <c r="C428" t="s">
        <v>156</v>
      </c>
      <c r="D428">
        <v>47</v>
      </c>
      <c r="E428" t="s">
        <v>23</v>
      </c>
      <c r="F428" t="s">
        <v>35</v>
      </c>
      <c r="G428" t="s">
        <v>126</v>
      </c>
      <c r="H428">
        <v>2</v>
      </c>
      <c r="I428">
        <v>400</v>
      </c>
      <c r="J428">
        <v>5</v>
      </c>
      <c r="K428" t="s">
        <v>41</v>
      </c>
      <c r="L428" t="s">
        <v>51</v>
      </c>
      <c r="M428">
        <v>-760</v>
      </c>
      <c r="N428" t="s">
        <v>26</v>
      </c>
    </row>
    <row r="429" spans="1:14" x14ac:dyDescent="0.25">
      <c r="A429" t="s">
        <v>699</v>
      </c>
      <c r="B429" s="5">
        <v>44997</v>
      </c>
      <c r="C429" t="s">
        <v>28</v>
      </c>
      <c r="D429">
        <v>62</v>
      </c>
      <c r="E429" t="s">
        <v>16</v>
      </c>
      <c r="F429" t="s">
        <v>35</v>
      </c>
      <c r="G429" t="s">
        <v>257</v>
      </c>
      <c r="H429">
        <v>7</v>
      </c>
      <c r="I429">
        <v>892</v>
      </c>
      <c r="J429">
        <v>30</v>
      </c>
      <c r="K429" t="s">
        <v>41</v>
      </c>
      <c r="L429" t="s">
        <v>20</v>
      </c>
      <c r="M429">
        <v>4370.8</v>
      </c>
      <c r="N429" t="s">
        <v>38</v>
      </c>
    </row>
    <row r="430" spans="1:14" x14ac:dyDescent="0.25">
      <c r="A430" t="s">
        <v>700</v>
      </c>
      <c r="B430" s="5" t="s">
        <v>1377</v>
      </c>
      <c r="D430">
        <v>36</v>
      </c>
      <c r="E430" t="s">
        <v>490</v>
      </c>
      <c r="F430" t="s">
        <v>30</v>
      </c>
      <c r="G430" t="s">
        <v>224</v>
      </c>
      <c r="H430">
        <v>7</v>
      </c>
      <c r="I430">
        <v>1327</v>
      </c>
      <c r="J430">
        <v>0</v>
      </c>
      <c r="K430" t="s">
        <v>19</v>
      </c>
      <c r="L430" t="s">
        <v>20</v>
      </c>
      <c r="M430">
        <v>9289</v>
      </c>
      <c r="N430" t="s">
        <v>26</v>
      </c>
    </row>
    <row r="431" spans="1:14" x14ac:dyDescent="0.25">
      <c r="A431" t="s">
        <v>701</v>
      </c>
      <c r="B431" s="5">
        <v>45280</v>
      </c>
      <c r="C431" t="s">
        <v>152</v>
      </c>
      <c r="D431">
        <v>56</v>
      </c>
      <c r="E431" t="s">
        <v>23</v>
      </c>
      <c r="F431" t="s">
        <v>17</v>
      </c>
      <c r="G431" t="s">
        <v>259</v>
      </c>
      <c r="H431">
        <v>2</v>
      </c>
      <c r="I431">
        <v>4650</v>
      </c>
      <c r="J431">
        <v>50</v>
      </c>
      <c r="K431" t="s">
        <v>50</v>
      </c>
      <c r="L431" t="s">
        <v>20</v>
      </c>
      <c r="M431">
        <v>4650</v>
      </c>
      <c r="N431" t="s">
        <v>26</v>
      </c>
    </row>
    <row r="432" spans="1:14" x14ac:dyDescent="0.25">
      <c r="A432" t="s">
        <v>702</v>
      </c>
      <c r="B432" s="5">
        <v>45279</v>
      </c>
      <c r="D432">
        <v>63</v>
      </c>
      <c r="E432" t="s">
        <v>23</v>
      </c>
      <c r="F432" t="s">
        <v>54</v>
      </c>
      <c r="G432" t="s">
        <v>282</v>
      </c>
      <c r="H432">
        <v>2</v>
      </c>
      <c r="I432">
        <v>21100</v>
      </c>
      <c r="J432">
        <v>0</v>
      </c>
      <c r="K432" t="s">
        <v>50</v>
      </c>
      <c r="L432" t="s">
        <v>684</v>
      </c>
      <c r="M432">
        <v>42200</v>
      </c>
      <c r="N432" t="s">
        <v>45</v>
      </c>
    </row>
    <row r="433" spans="1:14" x14ac:dyDescent="0.25">
      <c r="A433" t="s">
        <v>703</v>
      </c>
      <c r="B433" s="5">
        <v>45235</v>
      </c>
      <c r="C433" t="s">
        <v>217</v>
      </c>
      <c r="D433">
        <v>42</v>
      </c>
      <c r="E433" t="s">
        <v>16</v>
      </c>
      <c r="F433" t="s">
        <v>30</v>
      </c>
      <c r="G433" t="s">
        <v>60</v>
      </c>
      <c r="H433">
        <v>3</v>
      </c>
      <c r="I433">
        <v>9941</v>
      </c>
      <c r="J433">
        <v>25</v>
      </c>
      <c r="K433" t="s">
        <v>25</v>
      </c>
      <c r="L433" t="s">
        <v>20</v>
      </c>
      <c r="M433">
        <v>22367.25</v>
      </c>
      <c r="N433" t="s">
        <v>74</v>
      </c>
    </row>
    <row r="434" spans="1:14" x14ac:dyDescent="0.25">
      <c r="A434" t="s">
        <v>704</v>
      </c>
      <c r="B434" s="5" t="s">
        <v>299</v>
      </c>
      <c r="C434" t="s">
        <v>128</v>
      </c>
      <c r="D434">
        <v>59</v>
      </c>
      <c r="E434" t="s">
        <v>44</v>
      </c>
      <c r="F434" t="s">
        <v>35</v>
      </c>
      <c r="G434" t="s">
        <v>213</v>
      </c>
      <c r="H434">
        <v>5</v>
      </c>
      <c r="I434">
        <v>504</v>
      </c>
      <c r="J434">
        <v>40</v>
      </c>
      <c r="K434" t="s">
        <v>89</v>
      </c>
      <c r="L434" t="s">
        <v>51</v>
      </c>
      <c r="M434">
        <v>1512</v>
      </c>
      <c r="N434" t="s">
        <v>21</v>
      </c>
    </row>
    <row r="435" spans="1:14" x14ac:dyDescent="0.25">
      <c r="A435" t="s">
        <v>705</v>
      </c>
      <c r="B435" s="5">
        <v>45030</v>
      </c>
      <c r="C435" t="s">
        <v>128</v>
      </c>
      <c r="D435">
        <v>38</v>
      </c>
      <c r="E435" t="s">
        <v>443</v>
      </c>
      <c r="F435" t="s">
        <v>30</v>
      </c>
      <c r="G435" t="s">
        <v>268</v>
      </c>
      <c r="H435">
        <v>9</v>
      </c>
      <c r="I435">
        <v>5</v>
      </c>
      <c r="J435">
        <v>5</v>
      </c>
      <c r="K435" t="s">
        <v>50</v>
      </c>
      <c r="L435" t="s">
        <v>20</v>
      </c>
      <c r="M435">
        <v>42.75</v>
      </c>
      <c r="N435" t="s">
        <v>26</v>
      </c>
    </row>
    <row r="436" spans="1:14" x14ac:dyDescent="0.25">
      <c r="A436" t="s">
        <v>706</v>
      </c>
      <c r="B436" s="5">
        <v>45255</v>
      </c>
      <c r="C436" t="s">
        <v>28</v>
      </c>
      <c r="D436">
        <v>46</v>
      </c>
      <c r="E436" t="s">
        <v>44</v>
      </c>
      <c r="F436" t="s">
        <v>30</v>
      </c>
      <c r="G436" t="s">
        <v>195</v>
      </c>
      <c r="H436">
        <v>3</v>
      </c>
      <c r="I436">
        <v>3908</v>
      </c>
      <c r="J436">
        <v>40</v>
      </c>
      <c r="K436" t="s">
        <v>41</v>
      </c>
      <c r="L436" t="s">
        <v>20</v>
      </c>
      <c r="M436">
        <v>7034.4</v>
      </c>
      <c r="N436" t="s">
        <v>38</v>
      </c>
    </row>
    <row r="437" spans="1:14" x14ac:dyDescent="0.25">
      <c r="A437" t="s">
        <v>707</v>
      </c>
      <c r="B437" s="5" t="s">
        <v>1378</v>
      </c>
      <c r="D437">
        <v>43</v>
      </c>
      <c r="E437" t="s">
        <v>23</v>
      </c>
      <c r="F437" t="s">
        <v>97</v>
      </c>
      <c r="G437" t="s">
        <v>224</v>
      </c>
      <c r="H437">
        <v>7</v>
      </c>
      <c r="I437">
        <v>1307</v>
      </c>
      <c r="J437">
        <v>5</v>
      </c>
      <c r="K437" t="s">
        <v>25</v>
      </c>
      <c r="L437" t="s">
        <v>56</v>
      </c>
      <c r="M437">
        <v>8691.5499999999993</v>
      </c>
      <c r="N437" t="s">
        <v>38</v>
      </c>
    </row>
    <row r="438" spans="1:14" x14ac:dyDescent="0.25">
      <c r="A438" t="s">
        <v>708</v>
      </c>
      <c r="B438" s="5">
        <v>45177</v>
      </c>
      <c r="C438" t="s">
        <v>152</v>
      </c>
      <c r="D438">
        <v>38</v>
      </c>
      <c r="E438" t="s">
        <v>16</v>
      </c>
      <c r="F438" t="s">
        <v>35</v>
      </c>
      <c r="G438" t="s">
        <v>331</v>
      </c>
      <c r="H438">
        <v>-1</v>
      </c>
      <c r="I438">
        <v>289</v>
      </c>
      <c r="J438">
        <v>30</v>
      </c>
      <c r="K438" t="s">
        <v>25</v>
      </c>
      <c r="L438" t="s">
        <v>20</v>
      </c>
      <c r="M438">
        <v>-202.3</v>
      </c>
      <c r="N438" t="s">
        <v>21</v>
      </c>
    </row>
    <row r="439" spans="1:14" x14ac:dyDescent="0.25">
      <c r="A439" t="s">
        <v>709</v>
      </c>
      <c r="B439" s="5">
        <v>45180</v>
      </c>
      <c r="D439">
        <v>30</v>
      </c>
      <c r="E439" t="s">
        <v>710</v>
      </c>
      <c r="F439" t="s">
        <v>17</v>
      </c>
      <c r="G439" t="s">
        <v>18</v>
      </c>
      <c r="H439">
        <v>3</v>
      </c>
      <c r="I439">
        <v>2600</v>
      </c>
      <c r="J439">
        <v>0</v>
      </c>
      <c r="K439" t="s">
        <v>25</v>
      </c>
      <c r="L439" t="s">
        <v>20</v>
      </c>
      <c r="M439">
        <v>7800</v>
      </c>
      <c r="N439" t="s">
        <v>26</v>
      </c>
    </row>
    <row r="440" spans="1:14" x14ac:dyDescent="0.25">
      <c r="A440" t="s">
        <v>711</v>
      </c>
      <c r="B440" s="5">
        <v>45241</v>
      </c>
      <c r="C440" t="s">
        <v>43</v>
      </c>
      <c r="D440">
        <v>57</v>
      </c>
      <c r="E440" t="s">
        <v>23</v>
      </c>
      <c r="F440" t="s">
        <v>17</v>
      </c>
      <c r="G440" t="s">
        <v>40</v>
      </c>
      <c r="H440">
        <v>2</v>
      </c>
      <c r="I440">
        <v>3750</v>
      </c>
      <c r="J440">
        <v>0</v>
      </c>
      <c r="K440" t="s">
        <v>50</v>
      </c>
      <c r="L440" t="s">
        <v>20</v>
      </c>
      <c r="M440">
        <v>7500</v>
      </c>
      <c r="N440" t="s">
        <v>26</v>
      </c>
    </row>
    <row r="441" spans="1:14" x14ac:dyDescent="0.25">
      <c r="A441" t="s">
        <v>712</v>
      </c>
      <c r="B441" s="5">
        <v>45125</v>
      </c>
      <c r="D441">
        <v>48</v>
      </c>
      <c r="E441" t="s">
        <v>16</v>
      </c>
      <c r="F441" t="s">
        <v>17</v>
      </c>
      <c r="G441" t="s">
        <v>94</v>
      </c>
      <c r="H441">
        <v>2</v>
      </c>
      <c r="I441">
        <v>2850</v>
      </c>
      <c r="J441">
        <v>0</v>
      </c>
      <c r="K441" t="s">
        <v>41</v>
      </c>
      <c r="L441" t="s">
        <v>37</v>
      </c>
      <c r="M441">
        <v>5700</v>
      </c>
      <c r="N441" t="s">
        <v>45</v>
      </c>
    </row>
    <row r="442" spans="1:14" x14ac:dyDescent="0.25">
      <c r="A442" t="s">
        <v>713</v>
      </c>
      <c r="B442" s="5" t="s">
        <v>1356</v>
      </c>
      <c r="C442" t="s">
        <v>217</v>
      </c>
      <c r="D442">
        <v>48</v>
      </c>
      <c r="E442" t="s">
        <v>23</v>
      </c>
      <c r="F442" t="s">
        <v>17</v>
      </c>
      <c r="G442" t="s">
        <v>186</v>
      </c>
      <c r="H442">
        <v>1</v>
      </c>
      <c r="I442">
        <v>1650</v>
      </c>
      <c r="J442">
        <v>10</v>
      </c>
      <c r="K442" t="s">
        <v>41</v>
      </c>
      <c r="L442" t="s">
        <v>51</v>
      </c>
      <c r="M442">
        <v>1485</v>
      </c>
      <c r="N442" t="s">
        <v>21</v>
      </c>
    </row>
    <row r="443" spans="1:14" x14ac:dyDescent="0.25">
      <c r="A443" t="s">
        <v>714</v>
      </c>
      <c r="B443" s="5">
        <v>45260</v>
      </c>
      <c r="C443" t="s">
        <v>48</v>
      </c>
      <c r="D443">
        <v>48</v>
      </c>
      <c r="E443" t="s">
        <v>23</v>
      </c>
      <c r="F443" t="s">
        <v>291</v>
      </c>
      <c r="G443" t="s">
        <v>124</v>
      </c>
      <c r="H443">
        <v>3</v>
      </c>
      <c r="I443">
        <v>6450</v>
      </c>
      <c r="J443">
        <v>10</v>
      </c>
      <c r="K443" t="s">
        <v>19</v>
      </c>
      <c r="L443" t="s">
        <v>56</v>
      </c>
      <c r="M443">
        <v>17415</v>
      </c>
      <c r="N443" t="s">
        <v>26</v>
      </c>
    </row>
    <row r="444" spans="1:14" x14ac:dyDescent="0.25">
      <c r="A444" t="s">
        <v>715</v>
      </c>
      <c r="B444" s="5">
        <v>45212</v>
      </c>
      <c r="C444" t="s">
        <v>43</v>
      </c>
      <c r="D444">
        <v>43</v>
      </c>
      <c r="E444" t="s">
        <v>16</v>
      </c>
      <c r="F444" t="s">
        <v>17</v>
      </c>
      <c r="G444" t="s">
        <v>186</v>
      </c>
      <c r="H444">
        <v>3</v>
      </c>
      <c r="I444">
        <v>2950</v>
      </c>
      <c r="J444">
        <v>40</v>
      </c>
      <c r="K444" t="s">
        <v>50</v>
      </c>
      <c r="L444" t="s">
        <v>20</v>
      </c>
      <c r="M444">
        <v>5310</v>
      </c>
      <c r="N444" t="s">
        <v>45</v>
      </c>
    </row>
    <row r="445" spans="1:14" x14ac:dyDescent="0.25">
      <c r="A445" t="s">
        <v>716</v>
      </c>
      <c r="B445" s="5">
        <v>45183</v>
      </c>
      <c r="D445">
        <v>55</v>
      </c>
      <c r="E445" t="s">
        <v>23</v>
      </c>
      <c r="F445" t="s">
        <v>17</v>
      </c>
      <c r="G445" t="s">
        <v>297</v>
      </c>
      <c r="H445">
        <v>3</v>
      </c>
      <c r="I445">
        <v>8000</v>
      </c>
      <c r="J445">
        <v>20</v>
      </c>
      <c r="K445" t="s">
        <v>19</v>
      </c>
      <c r="L445" t="s">
        <v>20</v>
      </c>
      <c r="M445">
        <v>76800</v>
      </c>
      <c r="N445" t="s">
        <v>352</v>
      </c>
    </row>
    <row r="446" spans="1:14" x14ac:dyDescent="0.25">
      <c r="A446" t="s">
        <v>717</v>
      </c>
      <c r="B446" s="5" t="s">
        <v>1364</v>
      </c>
      <c r="C446" t="s">
        <v>66</v>
      </c>
      <c r="D446">
        <v>58</v>
      </c>
      <c r="E446" t="s">
        <v>16</v>
      </c>
      <c r="F446" t="s">
        <v>17</v>
      </c>
      <c r="G446" t="s">
        <v>274</v>
      </c>
      <c r="H446">
        <v>2</v>
      </c>
      <c r="I446">
        <v>2450</v>
      </c>
      <c r="J446">
        <v>10</v>
      </c>
      <c r="K446" t="s">
        <v>41</v>
      </c>
      <c r="L446" t="s">
        <v>20</v>
      </c>
      <c r="M446">
        <v>4410</v>
      </c>
      <c r="N446" t="s">
        <v>74</v>
      </c>
    </row>
    <row r="447" spans="1:14" x14ac:dyDescent="0.25">
      <c r="A447" t="s">
        <v>718</v>
      </c>
      <c r="B447" s="5">
        <v>45010</v>
      </c>
      <c r="C447" t="s">
        <v>152</v>
      </c>
      <c r="D447">
        <v>31</v>
      </c>
      <c r="E447" t="s">
        <v>16</v>
      </c>
      <c r="F447" t="s">
        <v>30</v>
      </c>
      <c r="G447" t="s">
        <v>195</v>
      </c>
      <c r="H447">
        <v>3</v>
      </c>
      <c r="I447">
        <v>3035</v>
      </c>
      <c r="J447">
        <v>5</v>
      </c>
      <c r="K447" t="s">
        <v>25</v>
      </c>
      <c r="L447" t="s">
        <v>20</v>
      </c>
      <c r="M447">
        <v>9105</v>
      </c>
      <c r="N447" t="s">
        <v>26</v>
      </c>
    </row>
    <row r="448" spans="1:14" x14ac:dyDescent="0.25">
      <c r="A448" t="s">
        <v>719</v>
      </c>
      <c r="B448" s="5" t="s">
        <v>720</v>
      </c>
      <c r="D448">
        <v>18</v>
      </c>
      <c r="E448" t="s">
        <v>16</v>
      </c>
      <c r="F448" t="s">
        <v>35</v>
      </c>
      <c r="G448" t="s">
        <v>331</v>
      </c>
      <c r="H448">
        <v>3</v>
      </c>
      <c r="I448">
        <v>297</v>
      </c>
      <c r="J448">
        <v>10</v>
      </c>
      <c r="K448" t="s">
        <v>41</v>
      </c>
      <c r="L448" t="s">
        <v>20</v>
      </c>
      <c r="M448">
        <v>891</v>
      </c>
      <c r="N448" t="s">
        <v>26</v>
      </c>
    </row>
    <row r="449" spans="1:14" x14ac:dyDescent="0.25">
      <c r="A449" t="s">
        <v>721</v>
      </c>
      <c r="B449" s="5">
        <v>44960</v>
      </c>
      <c r="D449">
        <v>48</v>
      </c>
      <c r="E449" t="s">
        <v>23</v>
      </c>
      <c r="F449" t="s">
        <v>35</v>
      </c>
      <c r="G449" t="s">
        <v>158</v>
      </c>
      <c r="H449">
        <v>4</v>
      </c>
      <c r="I449">
        <v>808</v>
      </c>
      <c r="J449">
        <v>50</v>
      </c>
      <c r="K449" t="s">
        <v>25</v>
      </c>
      <c r="L449" t="s">
        <v>20</v>
      </c>
      <c r="M449">
        <v>4848</v>
      </c>
      <c r="N449" t="s">
        <v>45</v>
      </c>
    </row>
    <row r="450" spans="1:14" x14ac:dyDescent="0.25">
      <c r="A450" t="s">
        <v>722</v>
      </c>
      <c r="B450" s="5">
        <v>45039</v>
      </c>
      <c r="C450" t="s">
        <v>160</v>
      </c>
      <c r="D450">
        <v>26</v>
      </c>
      <c r="E450" t="s">
        <v>16</v>
      </c>
      <c r="F450" t="s">
        <v>54</v>
      </c>
      <c r="G450" t="s">
        <v>55</v>
      </c>
      <c r="H450">
        <v>1</v>
      </c>
      <c r="I450">
        <v>29900</v>
      </c>
      <c r="J450">
        <v>5</v>
      </c>
      <c r="K450" t="s">
        <v>50</v>
      </c>
      <c r="L450" t="s">
        <v>20</v>
      </c>
      <c r="M450">
        <v>28405</v>
      </c>
      <c r="N450" t="s">
        <v>621</v>
      </c>
    </row>
    <row r="451" spans="1:14" x14ac:dyDescent="0.25">
      <c r="A451" t="s">
        <v>723</v>
      </c>
      <c r="B451" s="5">
        <v>45262</v>
      </c>
      <c r="C451" t="s">
        <v>156</v>
      </c>
      <c r="D451">
        <v>59</v>
      </c>
      <c r="E451" t="s">
        <v>23</v>
      </c>
      <c r="F451" t="s">
        <v>54</v>
      </c>
      <c r="G451" t="s">
        <v>280</v>
      </c>
      <c r="H451">
        <v>2</v>
      </c>
      <c r="I451">
        <v>67000</v>
      </c>
      <c r="K451" t="s">
        <v>25</v>
      </c>
      <c r="L451" t="s">
        <v>20</v>
      </c>
      <c r="M451">
        <v>134000</v>
      </c>
      <c r="N451" t="s">
        <v>26</v>
      </c>
    </row>
    <row r="452" spans="1:14" x14ac:dyDescent="0.25">
      <c r="A452" t="s">
        <v>724</v>
      </c>
      <c r="B452" s="5">
        <v>45037</v>
      </c>
      <c r="C452" t="s">
        <v>66</v>
      </c>
      <c r="D452">
        <v>25</v>
      </c>
      <c r="E452" t="s">
        <v>710</v>
      </c>
      <c r="F452" t="s">
        <v>17</v>
      </c>
      <c r="G452" t="s">
        <v>80</v>
      </c>
      <c r="H452">
        <v>3</v>
      </c>
      <c r="I452">
        <v>4800</v>
      </c>
      <c r="J452">
        <v>10</v>
      </c>
      <c r="K452" t="s">
        <v>41</v>
      </c>
      <c r="L452" t="s">
        <v>51</v>
      </c>
      <c r="M452">
        <v>12960</v>
      </c>
      <c r="N452" t="s">
        <v>21</v>
      </c>
    </row>
    <row r="453" spans="1:14" x14ac:dyDescent="0.25">
      <c r="A453" t="s">
        <v>725</v>
      </c>
      <c r="B453" s="5">
        <v>45258</v>
      </c>
      <c r="C453" t="s">
        <v>170</v>
      </c>
      <c r="D453">
        <v>63</v>
      </c>
      <c r="E453" t="s">
        <v>16</v>
      </c>
      <c r="F453" t="s">
        <v>30</v>
      </c>
      <c r="G453" t="s">
        <v>67</v>
      </c>
      <c r="H453">
        <v>3</v>
      </c>
      <c r="I453">
        <v>3569</v>
      </c>
      <c r="J453">
        <v>30</v>
      </c>
      <c r="K453" t="s">
        <v>25</v>
      </c>
      <c r="L453" t="s">
        <v>51</v>
      </c>
      <c r="M453">
        <v>7494.9</v>
      </c>
      <c r="N453" t="s">
        <v>45</v>
      </c>
    </row>
    <row r="454" spans="1:14" x14ac:dyDescent="0.25">
      <c r="A454" t="s">
        <v>726</v>
      </c>
      <c r="B454" s="5">
        <v>45240</v>
      </c>
      <c r="D454">
        <v>32</v>
      </c>
      <c r="E454" t="s">
        <v>16</v>
      </c>
      <c r="F454" t="s">
        <v>30</v>
      </c>
      <c r="G454" t="s">
        <v>67</v>
      </c>
      <c r="H454">
        <v>1</v>
      </c>
      <c r="I454">
        <v>4761</v>
      </c>
      <c r="K454" t="s">
        <v>25</v>
      </c>
      <c r="L454" t="s">
        <v>51</v>
      </c>
      <c r="M454">
        <v>9522</v>
      </c>
      <c r="N454" t="s">
        <v>21</v>
      </c>
    </row>
    <row r="455" spans="1:14" x14ac:dyDescent="0.25">
      <c r="A455" t="s">
        <v>727</v>
      </c>
      <c r="B455" s="5">
        <v>45096</v>
      </c>
      <c r="D455">
        <v>21</v>
      </c>
      <c r="E455" t="s">
        <v>23</v>
      </c>
      <c r="F455" t="s">
        <v>438</v>
      </c>
      <c r="G455" t="s">
        <v>80</v>
      </c>
      <c r="H455">
        <v>1</v>
      </c>
      <c r="I455">
        <v>4550</v>
      </c>
      <c r="K455" t="s">
        <v>41</v>
      </c>
      <c r="L455" t="s">
        <v>20</v>
      </c>
      <c r="M455">
        <v>4550</v>
      </c>
      <c r="N455" t="s">
        <v>45</v>
      </c>
    </row>
    <row r="456" spans="1:14" x14ac:dyDescent="0.25">
      <c r="A456" t="s">
        <v>728</v>
      </c>
      <c r="B456" s="5">
        <v>45133</v>
      </c>
      <c r="D456">
        <v>63</v>
      </c>
      <c r="E456" t="s">
        <v>23</v>
      </c>
      <c r="F456" t="s">
        <v>30</v>
      </c>
      <c r="G456" t="s">
        <v>224</v>
      </c>
      <c r="H456">
        <v>4</v>
      </c>
      <c r="I456">
        <v>1257</v>
      </c>
      <c r="K456" t="s">
        <v>83</v>
      </c>
      <c r="L456" t="s">
        <v>20</v>
      </c>
      <c r="M456">
        <v>5028</v>
      </c>
      <c r="N456" t="s">
        <v>21</v>
      </c>
    </row>
    <row r="457" spans="1:14" x14ac:dyDescent="0.25">
      <c r="A457" t="s">
        <v>729</v>
      </c>
      <c r="B457" s="5" t="s">
        <v>730</v>
      </c>
      <c r="D457">
        <v>32</v>
      </c>
      <c r="E457" t="s">
        <v>443</v>
      </c>
      <c r="F457" t="s">
        <v>91</v>
      </c>
      <c r="G457" t="s">
        <v>199</v>
      </c>
      <c r="H457">
        <v>2</v>
      </c>
      <c r="I457">
        <v>59700</v>
      </c>
      <c r="J457">
        <v>25</v>
      </c>
      <c r="K457" t="s">
        <v>19</v>
      </c>
      <c r="L457" t="s">
        <v>51</v>
      </c>
      <c r="M457">
        <v>89550</v>
      </c>
      <c r="N457" t="s">
        <v>21</v>
      </c>
    </row>
    <row r="458" spans="1:14" x14ac:dyDescent="0.25">
      <c r="A458" t="s">
        <v>731</v>
      </c>
      <c r="B458" s="5">
        <v>45186</v>
      </c>
      <c r="C458" t="s">
        <v>48</v>
      </c>
      <c r="D458">
        <v>52</v>
      </c>
      <c r="E458" t="s">
        <v>23</v>
      </c>
      <c r="F458" t="s">
        <v>35</v>
      </c>
      <c r="G458" t="s">
        <v>166</v>
      </c>
      <c r="H458">
        <v>4</v>
      </c>
      <c r="I458">
        <v>1165</v>
      </c>
      <c r="J458">
        <v>25</v>
      </c>
      <c r="K458" t="s">
        <v>41</v>
      </c>
      <c r="L458" t="s">
        <v>56</v>
      </c>
      <c r="M458">
        <v>3495</v>
      </c>
      <c r="N458" t="s">
        <v>45</v>
      </c>
    </row>
    <row r="459" spans="1:14" x14ac:dyDescent="0.25">
      <c r="A459" t="s">
        <v>732</v>
      </c>
      <c r="B459" s="5">
        <v>45288</v>
      </c>
      <c r="D459">
        <v>40</v>
      </c>
      <c r="E459" t="s">
        <v>16</v>
      </c>
      <c r="F459" t="s">
        <v>347</v>
      </c>
      <c r="G459" t="s">
        <v>348</v>
      </c>
      <c r="H459">
        <v>2</v>
      </c>
      <c r="I459">
        <v>2100</v>
      </c>
      <c r="K459" t="s">
        <v>19</v>
      </c>
      <c r="L459" t="s">
        <v>449</v>
      </c>
      <c r="M459">
        <v>4200</v>
      </c>
      <c r="N459" t="s">
        <v>45</v>
      </c>
    </row>
    <row r="460" spans="1:14" x14ac:dyDescent="0.25">
      <c r="A460" t="s">
        <v>733</v>
      </c>
      <c r="B460" s="5">
        <v>45166</v>
      </c>
      <c r="C460" t="s">
        <v>66</v>
      </c>
      <c r="D460">
        <v>24</v>
      </c>
      <c r="E460" t="s">
        <v>23</v>
      </c>
      <c r="F460" t="s">
        <v>30</v>
      </c>
      <c r="G460" t="s">
        <v>268</v>
      </c>
      <c r="H460">
        <v>5</v>
      </c>
      <c r="I460">
        <v>1910</v>
      </c>
      <c r="J460">
        <v>20</v>
      </c>
      <c r="K460" t="s">
        <v>32</v>
      </c>
      <c r="L460" t="s">
        <v>20</v>
      </c>
      <c r="M460">
        <v>7640</v>
      </c>
      <c r="N460" t="s">
        <v>38</v>
      </c>
    </row>
    <row r="461" spans="1:14" x14ac:dyDescent="0.25">
      <c r="A461" t="s">
        <v>734</v>
      </c>
      <c r="B461" s="5" t="s">
        <v>735</v>
      </c>
      <c r="D461">
        <v>34</v>
      </c>
      <c r="E461" t="s">
        <v>23</v>
      </c>
      <c r="F461" t="s">
        <v>17</v>
      </c>
      <c r="G461" t="s">
        <v>80</v>
      </c>
      <c r="H461">
        <v>3</v>
      </c>
      <c r="I461">
        <v>7250</v>
      </c>
      <c r="J461">
        <v>40</v>
      </c>
      <c r="K461" t="s">
        <v>19</v>
      </c>
      <c r="L461" t="s">
        <v>20</v>
      </c>
      <c r="M461">
        <v>13050</v>
      </c>
      <c r="N461" t="s">
        <v>45</v>
      </c>
    </row>
    <row r="462" spans="1:14" x14ac:dyDescent="0.25">
      <c r="A462" t="s">
        <v>736</v>
      </c>
      <c r="B462" s="5">
        <v>45233</v>
      </c>
      <c r="D462">
        <v>44</v>
      </c>
      <c r="E462" t="s">
        <v>16</v>
      </c>
      <c r="F462" t="s">
        <v>54</v>
      </c>
      <c r="G462" t="s">
        <v>104</v>
      </c>
      <c r="H462">
        <v>2</v>
      </c>
      <c r="I462">
        <v>13300</v>
      </c>
      <c r="J462">
        <v>20</v>
      </c>
      <c r="K462" t="s">
        <v>19</v>
      </c>
      <c r="L462" t="s">
        <v>449</v>
      </c>
      <c r="M462">
        <v>21280</v>
      </c>
      <c r="N462" t="s">
        <v>332</v>
      </c>
    </row>
    <row r="463" spans="1:14" x14ac:dyDescent="0.25">
      <c r="A463" t="s">
        <v>737</v>
      </c>
      <c r="B463" s="5" t="s">
        <v>1367</v>
      </c>
      <c r="C463" t="s">
        <v>62</v>
      </c>
      <c r="D463">
        <v>42</v>
      </c>
      <c r="E463" t="s">
        <v>23</v>
      </c>
      <c r="F463" t="s">
        <v>17</v>
      </c>
      <c r="G463" t="s">
        <v>186</v>
      </c>
      <c r="H463">
        <v>2</v>
      </c>
      <c r="I463">
        <v>1400</v>
      </c>
      <c r="J463">
        <v>10</v>
      </c>
      <c r="K463" t="s">
        <v>50</v>
      </c>
      <c r="L463" t="s">
        <v>20</v>
      </c>
      <c r="M463">
        <v>2520</v>
      </c>
      <c r="N463" t="s">
        <v>45</v>
      </c>
    </row>
    <row r="464" spans="1:14" x14ac:dyDescent="0.25">
      <c r="A464" t="s">
        <v>738</v>
      </c>
      <c r="B464" s="5">
        <v>44989</v>
      </c>
      <c r="C464" t="s">
        <v>358</v>
      </c>
      <c r="D464">
        <v>61</v>
      </c>
      <c r="E464" t="s">
        <v>490</v>
      </c>
      <c r="F464" t="s">
        <v>35</v>
      </c>
      <c r="G464" t="s">
        <v>111</v>
      </c>
      <c r="H464">
        <v>1</v>
      </c>
      <c r="I464">
        <v>475</v>
      </c>
      <c r="J464">
        <v>0</v>
      </c>
      <c r="K464" t="s">
        <v>19</v>
      </c>
      <c r="L464" t="s">
        <v>51</v>
      </c>
      <c r="M464">
        <v>475</v>
      </c>
      <c r="N464" t="s">
        <v>26</v>
      </c>
    </row>
    <row r="465" spans="1:14" x14ac:dyDescent="0.25">
      <c r="A465" t="s">
        <v>739</v>
      </c>
      <c r="B465" s="5">
        <v>45148</v>
      </c>
      <c r="C465" t="s">
        <v>740</v>
      </c>
      <c r="D465">
        <v>21</v>
      </c>
      <c r="E465" t="s">
        <v>741</v>
      </c>
      <c r="F465" t="s">
        <v>54</v>
      </c>
      <c r="G465" t="s">
        <v>311</v>
      </c>
      <c r="H465">
        <v>1</v>
      </c>
      <c r="J465">
        <v>20</v>
      </c>
      <c r="K465" t="s">
        <v>25</v>
      </c>
      <c r="L465" t="s">
        <v>20</v>
      </c>
      <c r="N465" t="s">
        <v>45</v>
      </c>
    </row>
    <row r="466" spans="1:14" x14ac:dyDescent="0.25">
      <c r="A466" t="s">
        <v>742</v>
      </c>
      <c r="B466" s="5">
        <v>45070</v>
      </c>
      <c r="C466" t="s">
        <v>72</v>
      </c>
      <c r="D466">
        <v>30</v>
      </c>
      <c r="E466" t="s">
        <v>23</v>
      </c>
      <c r="F466" t="s">
        <v>30</v>
      </c>
      <c r="G466" t="s">
        <v>294</v>
      </c>
      <c r="H466">
        <v>9</v>
      </c>
      <c r="I466">
        <v>643</v>
      </c>
      <c r="J466">
        <v>0</v>
      </c>
      <c r="K466" t="s">
        <v>32</v>
      </c>
      <c r="L466" t="s">
        <v>51</v>
      </c>
      <c r="M466">
        <v>5787</v>
      </c>
      <c r="N466" t="s">
        <v>26</v>
      </c>
    </row>
    <row r="467" spans="1:14" x14ac:dyDescent="0.25">
      <c r="A467" t="s">
        <v>743</v>
      </c>
      <c r="B467" s="5">
        <v>45032</v>
      </c>
      <c r="C467" t="s">
        <v>198</v>
      </c>
      <c r="D467">
        <v>46</v>
      </c>
      <c r="E467" t="s">
        <v>16</v>
      </c>
      <c r="F467" t="s">
        <v>54</v>
      </c>
      <c r="G467" t="s">
        <v>280</v>
      </c>
      <c r="H467">
        <v>20</v>
      </c>
      <c r="I467">
        <v>43700</v>
      </c>
      <c r="J467">
        <v>25</v>
      </c>
      <c r="K467" t="s">
        <v>261</v>
      </c>
      <c r="L467" t="s">
        <v>20</v>
      </c>
      <c r="M467">
        <v>655500</v>
      </c>
      <c r="N467" t="s">
        <v>21</v>
      </c>
    </row>
    <row r="468" spans="1:14" x14ac:dyDescent="0.25">
      <c r="A468" t="s">
        <v>744</v>
      </c>
      <c r="B468" s="5">
        <v>45190</v>
      </c>
      <c r="C468" t="s">
        <v>53</v>
      </c>
      <c r="D468">
        <v>51</v>
      </c>
      <c r="E468" t="s">
        <v>16</v>
      </c>
      <c r="F468" t="s">
        <v>129</v>
      </c>
      <c r="G468" t="s">
        <v>268</v>
      </c>
      <c r="H468">
        <v>3</v>
      </c>
      <c r="I468">
        <v>1088</v>
      </c>
      <c r="J468">
        <v>0</v>
      </c>
      <c r="K468" t="s">
        <v>25</v>
      </c>
      <c r="L468" t="s">
        <v>37</v>
      </c>
      <c r="M468">
        <v>3264</v>
      </c>
      <c r="N468" t="s">
        <v>38</v>
      </c>
    </row>
    <row r="469" spans="1:14" x14ac:dyDescent="0.25">
      <c r="A469" t="s">
        <v>258</v>
      </c>
      <c r="B469" s="5">
        <v>45058</v>
      </c>
      <c r="C469" t="s">
        <v>165</v>
      </c>
      <c r="D469">
        <v>62</v>
      </c>
      <c r="E469" t="s">
        <v>23</v>
      </c>
      <c r="F469" t="s">
        <v>17</v>
      </c>
      <c r="G469" t="s">
        <v>259</v>
      </c>
      <c r="H469">
        <v>2</v>
      </c>
      <c r="I469">
        <v>4600</v>
      </c>
      <c r="J469">
        <v>5</v>
      </c>
      <c r="K469" t="s">
        <v>19</v>
      </c>
      <c r="L469" t="s">
        <v>20</v>
      </c>
      <c r="M469">
        <v>8740</v>
      </c>
      <c r="N469" t="s">
        <v>45</v>
      </c>
    </row>
    <row r="470" spans="1:14" x14ac:dyDescent="0.25">
      <c r="A470" t="s">
        <v>745</v>
      </c>
      <c r="B470" s="5">
        <v>45099</v>
      </c>
      <c r="C470" t="s">
        <v>217</v>
      </c>
      <c r="D470">
        <v>63</v>
      </c>
      <c r="E470" t="s">
        <v>16</v>
      </c>
      <c r="F470" t="s">
        <v>324</v>
      </c>
      <c r="G470" t="s">
        <v>99</v>
      </c>
      <c r="H470">
        <v>1</v>
      </c>
      <c r="I470">
        <v>1138</v>
      </c>
      <c r="J470">
        <v>10</v>
      </c>
      <c r="K470" t="s">
        <v>50</v>
      </c>
      <c r="L470" t="s">
        <v>20</v>
      </c>
      <c r="M470">
        <v>1024.2</v>
      </c>
      <c r="N470" t="s">
        <v>38</v>
      </c>
    </row>
    <row r="471" spans="1:14" x14ac:dyDescent="0.25">
      <c r="A471" t="s">
        <v>746</v>
      </c>
      <c r="B471" s="5">
        <v>45225</v>
      </c>
      <c r="E471" t="s">
        <v>23</v>
      </c>
      <c r="F471" t="s">
        <v>54</v>
      </c>
      <c r="G471" t="s">
        <v>348</v>
      </c>
      <c r="H471">
        <v>1</v>
      </c>
      <c r="I471">
        <v>3000</v>
      </c>
      <c r="J471">
        <v>40</v>
      </c>
      <c r="K471" t="s">
        <v>19</v>
      </c>
      <c r="L471" t="s">
        <v>20</v>
      </c>
      <c r="M471">
        <v>3000</v>
      </c>
      <c r="N471" t="s">
        <v>21</v>
      </c>
    </row>
    <row r="472" spans="1:14" x14ac:dyDescent="0.25">
      <c r="A472" t="s">
        <v>747</v>
      </c>
      <c r="B472" s="5">
        <v>45182</v>
      </c>
      <c r="C472" t="s">
        <v>748</v>
      </c>
      <c r="D472">
        <v>53</v>
      </c>
      <c r="E472" t="s">
        <v>143</v>
      </c>
      <c r="F472" t="s">
        <v>30</v>
      </c>
      <c r="G472" t="s">
        <v>121</v>
      </c>
      <c r="H472">
        <v>1</v>
      </c>
      <c r="I472">
        <v>6609</v>
      </c>
      <c r="J472">
        <v>20</v>
      </c>
      <c r="K472" t="s">
        <v>50</v>
      </c>
      <c r="L472" t="s">
        <v>20</v>
      </c>
      <c r="M472">
        <v>5287.2</v>
      </c>
      <c r="N472" t="s">
        <v>26</v>
      </c>
    </row>
    <row r="473" spans="1:14" x14ac:dyDescent="0.25">
      <c r="A473" t="s">
        <v>749</v>
      </c>
      <c r="B473" s="5">
        <v>45080</v>
      </c>
      <c r="C473" t="s">
        <v>156</v>
      </c>
      <c r="D473">
        <v>48</v>
      </c>
      <c r="E473" t="s">
        <v>16</v>
      </c>
      <c r="F473" t="s">
        <v>17</v>
      </c>
      <c r="G473" t="s">
        <v>124</v>
      </c>
      <c r="H473">
        <v>2</v>
      </c>
      <c r="I473">
        <v>5700</v>
      </c>
      <c r="J473">
        <v>0</v>
      </c>
      <c r="K473" t="s">
        <v>261</v>
      </c>
      <c r="L473" t="s">
        <v>20</v>
      </c>
      <c r="M473">
        <v>11400</v>
      </c>
      <c r="N473" t="s">
        <v>45</v>
      </c>
    </row>
    <row r="474" spans="1:14" x14ac:dyDescent="0.25">
      <c r="A474" t="s">
        <v>750</v>
      </c>
      <c r="B474" s="5" t="s">
        <v>751</v>
      </c>
      <c r="D474">
        <v>36</v>
      </c>
      <c r="E474" t="s">
        <v>16</v>
      </c>
      <c r="F474" t="s">
        <v>54</v>
      </c>
      <c r="G474" t="s">
        <v>144</v>
      </c>
      <c r="H474">
        <v>1</v>
      </c>
      <c r="I474">
        <v>57000</v>
      </c>
      <c r="J474">
        <v>10</v>
      </c>
      <c r="K474" t="s">
        <v>50</v>
      </c>
      <c r="L474" t="s">
        <v>20</v>
      </c>
      <c r="M474">
        <v>51300</v>
      </c>
      <c r="N474" t="s">
        <v>21</v>
      </c>
    </row>
    <row r="475" spans="1:14" x14ac:dyDescent="0.25">
      <c r="A475" t="s">
        <v>752</v>
      </c>
      <c r="B475" s="5">
        <v>45211</v>
      </c>
      <c r="C475" t="s">
        <v>355</v>
      </c>
      <c r="D475">
        <v>62</v>
      </c>
      <c r="E475" t="s">
        <v>23</v>
      </c>
      <c r="F475" t="s">
        <v>54</v>
      </c>
      <c r="G475" t="s">
        <v>77</v>
      </c>
      <c r="H475">
        <v>1</v>
      </c>
      <c r="I475">
        <v>15900</v>
      </c>
      <c r="J475">
        <v>0</v>
      </c>
      <c r="K475" t="s">
        <v>50</v>
      </c>
      <c r="L475" t="s">
        <v>51</v>
      </c>
      <c r="M475">
        <v>15900</v>
      </c>
      <c r="N475" t="s">
        <v>38</v>
      </c>
    </row>
    <row r="476" spans="1:14" x14ac:dyDescent="0.25">
      <c r="A476" t="s">
        <v>753</v>
      </c>
      <c r="B476" s="5">
        <v>44992</v>
      </c>
      <c r="C476" t="s">
        <v>66</v>
      </c>
      <c r="D476">
        <v>34</v>
      </c>
      <c r="E476" t="s">
        <v>23</v>
      </c>
      <c r="F476" t="s">
        <v>30</v>
      </c>
      <c r="G476" t="s">
        <v>31</v>
      </c>
      <c r="H476">
        <v>10</v>
      </c>
      <c r="I476">
        <v>2320</v>
      </c>
      <c r="J476">
        <v>0</v>
      </c>
      <c r="K476" t="s">
        <v>41</v>
      </c>
      <c r="L476" t="s">
        <v>20</v>
      </c>
      <c r="M476">
        <v>23200</v>
      </c>
      <c r="N476" t="s">
        <v>74</v>
      </c>
    </row>
    <row r="477" spans="1:14" x14ac:dyDescent="0.25">
      <c r="A477" t="s">
        <v>754</v>
      </c>
      <c r="B477" s="5">
        <v>45021</v>
      </c>
      <c r="C477" t="s">
        <v>72</v>
      </c>
      <c r="D477">
        <v>40</v>
      </c>
      <c r="E477" t="s">
        <v>23</v>
      </c>
      <c r="F477" t="s">
        <v>35</v>
      </c>
      <c r="G477" t="s">
        <v>158</v>
      </c>
      <c r="H477">
        <v>5</v>
      </c>
      <c r="I477">
        <v>670</v>
      </c>
      <c r="J477">
        <v>10</v>
      </c>
      <c r="K477" t="s">
        <v>50</v>
      </c>
      <c r="L477" t="s">
        <v>20</v>
      </c>
      <c r="M477">
        <v>3015</v>
      </c>
      <c r="N477" t="s">
        <v>21</v>
      </c>
    </row>
    <row r="478" spans="1:14" x14ac:dyDescent="0.25">
      <c r="A478" t="s">
        <v>755</v>
      </c>
      <c r="B478" s="5" t="s">
        <v>756</v>
      </c>
      <c r="C478" t="s">
        <v>757</v>
      </c>
      <c r="D478">
        <v>22</v>
      </c>
      <c r="E478" t="s">
        <v>23</v>
      </c>
      <c r="F478" t="s">
        <v>35</v>
      </c>
      <c r="G478" t="s">
        <v>111</v>
      </c>
      <c r="H478">
        <v>8</v>
      </c>
      <c r="I478">
        <v>433</v>
      </c>
      <c r="J478">
        <v>0</v>
      </c>
      <c r="K478" t="s">
        <v>50</v>
      </c>
      <c r="L478" t="s">
        <v>51</v>
      </c>
      <c r="M478">
        <v>3464</v>
      </c>
      <c r="N478" t="s">
        <v>167</v>
      </c>
    </row>
    <row r="479" spans="1:14" x14ac:dyDescent="0.25">
      <c r="A479" t="s">
        <v>758</v>
      </c>
      <c r="B479" s="5">
        <v>44981</v>
      </c>
      <c r="C479" t="s">
        <v>170</v>
      </c>
      <c r="D479">
        <v>24</v>
      </c>
      <c r="E479" t="s">
        <v>146</v>
      </c>
      <c r="F479" t="s">
        <v>759</v>
      </c>
      <c r="G479" t="s">
        <v>235</v>
      </c>
      <c r="H479">
        <v>10</v>
      </c>
      <c r="I479">
        <v>1730</v>
      </c>
      <c r="J479">
        <v>5</v>
      </c>
      <c r="K479" t="s">
        <v>41</v>
      </c>
      <c r="L479" t="s">
        <v>20</v>
      </c>
      <c r="M479">
        <v>16435</v>
      </c>
      <c r="N479" t="s">
        <v>26</v>
      </c>
    </row>
    <row r="480" spans="1:14" x14ac:dyDescent="0.25">
      <c r="A480" t="s">
        <v>760</v>
      </c>
      <c r="B480" s="5" t="s">
        <v>751</v>
      </c>
      <c r="C480" t="s">
        <v>245</v>
      </c>
      <c r="D480">
        <v>45</v>
      </c>
      <c r="E480" t="s">
        <v>143</v>
      </c>
      <c r="F480" t="s">
        <v>35</v>
      </c>
      <c r="G480" t="s">
        <v>257</v>
      </c>
      <c r="H480">
        <v>7</v>
      </c>
      <c r="I480">
        <v>1162</v>
      </c>
      <c r="J480">
        <v>30</v>
      </c>
      <c r="K480" t="s">
        <v>83</v>
      </c>
      <c r="L480" t="s">
        <v>20</v>
      </c>
      <c r="M480">
        <v>5693.8</v>
      </c>
      <c r="N480" t="s">
        <v>45</v>
      </c>
    </row>
    <row r="481" spans="1:14" x14ac:dyDescent="0.25">
      <c r="A481" t="s">
        <v>761</v>
      </c>
      <c r="B481" s="5">
        <v>45166</v>
      </c>
      <c r="C481" t="s">
        <v>72</v>
      </c>
      <c r="D481">
        <v>27</v>
      </c>
      <c r="E481" t="s">
        <v>23</v>
      </c>
      <c r="F481" t="s">
        <v>30</v>
      </c>
      <c r="G481" t="s">
        <v>235</v>
      </c>
      <c r="H481">
        <v>1</v>
      </c>
      <c r="I481">
        <v>2059</v>
      </c>
      <c r="J481">
        <v>20</v>
      </c>
      <c r="K481" t="s">
        <v>41</v>
      </c>
      <c r="L481" t="s">
        <v>20</v>
      </c>
      <c r="M481">
        <v>1647.2</v>
      </c>
      <c r="N481" t="s">
        <v>21</v>
      </c>
    </row>
    <row r="482" spans="1:14" x14ac:dyDescent="0.25">
      <c r="A482" t="s">
        <v>762</v>
      </c>
      <c r="B482" s="5">
        <v>45278</v>
      </c>
      <c r="C482" t="s">
        <v>110</v>
      </c>
      <c r="D482">
        <v>22</v>
      </c>
      <c r="E482" t="s">
        <v>23</v>
      </c>
      <c r="F482" t="s">
        <v>30</v>
      </c>
      <c r="G482" t="s">
        <v>195</v>
      </c>
      <c r="H482">
        <v>1</v>
      </c>
      <c r="I482">
        <v>3179</v>
      </c>
      <c r="J482">
        <v>0</v>
      </c>
      <c r="K482" t="s">
        <v>95</v>
      </c>
      <c r="L482" t="s">
        <v>20</v>
      </c>
      <c r="M482">
        <v>3179</v>
      </c>
      <c r="N482" t="s">
        <v>57</v>
      </c>
    </row>
    <row r="483" spans="1:14" x14ac:dyDescent="0.25">
      <c r="A483" t="s">
        <v>763</v>
      </c>
      <c r="B483" s="5">
        <v>45239</v>
      </c>
      <c r="D483">
        <v>56</v>
      </c>
      <c r="E483" t="s">
        <v>23</v>
      </c>
      <c r="F483" t="s">
        <v>30</v>
      </c>
      <c r="G483" t="s">
        <v>121</v>
      </c>
      <c r="H483">
        <v>1</v>
      </c>
      <c r="I483">
        <v>7312</v>
      </c>
      <c r="J483">
        <v>25</v>
      </c>
      <c r="K483" t="s">
        <v>41</v>
      </c>
      <c r="L483" t="s">
        <v>20</v>
      </c>
      <c r="M483">
        <v>5484</v>
      </c>
      <c r="N483" t="s">
        <v>45</v>
      </c>
    </row>
    <row r="484" spans="1:14" x14ac:dyDescent="0.25">
      <c r="A484" t="s">
        <v>764</v>
      </c>
      <c r="B484" s="5" t="s">
        <v>1367</v>
      </c>
      <c r="C484" t="s">
        <v>165</v>
      </c>
      <c r="E484" t="s">
        <v>23</v>
      </c>
      <c r="F484" t="s">
        <v>54</v>
      </c>
      <c r="G484" t="s">
        <v>88</v>
      </c>
      <c r="H484">
        <v>1</v>
      </c>
      <c r="I484">
        <v>47500</v>
      </c>
      <c r="J484">
        <v>0</v>
      </c>
      <c r="K484" t="s">
        <v>19</v>
      </c>
      <c r="L484" t="s">
        <v>20</v>
      </c>
      <c r="M484">
        <v>47500</v>
      </c>
      <c r="N484" t="s">
        <v>375</v>
      </c>
    </row>
    <row r="485" spans="1:14" x14ac:dyDescent="0.25">
      <c r="A485" t="s">
        <v>765</v>
      </c>
      <c r="B485" s="5">
        <v>45121</v>
      </c>
      <c r="C485" t="s">
        <v>431</v>
      </c>
      <c r="D485">
        <v>38</v>
      </c>
      <c r="E485" t="s">
        <v>23</v>
      </c>
      <c r="F485" t="s">
        <v>30</v>
      </c>
      <c r="G485" t="s">
        <v>224</v>
      </c>
      <c r="H485">
        <v>99</v>
      </c>
      <c r="I485">
        <v>862</v>
      </c>
      <c r="J485">
        <v>0</v>
      </c>
      <c r="K485" t="s">
        <v>50</v>
      </c>
      <c r="L485" t="s">
        <v>20</v>
      </c>
      <c r="M485">
        <v>85338</v>
      </c>
      <c r="N485" t="s">
        <v>26</v>
      </c>
    </row>
    <row r="486" spans="1:14" x14ac:dyDescent="0.25">
      <c r="A486" t="s">
        <v>766</v>
      </c>
      <c r="B486" s="5" t="s">
        <v>767</v>
      </c>
      <c r="C486" t="s">
        <v>152</v>
      </c>
      <c r="D486">
        <v>56</v>
      </c>
      <c r="E486" t="s">
        <v>16</v>
      </c>
      <c r="F486" t="s">
        <v>35</v>
      </c>
      <c r="G486" t="s">
        <v>166</v>
      </c>
      <c r="H486">
        <v>6</v>
      </c>
      <c r="I486">
        <v>538</v>
      </c>
      <c r="J486">
        <v>30</v>
      </c>
      <c r="K486" t="s">
        <v>89</v>
      </c>
      <c r="L486" t="s">
        <v>20</v>
      </c>
      <c r="M486">
        <v>2259.6</v>
      </c>
      <c r="N486" t="s">
        <v>26</v>
      </c>
    </row>
    <row r="487" spans="1:14" x14ac:dyDescent="0.25">
      <c r="A487" t="s">
        <v>768</v>
      </c>
      <c r="B487" s="5" t="s">
        <v>372</v>
      </c>
      <c r="C487" t="s">
        <v>28</v>
      </c>
      <c r="D487">
        <v>46</v>
      </c>
      <c r="E487" t="s">
        <v>443</v>
      </c>
      <c r="F487" t="s">
        <v>30</v>
      </c>
      <c r="G487" t="s">
        <v>130</v>
      </c>
      <c r="H487">
        <v>5</v>
      </c>
      <c r="I487">
        <v>2645</v>
      </c>
      <c r="J487">
        <v>40</v>
      </c>
      <c r="K487" t="s">
        <v>41</v>
      </c>
      <c r="L487" t="s">
        <v>20</v>
      </c>
      <c r="M487">
        <v>7935</v>
      </c>
      <c r="N487" t="s">
        <v>45</v>
      </c>
    </row>
    <row r="488" spans="1:14" x14ac:dyDescent="0.25">
      <c r="A488" t="s">
        <v>769</v>
      </c>
      <c r="B488" s="5" t="s">
        <v>389</v>
      </c>
      <c r="C488" t="s">
        <v>152</v>
      </c>
      <c r="D488">
        <v>29</v>
      </c>
      <c r="E488" t="s">
        <v>23</v>
      </c>
      <c r="F488" t="s">
        <v>103</v>
      </c>
      <c r="G488" t="s">
        <v>77</v>
      </c>
      <c r="H488">
        <v>2</v>
      </c>
      <c r="I488">
        <v>22000</v>
      </c>
      <c r="J488">
        <v>20</v>
      </c>
      <c r="K488" t="s">
        <v>19</v>
      </c>
      <c r="L488" t="s">
        <v>20</v>
      </c>
      <c r="M488">
        <v>35200</v>
      </c>
      <c r="N488" t="s">
        <v>38</v>
      </c>
    </row>
    <row r="489" spans="1:14" x14ac:dyDescent="0.25">
      <c r="A489" t="s">
        <v>770</v>
      </c>
      <c r="B489" s="5" t="s">
        <v>771</v>
      </c>
      <c r="C489" t="s">
        <v>53</v>
      </c>
      <c r="E489" t="s">
        <v>16</v>
      </c>
      <c r="F489" t="s">
        <v>35</v>
      </c>
      <c r="G489" t="s">
        <v>99</v>
      </c>
      <c r="H489">
        <v>6</v>
      </c>
      <c r="I489">
        <v>1199</v>
      </c>
      <c r="J489">
        <v>30</v>
      </c>
      <c r="K489" t="s">
        <v>41</v>
      </c>
      <c r="L489" t="s">
        <v>20</v>
      </c>
      <c r="M489">
        <v>5035.8</v>
      </c>
      <c r="N489" t="s">
        <v>45</v>
      </c>
    </row>
    <row r="490" spans="1:14" x14ac:dyDescent="0.25">
      <c r="A490" t="s">
        <v>772</v>
      </c>
      <c r="B490" s="5">
        <v>45238</v>
      </c>
      <c r="C490" t="s">
        <v>170</v>
      </c>
      <c r="D490">
        <v>27</v>
      </c>
      <c r="E490" t="s">
        <v>138</v>
      </c>
      <c r="F490" t="s">
        <v>30</v>
      </c>
      <c r="G490" t="s">
        <v>218</v>
      </c>
      <c r="H490">
        <v>2</v>
      </c>
      <c r="I490">
        <v>3879</v>
      </c>
      <c r="J490">
        <v>10</v>
      </c>
      <c r="K490" t="s">
        <v>25</v>
      </c>
      <c r="L490" t="s">
        <v>20</v>
      </c>
      <c r="M490">
        <v>6982.2</v>
      </c>
      <c r="N490" t="s">
        <v>45</v>
      </c>
    </row>
    <row r="491" spans="1:14" x14ac:dyDescent="0.25">
      <c r="A491" t="s">
        <v>773</v>
      </c>
      <c r="B491" s="5">
        <v>45260</v>
      </c>
      <c r="C491" t="s">
        <v>76</v>
      </c>
      <c r="D491">
        <v>57</v>
      </c>
      <c r="E491" t="s">
        <v>16</v>
      </c>
      <c r="F491" t="s">
        <v>30</v>
      </c>
      <c r="G491" t="s">
        <v>31</v>
      </c>
      <c r="H491">
        <v>1</v>
      </c>
      <c r="I491">
        <v>1654</v>
      </c>
      <c r="J491">
        <v>0</v>
      </c>
      <c r="K491" t="s">
        <v>19</v>
      </c>
      <c r="L491" t="s">
        <v>20</v>
      </c>
      <c r="M491">
        <v>1654</v>
      </c>
      <c r="N491" t="s">
        <v>45</v>
      </c>
    </row>
    <row r="492" spans="1:14" x14ac:dyDescent="0.25">
      <c r="A492" t="s">
        <v>774</v>
      </c>
      <c r="B492" s="5" t="s">
        <v>273</v>
      </c>
      <c r="C492" t="s">
        <v>165</v>
      </c>
      <c r="D492">
        <v>48</v>
      </c>
      <c r="E492" t="s">
        <v>23</v>
      </c>
      <c r="F492" t="s">
        <v>35</v>
      </c>
      <c r="G492" t="s">
        <v>257</v>
      </c>
      <c r="H492">
        <v>10</v>
      </c>
      <c r="I492">
        <v>784</v>
      </c>
      <c r="J492">
        <v>15</v>
      </c>
      <c r="K492" t="s">
        <v>369</v>
      </c>
      <c r="L492" t="s">
        <v>20</v>
      </c>
      <c r="M492">
        <v>6664</v>
      </c>
      <c r="N492" t="s">
        <v>21</v>
      </c>
    </row>
    <row r="493" spans="1:14" x14ac:dyDescent="0.25">
      <c r="A493" t="s">
        <v>775</v>
      </c>
      <c r="B493" s="5">
        <v>45257</v>
      </c>
      <c r="C493" t="s">
        <v>192</v>
      </c>
      <c r="D493">
        <v>62</v>
      </c>
      <c r="E493" t="s">
        <v>23</v>
      </c>
      <c r="F493" t="s">
        <v>17</v>
      </c>
      <c r="G493" t="s">
        <v>18</v>
      </c>
      <c r="H493">
        <v>2</v>
      </c>
      <c r="I493">
        <v>1850</v>
      </c>
      <c r="J493">
        <v>15</v>
      </c>
      <c r="K493" t="s">
        <v>19</v>
      </c>
      <c r="L493" t="s">
        <v>20</v>
      </c>
      <c r="M493">
        <v>12580</v>
      </c>
      <c r="N493" t="s">
        <v>45</v>
      </c>
    </row>
    <row r="494" spans="1:14" x14ac:dyDescent="0.25">
      <c r="A494" t="s">
        <v>776</v>
      </c>
      <c r="B494" s="5">
        <v>45245</v>
      </c>
      <c r="C494" t="s">
        <v>504</v>
      </c>
      <c r="D494">
        <v>61</v>
      </c>
      <c r="E494" t="s">
        <v>16</v>
      </c>
      <c r="F494" t="s">
        <v>30</v>
      </c>
      <c r="G494" t="s">
        <v>135</v>
      </c>
      <c r="H494">
        <v>6</v>
      </c>
      <c r="I494">
        <v>8251</v>
      </c>
      <c r="J494">
        <v>5</v>
      </c>
      <c r="K494" t="s">
        <v>95</v>
      </c>
      <c r="L494" t="s">
        <v>20</v>
      </c>
      <c r="M494">
        <v>47030.7</v>
      </c>
      <c r="N494" t="s">
        <v>45</v>
      </c>
    </row>
    <row r="495" spans="1:14" x14ac:dyDescent="0.25">
      <c r="A495" t="s">
        <v>777</v>
      </c>
      <c r="B495" s="5">
        <v>45122</v>
      </c>
      <c r="C495" t="s">
        <v>76</v>
      </c>
      <c r="D495">
        <v>37</v>
      </c>
      <c r="E495" t="s">
        <v>16</v>
      </c>
      <c r="F495" t="s">
        <v>17</v>
      </c>
      <c r="G495" t="s">
        <v>124</v>
      </c>
      <c r="H495">
        <v>1</v>
      </c>
      <c r="I495">
        <v>4</v>
      </c>
      <c r="J495">
        <v>50</v>
      </c>
      <c r="K495" t="s">
        <v>41</v>
      </c>
      <c r="L495" t="s">
        <v>20</v>
      </c>
      <c r="M495">
        <v>2</v>
      </c>
      <c r="N495" t="s">
        <v>45</v>
      </c>
    </row>
    <row r="496" spans="1:14" x14ac:dyDescent="0.25">
      <c r="A496" t="s">
        <v>778</v>
      </c>
      <c r="B496" s="5">
        <v>45081</v>
      </c>
      <c r="C496" t="s">
        <v>102</v>
      </c>
      <c r="D496">
        <v>48</v>
      </c>
      <c r="E496" t="s">
        <v>16</v>
      </c>
      <c r="F496" t="s">
        <v>345</v>
      </c>
      <c r="G496" t="s">
        <v>126</v>
      </c>
      <c r="H496">
        <v>2</v>
      </c>
      <c r="I496">
        <v>401</v>
      </c>
      <c r="J496">
        <v>10</v>
      </c>
      <c r="K496" t="s">
        <v>19</v>
      </c>
      <c r="L496" t="s">
        <v>51</v>
      </c>
      <c r="M496">
        <v>721.8</v>
      </c>
      <c r="N496" t="s">
        <v>26</v>
      </c>
    </row>
    <row r="497" spans="1:14" x14ac:dyDescent="0.25">
      <c r="A497" t="s">
        <v>779</v>
      </c>
      <c r="B497" s="5">
        <v>45195</v>
      </c>
      <c r="C497" t="s">
        <v>28</v>
      </c>
      <c r="D497">
        <v>30</v>
      </c>
      <c r="E497" t="s">
        <v>23</v>
      </c>
      <c r="F497" t="s">
        <v>17</v>
      </c>
      <c r="G497" t="s">
        <v>297</v>
      </c>
      <c r="H497">
        <v>3</v>
      </c>
      <c r="I497">
        <v>4</v>
      </c>
      <c r="J497">
        <v>15</v>
      </c>
      <c r="K497" t="s">
        <v>19</v>
      </c>
      <c r="L497" t="s">
        <v>20</v>
      </c>
      <c r="M497">
        <v>10.199999999999999</v>
      </c>
      <c r="N497" t="s">
        <v>45</v>
      </c>
    </row>
    <row r="498" spans="1:14" x14ac:dyDescent="0.25">
      <c r="A498" t="s">
        <v>780</v>
      </c>
      <c r="B498" s="5" t="s">
        <v>735</v>
      </c>
      <c r="C498" t="s">
        <v>165</v>
      </c>
      <c r="D498">
        <v>35</v>
      </c>
      <c r="E498" t="s">
        <v>16</v>
      </c>
      <c r="F498" t="s">
        <v>54</v>
      </c>
      <c r="G498" t="s">
        <v>280</v>
      </c>
      <c r="H498">
        <v>1</v>
      </c>
      <c r="I498">
        <v>70600</v>
      </c>
      <c r="J498">
        <v>0</v>
      </c>
      <c r="K498" t="s">
        <v>25</v>
      </c>
      <c r="L498" t="s">
        <v>20</v>
      </c>
      <c r="M498">
        <v>70600</v>
      </c>
      <c r="N498" t="s">
        <v>45</v>
      </c>
    </row>
    <row r="499" spans="1:14" x14ac:dyDescent="0.25">
      <c r="A499" t="s">
        <v>781</v>
      </c>
      <c r="B499" s="5">
        <v>44995</v>
      </c>
      <c r="C499" t="s">
        <v>165</v>
      </c>
      <c r="D499">
        <v>56</v>
      </c>
      <c r="E499" t="s">
        <v>16</v>
      </c>
      <c r="F499" t="s">
        <v>220</v>
      </c>
      <c r="G499" t="s">
        <v>195</v>
      </c>
      <c r="H499">
        <v>4</v>
      </c>
      <c r="I499">
        <v>3622</v>
      </c>
      <c r="J499">
        <v>20</v>
      </c>
      <c r="K499" t="s">
        <v>41</v>
      </c>
      <c r="L499" t="s">
        <v>20</v>
      </c>
      <c r="M499">
        <v>11590.4</v>
      </c>
      <c r="N499" t="s">
        <v>38</v>
      </c>
    </row>
    <row r="500" spans="1:14" x14ac:dyDescent="0.25">
      <c r="A500" t="s">
        <v>782</v>
      </c>
      <c r="B500" s="5" t="s">
        <v>783</v>
      </c>
      <c r="C500" t="s">
        <v>128</v>
      </c>
      <c r="D500">
        <v>34</v>
      </c>
      <c r="E500" t="s">
        <v>16</v>
      </c>
      <c r="F500" t="s">
        <v>54</v>
      </c>
      <c r="G500" t="s">
        <v>88</v>
      </c>
      <c r="H500">
        <v>2</v>
      </c>
      <c r="I500">
        <v>53400</v>
      </c>
      <c r="J500">
        <v>40</v>
      </c>
      <c r="K500" t="s">
        <v>25</v>
      </c>
      <c r="L500" t="s">
        <v>51</v>
      </c>
      <c r="M500">
        <v>64080</v>
      </c>
      <c r="N500" t="s">
        <v>26</v>
      </c>
    </row>
    <row r="501" spans="1:14" x14ac:dyDescent="0.25">
      <c r="A501" t="s">
        <v>784</v>
      </c>
      <c r="B501" s="5" t="s">
        <v>273</v>
      </c>
      <c r="C501" t="s">
        <v>128</v>
      </c>
      <c r="D501">
        <v>18</v>
      </c>
      <c r="E501" t="s">
        <v>23</v>
      </c>
      <c r="F501" t="s">
        <v>54</v>
      </c>
      <c r="G501" t="s">
        <v>338</v>
      </c>
      <c r="H501">
        <v>2</v>
      </c>
      <c r="I501">
        <v>6500</v>
      </c>
      <c r="J501">
        <v>5</v>
      </c>
      <c r="K501" t="s">
        <v>115</v>
      </c>
      <c r="L501" t="s">
        <v>51</v>
      </c>
      <c r="M501">
        <v>12350</v>
      </c>
      <c r="N501" t="s">
        <v>26</v>
      </c>
    </row>
    <row r="502" spans="1:14" x14ac:dyDescent="0.25">
      <c r="A502" t="s">
        <v>785</v>
      </c>
      <c r="B502" s="5">
        <v>45012</v>
      </c>
      <c r="C502" t="s">
        <v>217</v>
      </c>
      <c r="D502">
        <v>53</v>
      </c>
      <c r="E502" t="s">
        <v>23</v>
      </c>
      <c r="F502" t="s">
        <v>17</v>
      </c>
      <c r="G502" t="s">
        <v>94</v>
      </c>
      <c r="H502">
        <v>1</v>
      </c>
      <c r="I502">
        <v>3200</v>
      </c>
      <c r="J502">
        <v>40</v>
      </c>
      <c r="K502" t="s">
        <v>32</v>
      </c>
      <c r="L502" t="s">
        <v>51</v>
      </c>
      <c r="M502">
        <v>1920</v>
      </c>
      <c r="N502" t="s">
        <v>38</v>
      </c>
    </row>
    <row r="503" spans="1:14" x14ac:dyDescent="0.25">
      <c r="A503" t="s">
        <v>786</v>
      </c>
      <c r="B503" s="5">
        <v>44989</v>
      </c>
      <c r="D503">
        <v>26</v>
      </c>
      <c r="E503" t="s">
        <v>16</v>
      </c>
      <c r="F503" t="s">
        <v>30</v>
      </c>
      <c r="G503" t="s">
        <v>31</v>
      </c>
      <c r="H503">
        <v>1</v>
      </c>
      <c r="I503">
        <v>1952</v>
      </c>
      <c r="J503">
        <v>10</v>
      </c>
      <c r="K503" t="s">
        <v>19</v>
      </c>
      <c r="L503" t="s">
        <v>51</v>
      </c>
      <c r="M503">
        <v>1756.8</v>
      </c>
      <c r="N503" t="s">
        <v>276</v>
      </c>
    </row>
    <row r="504" spans="1:14" x14ac:dyDescent="0.25">
      <c r="A504" t="s">
        <v>787</v>
      </c>
      <c r="B504" s="5">
        <v>45003</v>
      </c>
      <c r="C504" t="s">
        <v>182</v>
      </c>
      <c r="D504">
        <v>30</v>
      </c>
      <c r="E504" t="s">
        <v>23</v>
      </c>
      <c r="F504" t="s">
        <v>17</v>
      </c>
      <c r="G504" t="s">
        <v>259</v>
      </c>
      <c r="H504">
        <v>1</v>
      </c>
      <c r="I504">
        <v>4350</v>
      </c>
      <c r="J504">
        <v>25</v>
      </c>
      <c r="K504" t="s">
        <v>41</v>
      </c>
      <c r="L504" t="s">
        <v>56</v>
      </c>
      <c r="M504">
        <v>3262.5</v>
      </c>
      <c r="N504" t="s">
        <v>332</v>
      </c>
    </row>
    <row r="505" spans="1:14" x14ac:dyDescent="0.25">
      <c r="A505" t="s">
        <v>788</v>
      </c>
      <c r="B505" s="5">
        <v>45176</v>
      </c>
      <c r="C505" t="s">
        <v>243</v>
      </c>
      <c r="D505">
        <v>51</v>
      </c>
      <c r="E505" t="s">
        <v>475</v>
      </c>
      <c r="F505" t="s">
        <v>30</v>
      </c>
      <c r="G505" t="s">
        <v>235</v>
      </c>
      <c r="H505">
        <v>4</v>
      </c>
      <c r="I505">
        <v>2063</v>
      </c>
      <c r="J505">
        <v>5</v>
      </c>
      <c r="K505" t="s">
        <v>19</v>
      </c>
      <c r="L505" t="s">
        <v>20</v>
      </c>
      <c r="M505">
        <v>7839.4</v>
      </c>
      <c r="N505" t="s">
        <v>26</v>
      </c>
    </row>
    <row r="506" spans="1:14" x14ac:dyDescent="0.25">
      <c r="A506" t="s">
        <v>789</v>
      </c>
      <c r="B506" s="5" t="s">
        <v>273</v>
      </c>
      <c r="C506" t="s">
        <v>152</v>
      </c>
      <c r="D506">
        <v>35</v>
      </c>
      <c r="E506" t="s">
        <v>23</v>
      </c>
      <c r="F506" t="s">
        <v>30</v>
      </c>
      <c r="G506" t="s">
        <v>294</v>
      </c>
      <c r="H506">
        <v>1</v>
      </c>
      <c r="I506">
        <v>336</v>
      </c>
      <c r="J506">
        <v>0</v>
      </c>
      <c r="K506" t="s">
        <v>25</v>
      </c>
      <c r="L506" t="s">
        <v>20</v>
      </c>
      <c r="M506">
        <v>336</v>
      </c>
      <c r="N506" t="s">
        <v>45</v>
      </c>
    </row>
    <row r="507" spans="1:14" x14ac:dyDescent="0.25">
      <c r="A507" t="s">
        <v>790</v>
      </c>
      <c r="B507" s="5">
        <v>45134</v>
      </c>
      <c r="D507">
        <v>28</v>
      </c>
      <c r="E507" t="s">
        <v>23</v>
      </c>
      <c r="F507" t="s">
        <v>17</v>
      </c>
      <c r="G507" t="s">
        <v>274</v>
      </c>
      <c r="H507">
        <v>2</v>
      </c>
      <c r="I507">
        <v>3150</v>
      </c>
      <c r="J507">
        <v>5</v>
      </c>
      <c r="K507" t="s">
        <v>50</v>
      </c>
      <c r="L507" t="s">
        <v>107</v>
      </c>
      <c r="M507">
        <v>5985</v>
      </c>
      <c r="N507" t="s">
        <v>38</v>
      </c>
    </row>
    <row r="508" spans="1:14" x14ac:dyDescent="0.25">
      <c r="A508" t="s">
        <v>791</v>
      </c>
      <c r="B508" s="5">
        <v>45126</v>
      </c>
      <c r="C508" t="s">
        <v>188</v>
      </c>
      <c r="D508">
        <v>19</v>
      </c>
      <c r="E508" t="s">
        <v>23</v>
      </c>
      <c r="F508" t="s">
        <v>17</v>
      </c>
      <c r="G508" t="s">
        <v>297</v>
      </c>
      <c r="H508">
        <v>1</v>
      </c>
      <c r="I508">
        <v>5500</v>
      </c>
      <c r="J508">
        <v>30</v>
      </c>
      <c r="K508" t="s">
        <v>19</v>
      </c>
      <c r="L508" t="s">
        <v>51</v>
      </c>
      <c r="M508">
        <v>3850</v>
      </c>
      <c r="N508" t="s">
        <v>45</v>
      </c>
    </row>
    <row r="509" spans="1:14" x14ac:dyDescent="0.25">
      <c r="A509" t="s">
        <v>792</v>
      </c>
      <c r="B509" s="5" t="s">
        <v>1365</v>
      </c>
      <c r="C509" t="s">
        <v>142</v>
      </c>
      <c r="D509">
        <v>28</v>
      </c>
      <c r="E509" t="s">
        <v>16</v>
      </c>
      <c r="F509" t="s">
        <v>30</v>
      </c>
      <c r="G509" t="s">
        <v>540</v>
      </c>
      <c r="H509">
        <v>7</v>
      </c>
      <c r="I509">
        <v>4923</v>
      </c>
      <c r="J509">
        <v>10</v>
      </c>
      <c r="K509" t="s">
        <v>19</v>
      </c>
      <c r="L509" t="s">
        <v>20</v>
      </c>
      <c r="M509">
        <v>31014.9</v>
      </c>
      <c r="N509" t="s">
        <v>38</v>
      </c>
    </row>
    <row r="510" spans="1:14" x14ac:dyDescent="0.25">
      <c r="A510" t="s">
        <v>793</v>
      </c>
      <c r="B510" s="5">
        <v>45240</v>
      </c>
      <c r="D510">
        <v>36</v>
      </c>
      <c r="E510" t="s">
        <v>23</v>
      </c>
      <c r="F510" t="s">
        <v>54</v>
      </c>
      <c r="G510" t="s">
        <v>237</v>
      </c>
      <c r="H510">
        <v>1</v>
      </c>
      <c r="I510">
        <v>47900</v>
      </c>
      <c r="J510">
        <v>15</v>
      </c>
      <c r="K510" t="s">
        <v>41</v>
      </c>
      <c r="L510" t="s">
        <v>20</v>
      </c>
      <c r="M510">
        <v>47900</v>
      </c>
      <c r="N510" t="s">
        <v>38</v>
      </c>
    </row>
    <row r="511" spans="1:14" x14ac:dyDescent="0.25">
      <c r="A511" t="s">
        <v>794</v>
      </c>
      <c r="B511" s="5">
        <v>45231</v>
      </c>
      <c r="D511">
        <v>26</v>
      </c>
      <c r="E511" t="s">
        <v>16</v>
      </c>
      <c r="F511" t="s">
        <v>30</v>
      </c>
      <c r="G511" t="s">
        <v>121</v>
      </c>
      <c r="H511">
        <v>6</v>
      </c>
      <c r="I511">
        <v>4685</v>
      </c>
      <c r="J511">
        <v>5</v>
      </c>
      <c r="K511" t="s">
        <v>19</v>
      </c>
      <c r="L511" t="s">
        <v>20</v>
      </c>
      <c r="M511">
        <v>26704.5</v>
      </c>
      <c r="N511" t="s">
        <v>38</v>
      </c>
    </row>
    <row r="512" spans="1:14" x14ac:dyDescent="0.25">
      <c r="A512" t="s">
        <v>795</v>
      </c>
      <c r="B512" s="5">
        <v>45054</v>
      </c>
      <c r="C512" t="s">
        <v>66</v>
      </c>
      <c r="D512">
        <v>47</v>
      </c>
      <c r="E512" t="s">
        <v>23</v>
      </c>
      <c r="F512" t="s">
        <v>17</v>
      </c>
      <c r="G512" t="s">
        <v>186</v>
      </c>
      <c r="H512">
        <v>1</v>
      </c>
      <c r="I512">
        <v>1200</v>
      </c>
      <c r="J512">
        <v>10</v>
      </c>
      <c r="K512" t="s">
        <v>19</v>
      </c>
      <c r="L512" t="s">
        <v>20</v>
      </c>
      <c r="M512">
        <v>1080</v>
      </c>
      <c r="N512" t="s">
        <v>45</v>
      </c>
    </row>
    <row r="513" spans="1:14" x14ac:dyDescent="0.25">
      <c r="A513" t="s">
        <v>796</v>
      </c>
      <c r="B513" s="5" t="s">
        <v>273</v>
      </c>
      <c r="C513" t="s">
        <v>165</v>
      </c>
      <c r="D513">
        <v>25</v>
      </c>
      <c r="E513" t="s">
        <v>23</v>
      </c>
      <c r="F513" t="s">
        <v>35</v>
      </c>
      <c r="G513" t="s">
        <v>111</v>
      </c>
      <c r="H513">
        <v>10</v>
      </c>
      <c r="I513">
        <v>455</v>
      </c>
      <c r="J513">
        <v>5</v>
      </c>
      <c r="K513" t="s">
        <v>261</v>
      </c>
      <c r="L513" t="s">
        <v>51</v>
      </c>
      <c r="M513">
        <v>4322.5</v>
      </c>
      <c r="N513" t="s">
        <v>26</v>
      </c>
    </row>
    <row r="514" spans="1:14" x14ac:dyDescent="0.25">
      <c r="A514" t="s">
        <v>797</v>
      </c>
      <c r="B514" s="5">
        <v>45285</v>
      </c>
      <c r="C514" t="s">
        <v>87</v>
      </c>
      <c r="D514">
        <v>21</v>
      </c>
      <c r="E514" t="s">
        <v>138</v>
      </c>
      <c r="F514" t="s">
        <v>17</v>
      </c>
      <c r="G514" t="s">
        <v>124</v>
      </c>
      <c r="H514">
        <v>1</v>
      </c>
      <c r="I514">
        <v>5050</v>
      </c>
      <c r="J514">
        <v>10</v>
      </c>
      <c r="K514" t="s">
        <v>50</v>
      </c>
      <c r="L514" t="s">
        <v>56</v>
      </c>
      <c r="M514">
        <v>4545</v>
      </c>
      <c r="N514" t="s">
        <v>21</v>
      </c>
    </row>
    <row r="515" spans="1:14" x14ac:dyDescent="0.25">
      <c r="A515" t="s">
        <v>798</v>
      </c>
      <c r="B515" s="5" t="s">
        <v>479</v>
      </c>
      <c r="C515" t="s">
        <v>587</v>
      </c>
      <c r="D515">
        <v>44</v>
      </c>
      <c r="E515" t="s">
        <v>16</v>
      </c>
      <c r="F515" t="s">
        <v>54</v>
      </c>
      <c r="G515" t="s">
        <v>311</v>
      </c>
      <c r="H515">
        <v>2</v>
      </c>
      <c r="I515">
        <v>3900</v>
      </c>
      <c r="J515">
        <v>20</v>
      </c>
      <c r="K515" t="s">
        <v>50</v>
      </c>
      <c r="L515" t="s">
        <v>20</v>
      </c>
      <c r="M515">
        <v>6240</v>
      </c>
      <c r="N515" t="s">
        <v>21</v>
      </c>
    </row>
    <row r="516" spans="1:14" x14ac:dyDescent="0.25">
      <c r="A516" t="s">
        <v>799</v>
      </c>
      <c r="B516" s="5">
        <v>45274</v>
      </c>
      <c r="D516">
        <v>25</v>
      </c>
      <c r="E516" t="s">
        <v>23</v>
      </c>
      <c r="F516" t="s">
        <v>250</v>
      </c>
      <c r="G516" t="s">
        <v>94</v>
      </c>
      <c r="H516">
        <v>3</v>
      </c>
      <c r="I516">
        <v>2050</v>
      </c>
      <c r="J516">
        <v>10</v>
      </c>
      <c r="K516" t="s">
        <v>25</v>
      </c>
      <c r="L516" t="s">
        <v>20</v>
      </c>
      <c r="M516">
        <v>5535</v>
      </c>
      <c r="N516" t="s">
        <v>26</v>
      </c>
    </row>
    <row r="517" spans="1:14" x14ac:dyDescent="0.25">
      <c r="A517" t="s">
        <v>800</v>
      </c>
      <c r="B517" s="5">
        <v>45168</v>
      </c>
      <c r="C517" t="s">
        <v>53</v>
      </c>
      <c r="D517">
        <v>38</v>
      </c>
      <c r="E517" t="s">
        <v>171</v>
      </c>
      <c r="F517" t="s">
        <v>54</v>
      </c>
      <c r="G517" t="s">
        <v>282</v>
      </c>
      <c r="H517">
        <v>2</v>
      </c>
      <c r="I517">
        <v>13100</v>
      </c>
      <c r="J517">
        <v>15</v>
      </c>
      <c r="K517" t="s">
        <v>41</v>
      </c>
      <c r="L517" t="s">
        <v>20</v>
      </c>
      <c r="M517">
        <v>22270</v>
      </c>
      <c r="N517" t="s">
        <v>21</v>
      </c>
    </row>
    <row r="518" spans="1:14" x14ac:dyDescent="0.25">
      <c r="A518" t="s">
        <v>801</v>
      </c>
      <c r="B518" s="5">
        <v>45205</v>
      </c>
      <c r="D518">
        <v>54</v>
      </c>
      <c r="E518" t="s">
        <v>16</v>
      </c>
      <c r="F518" t="s">
        <v>30</v>
      </c>
      <c r="G518" t="s">
        <v>195</v>
      </c>
      <c r="H518">
        <v>7</v>
      </c>
      <c r="I518">
        <v>4470</v>
      </c>
      <c r="J518">
        <v>25</v>
      </c>
      <c r="K518" t="s">
        <v>41</v>
      </c>
      <c r="L518" t="s">
        <v>51</v>
      </c>
      <c r="M518">
        <v>23467.5</v>
      </c>
      <c r="N518" t="s">
        <v>57</v>
      </c>
    </row>
    <row r="519" spans="1:14" x14ac:dyDescent="0.25">
      <c r="A519" t="s">
        <v>802</v>
      </c>
      <c r="B519" s="5" t="s">
        <v>320</v>
      </c>
      <c r="C519" t="s">
        <v>152</v>
      </c>
      <c r="D519">
        <v>19</v>
      </c>
      <c r="E519" t="s">
        <v>16</v>
      </c>
      <c r="F519" t="s">
        <v>30</v>
      </c>
      <c r="G519" t="s">
        <v>153</v>
      </c>
      <c r="H519">
        <v>5</v>
      </c>
      <c r="I519">
        <v>1953</v>
      </c>
      <c r="J519">
        <v>5</v>
      </c>
      <c r="K519" t="s">
        <v>50</v>
      </c>
      <c r="L519" t="s">
        <v>20</v>
      </c>
      <c r="M519">
        <v>9276.75</v>
      </c>
      <c r="N519" t="s">
        <v>38</v>
      </c>
    </row>
    <row r="520" spans="1:14" x14ac:dyDescent="0.25">
      <c r="A520" t="s">
        <v>803</v>
      </c>
      <c r="B520" s="5">
        <v>45035</v>
      </c>
      <c r="C520" t="s">
        <v>142</v>
      </c>
      <c r="D520">
        <v>33</v>
      </c>
      <c r="E520" t="s">
        <v>23</v>
      </c>
      <c r="F520" t="s">
        <v>103</v>
      </c>
      <c r="G520" t="s">
        <v>199</v>
      </c>
      <c r="H520">
        <v>2</v>
      </c>
      <c r="I520">
        <v>61200</v>
      </c>
      <c r="J520">
        <v>5</v>
      </c>
      <c r="K520" t="s">
        <v>381</v>
      </c>
      <c r="L520" t="s">
        <v>20</v>
      </c>
      <c r="M520">
        <v>116280</v>
      </c>
      <c r="N520" t="s">
        <v>74</v>
      </c>
    </row>
    <row r="521" spans="1:14" x14ac:dyDescent="0.25">
      <c r="A521" t="s">
        <v>804</v>
      </c>
      <c r="B521" s="5">
        <v>45291</v>
      </c>
      <c r="C521" t="s">
        <v>358</v>
      </c>
      <c r="D521">
        <v>22</v>
      </c>
      <c r="E521" t="s">
        <v>16</v>
      </c>
      <c r="F521" t="s">
        <v>17</v>
      </c>
      <c r="G521" t="s">
        <v>24</v>
      </c>
      <c r="H521">
        <v>2</v>
      </c>
      <c r="I521">
        <v>6</v>
      </c>
      <c r="J521">
        <v>10</v>
      </c>
      <c r="K521" t="s">
        <v>19</v>
      </c>
      <c r="L521" t="s">
        <v>20</v>
      </c>
      <c r="M521">
        <v>-10.8</v>
      </c>
      <c r="N521" t="s">
        <v>45</v>
      </c>
    </row>
    <row r="522" spans="1:14" x14ac:dyDescent="0.25">
      <c r="A522" t="s">
        <v>805</v>
      </c>
      <c r="B522" s="5">
        <v>45118</v>
      </c>
      <c r="C522" t="s">
        <v>393</v>
      </c>
      <c r="D522">
        <v>44</v>
      </c>
      <c r="E522" t="s">
        <v>138</v>
      </c>
      <c r="F522" t="s">
        <v>35</v>
      </c>
      <c r="G522" t="s">
        <v>111</v>
      </c>
      <c r="H522">
        <v>7</v>
      </c>
      <c r="I522">
        <v>366</v>
      </c>
      <c r="J522">
        <v>30</v>
      </c>
      <c r="K522" t="s">
        <v>64</v>
      </c>
      <c r="L522" t="s">
        <v>20</v>
      </c>
      <c r="M522">
        <v>1793.4</v>
      </c>
      <c r="N522" t="s">
        <v>38</v>
      </c>
    </row>
    <row r="523" spans="1:14" x14ac:dyDescent="0.25">
      <c r="A523" t="s">
        <v>806</v>
      </c>
      <c r="B523" s="5">
        <v>45051</v>
      </c>
      <c r="C523" t="s">
        <v>192</v>
      </c>
      <c r="D523">
        <v>31</v>
      </c>
      <c r="E523" t="s">
        <v>23</v>
      </c>
      <c r="F523" t="s">
        <v>54</v>
      </c>
      <c r="G523" t="s">
        <v>199</v>
      </c>
      <c r="H523">
        <v>2</v>
      </c>
      <c r="I523">
        <v>63900</v>
      </c>
      <c r="J523">
        <v>-5</v>
      </c>
      <c r="K523" t="s">
        <v>25</v>
      </c>
      <c r="L523" t="s">
        <v>20</v>
      </c>
      <c r="M523">
        <v>134190</v>
      </c>
      <c r="N523" t="s">
        <v>38</v>
      </c>
    </row>
    <row r="524" spans="1:14" x14ac:dyDescent="0.25">
      <c r="A524" t="s">
        <v>807</v>
      </c>
      <c r="B524" s="5">
        <v>45232</v>
      </c>
      <c r="C524" t="s">
        <v>102</v>
      </c>
      <c r="D524">
        <v>49</v>
      </c>
      <c r="E524" t="s">
        <v>16</v>
      </c>
      <c r="F524" t="s">
        <v>17</v>
      </c>
      <c r="G524" t="s">
        <v>186</v>
      </c>
      <c r="H524">
        <v>3</v>
      </c>
      <c r="I524">
        <v>1500</v>
      </c>
      <c r="J524">
        <v>30</v>
      </c>
      <c r="K524" t="s">
        <v>25</v>
      </c>
      <c r="L524" t="s">
        <v>20</v>
      </c>
      <c r="M524">
        <v>3150</v>
      </c>
      <c r="N524" t="s">
        <v>21</v>
      </c>
    </row>
    <row r="525" spans="1:14" x14ac:dyDescent="0.25">
      <c r="A525" t="s">
        <v>808</v>
      </c>
      <c r="B525" s="5">
        <v>45067</v>
      </c>
      <c r="C525" t="s">
        <v>87</v>
      </c>
      <c r="D525">
        <v>62</v>
      </c>
      <c r="E525" t="s">
        <v>23</v>
      </c>
      <c r="F525" t="s">
        <v>54</v>
      </c>
      <c r="G525" t="s">
        <v>348</v>
      </c>
      <c r="H525">
        <v>2</v>
      </c>
      <c r="I525">
        <v>2000</v>
      </c>
      <c r="J525">
        <v>15</v>
      </c>
      <c r="K525" t="s">
        <v>41</v>
      </c>
      <c r="L525" t="s">
        <v>20</v>
      </c>
      <c r="M525">
        <v>3400</v>
      </c>
      <c r="N525" t="s">
        <v>295</v>
      </c>
    </row>
    <row r="526" spans="1:14" x14ac:dyDescent="0.25">
      <c r="A526" t="s">
        <v>809</v>
      </c>
      <c r="B526" s="5">
        <v>45231</v>
      </c>
      <c r="C526" t="s">
        <v>192</v>
      </c>
      <c r="D526">
        <v>35</v>
      </c>
      <c r="E526" t="s">
        <v>23</v>
      </c>
      <c r="F526" t="s">
        <v>17</v>
      </c>
      <c r="G526" t="s">
        <v>24</v>
      </c>
      <c r="H526">
        <v>3</v>
      </c>
      <c r="I526">
        <v>1800</v>
      </c>
      <c r="J526">
        <v>0</v>
      </c>
      <c r="K526" t="s">
        <v>83</v>
      </c>
      <c r="L526" t="s">
        <v>20</v>
      </c>
      <c r="M526">
        <v>5400</v>
      </c>
      <c r="N526" t="s">
        <v>33</v>
      </c>
    </row>
    <row r="527" spans="1:14" x14ac:dyDescent="0.25">
      <c r="A527" t="s">
        <v>810</v>
      </c>
      <c r="B527" s="5">
        <v>45180</v>
      </c>
      <c r="D527">
        <v>42</v>
      </c>
      <c r="E527" t="s">
        <v>29</v>
      </c>
      <c r="F527" t="s">
        <v>30</v>
      </c>
      <c r="G527" t="s">
        <v>540</v>
      </c>
      <c r="H527">
        <v>4</v>
      </c>
      <c r="I527">
        <v>4391</v>
      </c>
      <c r="J527">
        <v>30</v>
      </c>
      <c r="K527" t="s">
        <v>41</v>
      </c>
      <c r="L527" t="s">
        <v>449</v>
      </c>
      <c r="M527">
        <v>12294.8</v>
      </c>
      <c r="N527" t="s">
        <v>38</v>
      </c>
    </row>
    <row r="528" spans="1:14" x14ac:dyDescent="0.25">
      <c r="A528" t="s">
        <v>811</v>
      </c>
      <c r="B528" s="5">
        <v>45183</v>
      </c>
      <c r="E528" t="s">
        <v>16</v>
      </c>
      <c r="F528" t="s">
        <v>30</v>
      </c>
      <c r="G528" t="s">
        <v>67</v>
      </c>
      <c r="H528">
        <v>1</v>
      </c>
      <c r="I528">
        <v>3281</v>
      </c>
      <c r="J528">
        <v>0</v>
      </c>
      <c r="K528" t="s">
        <v>95</v>
      </c>
      <c r="L528" t="s">
        <v>20</v>
      </c>
      <c r="M528">
        <v>3281</v>
      </c>
      <c r="N528" t="s">
        <v>21</v>
      </c>
    </row>
    <row r="529" spans="1:14" x14ac:dyDescent="0.25">
      <c r="A529" t="s">
        <v>812</v>
      </c>
      <c r="B529" s="5">
        <v>45059</v>
      </c>
      <c r="C529" t="s">
        <v>152</v>
      </c>
      <c r="D529">
        <v>41</v>
      </c>
      <c r="E529" t="s">
        <v>16</v>
      </c>
      <c r="F529" t="s">
        <v>17</v>
      </c>
      <c r="G529" t="s">
        <v>274</v>
      </c>
      <c r="H529">
        <v>1</v>
      </c>
      <c r="I529">
        <v>3950</v>
      </c>
      <c r="J529">
        <v>20</v>
      </c>
      <c r="K529" t="s">
        <v>19</v>
      </c>
      <c r="L529" t="s">
        <v>20</v>
      </c>
      <c r="M529">
        <v>3160</v>
      </c>
      <c r="N529" t="s">
        <v>375</v>
      </c>
    </row>
    <row r="530" spans="1:14" x14ac:dyDescent="0.25">
      <c r="A530" t="s">
        <v>813</v>
      </c>
      <c r="B530" s="5">
        <v>45240</v>
      </c>
      <c r="C530" t="s">
        <v>757</v>
      </c>
      <c r="D530">
        <v>150</v>
      </c>
      <c r="E530" t="s">
        <v>138</v>
      </c>
      <c r="F530" t="s">
        <v>54</v>
      </c>
      <c r="G530" t="s">
        <v>237</v>
      </c>
      <c r="H530">
        <v>1</v>
      </c>
      <c r="I530">
        <v>42500</v>
      </c>
      <c r="J530">
        <v>40</v>
      </c>
      <c r="K530" t="s">
        <v>41</v>
      </c>
      <c r="L530" t="s">
        <v>56</v>
      </c>
      <c r="M530">
        <v>25500</v>
      </c>
      <c r="N530" t="s">
        <v>26</v>
      </c>
    </row>
    <row r="531" spans="1:14" x14ac:dyDescent="0.25">
      <c r="A531" t="s">
        <v>814</v>
      </c>
      <c r="B531" s="5">
        <v>45183</v>
      </c>
      <c r="C531" t="s">
        <v>28</v>
      </c>
      <c r="D531">
        <v>25</v>
      </c>
      <c r="E531" t="s">
        <v>23</v>
      </c>
      <c r="F531" t="s">
        <v>54</v>
      </c>
      <c r="G531" t="s">
        <v>104</v>
      </c>
      <c r="H531">
        <v>1</v>
      </c>
      <c r="I531">
        <v>14600</v>
      </c>
      <c r="J531">
        <v>20</v>
      </c>
      <c r="K531" t="s">
        <v>41</v>
      </c>
      <c r="L531" t="s">
        <v>20</v>
      </c>
      <c r="M531">
        <v>14600</v>
      </c>
      <c r="N531" t="s">
        <v>38</v>
      </c>
    </row>
    <row r="532" spans="1:14" x14ac:dyDescent="0.25">
      <c r="A532" t="s">
        <v>815</v>
      </c>
      <c r="B532" s="5">
        <v>45209</v>
      </c>
      <c r="C532" t="s">
        <v>217</v>
      </c>
      <c r="D532">
        <v>64</v>
      </c>
      <c r="E532" t="s">
        <v>23</v>
      </c>
      <c r="F532" t="s">
        <v>30</v>
      </c>
      <c r="G532" t="s">
        <v>67</v>
      </c>
      <c r="H532">
        <v>4</v>
      </c>
      <c r="I532">
        <v>3456</v>
      </c>
      <c r="K532" t="s">
        <v>25</v>
      </c>
      <c r="L532" t="s">
        <v>51</v>
      </c>
      <c r="M532">
        <v>13824</v>
      </c>
      <c r="N532" t="s">
        <v>45</v>
      </c>
    </row>
    <row r="533" spans="1:14" x14ac:dyDescent="0.25">
      <c r="A533" t="s">
        <v>816</v>
      </c>
      <c r="B533" s="5">
        <v>45275</v>
      </c>
      <c r="C533" t="s">
        <v>265</v>
      </c>
      <c r="D533">
        <v>5</v>
      </c>
      <c r="E533" t="s">
        <v>44</v>
      </c>
      <c r="F533" t="s">
        <v>54</v>
      </c>
      <c r="G533" t="s">
        <v>348</v>
      </c>
      <c r="H533">
        <v>1</v>
      </c>
      <c r="I533">
        <v>1800</v>
      </c>
      <c r="J533">
        <v>10</v>
      </c>
      <c r="K533" t="s">
        <v>19</v>
      </c>
      <c r="L533" t="s">
        <v>20</v>
      </c>
      <c r="M533">
        <v>1620</v>
      </c>
      <c r="N533" t="s">
        <v>38</v>
      </c>
    </row>
    <row r="534" spans="1:14" x14ac:dyDescent="0.25">
      <c r="A534" t="s">
        <v>817</v>
      </c>
      <c r="B534" s="5">
        <v>45174</v>
      </c>
      <c r="C534" t="s">
        <v>217</v>
      </c>
      <c r="D534">
        <v>57</v>
      </c>
      <c r="E534" t="s">
        <v>23</v>
      </c>
      <c r="F534" t="s">
        <v>30</v>
      </c>
      <c r="G534" t="s">
        <v>235</v>
      </c>
      <c r="H534">
        <v>2</v>
      </c>
      <c r="I534">
        <v>1529</v>
      </c>
      <c r="J534">
        <v>30</v>
      </c>
      <c r="K534" t="s">
        <v>19</v>
      </c>
      <c r="L534" t="s">
        <v>51</v>
      </c>
      <c r="M534">
        <v>1529</v>
      </c>
      <c r="N534" t="s">
        <v>26</v>
      </c>
    </row>
    <row r="535" spans="1:14" x14ac:dyDescent="0.25">
      <c r="A535" t="s">
        <v>818</v>
      </c>
      <c r="B535" s="5">
        <v>44935</v>
      </c>
      <c r="D535">
        <v>39</v>
      </c>
      <c r="E535" t="s">
        <v>16</v>
      </c>
      <c r="F535" t="s">
        <v>54</v>
      </c>
      <c r="G535" t="s">
        <v>114</v>
      </c>
      <c r="H535">
        <v>1</v>
      </c>
      <c r="I535">
        <v>94500</v>
      </c>
      <c r="J535">
        <v>15</v>
      </c>
      <c r="K535" t="s">
        <v>19</v>
      </c>
      <c r="L535" t="s">
        <v>20</v>
      </c>
      <c r="M535">
        <v>80325</v>
      </c>
      <c r="N535" t="s">
        <v>38</v>
      </c>
    </row>
    <row r="536" spans="1:14" x14ac:dyDescent="0.25">
      <c r="A536" t="s">
        <v>819</v>
      </c>
      <c r="B536" s="5">
        <v>45029</v>
      </c>
      <c r="D536">
        <v>26</v>
      </c>
      <c r="E536" t="s">
        <v>490</v>
      </c>
      <c r="F536" t="s">
        <v>220</v>
      </c>
      <c r="G536" t="s">
        <v>135</v>
      </c>
      <c r="H536">
        <v>5</v>
      </c>
      <c r="I536">
        <v>11386</v>
      </c>
      <c r="J536">
        <v>0</v>
      </c>
      <c r="K536" t="s">
        <v>25</v>
      </c>
      <c r="L536" t="s">
        <v>20</v>
      </c>
      <c r="M536">
        <v>56930</v>
      </c>
      <c r="N536" t="s">
        <v>38</v>
      </c>
    </row>
    <row r="537" spans="1:14" x14ac:dyDescent="0.25">
      <c r="A537" t="s">
        <v>820</v>
      </c>
      <c r="B537" s="5">
        <v>45075</v>
      </c>
      <c r="C537" t="s">
        <v>165</v>
      </c>
      <c r="D537">
        <v>53</v>
      </c>
      <c r="E537" t="s">
        <v>16</v>
      </c>
      <c r="F537" t="s">
        <v>30</v>
      </c>
      <c r="G537" t="s">
        <v>294</v>
      </c>
      <c r="H537">
        <v>10</v>
      </c>
      <c r="I537">
        <v>680</v>
      </c>
      <c r="J537">
        <v>0</v>
      </c>
      <c r="K537" t="s">
        <v>50</v>
      </c>
      <c r="L537" t="s">
        <v>20</v>
      </c>
      <c r="M537">
        <v>6800</v>
      </c>
      <c r="N537" t="s">
        <v>21</v>
      </c>
    </row>
    <row r="538" spans="1:14" x14ac:dyDescent="0.25">
      <c r="A538" t="s">
        <v>821</v>
      </c>
      <c r="B538" s="5" t="s">
        <v>1379</v>
      </c>
      <c r="C538" t="s">
        <v>192</v>
      </c>
      <c r="E538" t="s">
        <v>23</v>
      </c>
      <c r="F538" t="s">
        <v>35</v>
      </c>
      <c r="G538" t="s">
        <v>99</v>
      </c>
      <c r="H538">
        <v>7</v>
      </c>
      <c r="I538">
        <v>1250</v>
      </c>
      <c r="J538">
        <v>5</v>
      </c>
      <c r="K538" t="s">
        <v>89</v>
      </c>
      <c r="L538" t="s">
        <v>51</v>
      </c>
      <c r="M538">
        <v>8312.5</v>
      </c>
      <c r="N538" t="s">
        <v>26</v>
      </c>
    </row>
    <row r="539" spans="1:14" x14ac:dyDescent="0.25">
      <c r="A539" t="s">
        <v>822</v>
      </c>
      <c r="B539" s="5">
        <v>45217</v>
      </c>
      <c r="D539">
        <v>19</v>
      </c>
      <c r="E539" t="s">
        <v>16</v>
      </c>
      <c r="F539" t="s">
        <v>35</v>
      </c>
      <c r="G539" t="s">
        <v>63</v>
      </c>
      <c r="H539">
        <v>10</v>
      </c>
      <c r="I539">
        <v>3787</v>
      </c>
      <c r="J539">
        <v>10</v>
      </c>
      <c r="K539" t="s">
        <v>50</v>
      </c>
      <c r="L539" t="s">
        <v>20</v>
      </c>
      <c r="M539">
        <v>34083</v>
      </c>
      <c r="N539" t="s">
        <v>295</v>
      </c>
    </row>
    <row r="540" spans="1:14" x14ac:dyDescent="0.25">
      <c r="A540" t="s">
        <v>823</v>
      </c>
      <c r="B540" s="5">
        <v>45191</v>
      </c>
      <c r="D540">
        <v>52</v>
      </c>
      <c r="E540" t="s">
        <v>23</v>
      </c>
      <c r="F540" t="s">
        <v>97</v>
      </c>
      <c r="G540" t="s">
        <v>60</v>
      </c>
      <c r="H540">
        <v>3</v>
      </c>
      <c r="I540">
        <v>7155</v>
      </c>
      <c r="J540">
        <v>20</v>
      </c>
      <c r="K540" t="s">
        <v>19</v>
      </c>
      <c r="L540" t="s">
        <v>51</v>
      </c>
      <c r="M540">
        <v>17172</v>
      </c>
      <c r="N540" t="s">
        <v>409</v>
      </c>
    </row>
    <row r="541" spans="1:14" x14ac:dyDescent="0.25">
      <c r="A541" t="s">
        <v>824</v>
      </c>
      <c r="B541" s="5" t="s">
        <v>1367</v>
      </c>
      <c r="D541">
        <v>21</v>
      </c>
      <c r="E541" t="s">
        <v>16</v>
      </c>
      <c r="F541" t="s">
        <v>759</v>
      </c>
      <c r="G541" t="s">
        <v>224</v>
      </c>
      <c r="H541">
        <v>8</v>
      </c>
      <c r="I541">
        <v>1024</v>
      </c>
      <c r="J541">
        <v>25</v>
      </c>
      <c r="K541" t="s">
        <v>41</v>
      </c>
      <c r="L541" t="s">
        <v>20</v>
      </c>
      <c r="M541">
        <v>6144</v>
      </c>
      <c r="N541" t="s">
        <v>38</v>
      </c>
    </row>
    <row r="542" spans="1:14" x14ac:dyDescent="0.25">
      <c r="A542" t="s">
        <v>825</v>
      </c>
      <c r="B542" s="5" t="s">
        <v>1380</v>
      </c>
      <c r="C542" t="s">
        <v>170</v>
      </c>
      <c r="D542">
        <v>24</v>
      </c>
      <c r="E542" t="s">
        <v>23</v>
      </c>
      <c r="F542" t="s">
        <v>35</v>
      </c>
      <c r="G542" t="s">
        <v>63</v>
      </c>
      <c r="H542">
        <v>5</v>
      </c>
      <c r="I542">
        <v>2165</v>
      </c>
      <c r="J542">
        <v>5</v>
      </c>
      <c r="K542" t="s">
        <v>41</v>
      </c>
      <c r="L542" t="s">
        <v>51</v>
      </c>
      <c r="M542">
        <v>10283.75</v>
      </c>
      <c r="N542" t="s">
        <v>26</v>
      </c>
    </row>
    <row r="543" spans="1:14" x14ac:dyDescent="0.25">
      <c r="A543" t="s">
        <v>826</v>
      </c>
      <c r="B543" s="5">
        <v>45029</v>
      </c>
      <c r="D543">
        <v>61</v>
      </c>
      <c r="E543" t="s">
        <v>23</v>
      </c>
      <c r="F543" t="s">
        <v>54</v>
      </c>
      <c r="G543" t="s">
        <v>199</v>
      </c>
      <c r="H543">
        <v>1</v>
      </c>
      <c r="I543">
        <v>61500</v>
      </c>
      <c r="J543">
        <v>10</v>
      </c>
      <c r="K543" t="s">
        <v>41</v>
      </c>
      <c r="L543" t="s">
        <v>37</v>
      </c>
      <c r="M543">
        <v>55350</v>
      </c>
      <c r="N543" t="s">
        <v>45</v>
      </c>
    </row>
    <row r="544" spans="1:14" x14ac:dyDescent="0.25">
      <c r="A544" t="s">
        <v>827</v>
      </c>
      <c r="B544" s="5">
        <v>45238</v>
      </c>
      <c r="C544" t="s">
        <v>170</v>
      </c>
      <c r="D544">
        <v>64</v>
      </c>
      <c r="E544" t="s">
        <v>23</v>
      </c>
      <c r="F544" t="s">
        <v>30</v>
      </c>
      <c r="G544" t="s">
        <v>153</v>
      </c>
      <c r="H544">
        <v>2</v>
      </c>
      <c r="I544">
        <v>1915</v>
      </c>
      <c r="J544">
        <v>40</v>
      </c>
      <c r="K544" t="s">
        <v>50</v>
      </c>
      <c r="L544" t="s">
        <v>20</v>
      </c>
      <c r="M544">
        <v>2298</v>
      </c>
      <c r="N544" t="s">
        <v>21</v>
      </c>
    </row>
    <row r="545" spans="1:14" x14ac:dyDescent="0.25">
      <c r="A545" t="s">
        <v>828</v>
      </c>
      <c r="B545" s="5">
        <v>45158</v>
      </c>
      <c r="C545" t="s">
        <v>102</v>
      </c>
      <c r="D545">
        <v>20</v>
      </c>
      <c r="E545" t="s">
        <v>23</v>
      </c>
      <c r="F545" t="s">
        <v>35</v>
      </c>
      <c r="G545" t="s">
        <v>111</v>
      </c>
      <c r="H545">
        <v>7</v>
      </c>
      <c r="I545">
        <v>317</v>
      </c>
      <c r="J545">
        <v>15</v>
      </c>
      <c r="K545" t="s">
        <v>50</v>
      </c>
      <c r="L545" t="s">
        <v>51</v>
      </c>
      <c r="M545">
        <v>1886.15</v>
      </c>
      <c r="N545" t="s">
        <v>38</v>
      </c>
    </row>
    <row r="546" spans="1:14" x14ac:dyDescent="0.25">
      <c r="A546" t="s">
        <v>829</v>
      </c>
      <c r="B546" s="5" t="s">
        <v>830</v>
      </c>
      <c r="C546" t="s">
        <v>28</v>
      </c>
      <c r="D546">
        <v>34</v>
      </c>
      <c r="E546" t="s">
        <v>16</v>
      </c>
      <c r="F546" t="s">
        <v>17</v>
      </c>
      <c r="G546" t="s">
        <v>24</v>
      </c>
      <c r="H546">
        <v>3</v>
      </c>
      <c r="I546">
        <v>3150</v>
      </c>
      <c r="J546">
        <v>20</v>
      </c>
      <c r="K546" t="s">
        <v>89</v>
      </c>
      <c r="L546" t="s">
        <v>20</v>
      </c>
      <c r="M546">
        <v>7560</v>
      </c>
      <c r="N546" t="s">
        <v>38</v>
      </c>
    </row>
    <row r="547" spans="1:14" x14ac:dyDescent="0.25">
      <c r="A547" t="s">
        <v>831</v>
      </c>
      <c r="B547" s="5">
        <v>44989</v>
      </c>
      <c r="C547" t="s">
        <v>832</v>
      </c>
      <c r="D547">
        <v>43</v>
      </c>
      <c r="E547" t="s">
        <v>23</v>
      </c>
      <c r="F547" t="s">
        <v>17</v>
      </c>
      <c r="G547" t="s">
        <v>274</v>
      </c>
      <c r="H547">
        <v>1</v>
      </c>
      <c r="J547">
        <v>10</v>
      </c>
      <c r="K547" t="s">
        <v>41</v>
      </c>
      <c r="L547" t="s">
        <v>51</v>
      </c>
      <c r="N547" t="s">
        <v>356</v>
      </c>
    </row>
    <row r="548" spans="1:14" x14ac:dyDescent="0.25">
      <c r="A548" t="s">
        <v>833</v>
      </c>
      <c r="B548" s="5">
        <v>45246</v>
      </c>
      <c r="C548" t="s">
        <v>72</v>
      </c>
      <c r="D548">
        <v>29</v>
      </c>
      <c r="E548" t="s">
        <v>73</v>
      </c>
      <c r="F548" t="s">
        <v>17</v>
      </c>
      <c r="G548" t="s">
        <v>117</v>
      </c>
      <c r="H548">
        <v>1</v>
      </c>
      <c r="I548">
        <v>7200</v>
      </c>
      <c r="J548">
        <v>10</v>
      </c>
      <c r="K548" t="s">
        <v>50</v>
      </c>
      <c r="L548" t="s">
        <v>20</v>
      </c>
      <c r="M548">
        <v>6480</v>
      </c>
      <c r="N548" t="s">
        <v>45</v>
      </c>
    </row>
    <row r="549" spans="1:14" x14ac:dyDescent="0.25">
      <c r="A549" t="s">
        <v>834</v>
      </c>
      <c r="B549" s="5" t="s">
        <v>835</v>
      </c>
      <c r="C549" t="s">
        <v>62</v>
      </c>
      <c r="D549">
        <v>26</v>
      </c>
      <c r="E549" t="s">
        <v>16</v>
      </c>
      <c r="F549" t="s">
        <v>35</v>
      </c>
      <c r="G549" t="s">
        <v>147</v>
      </c>
      <c r="H549">
        <v>2</v>
      </c>
      <c r="I549">
        <v>436</v>
      </c>
      <c r="J549">
        <v>50</v>
      </c>
      <c r="K549" t="s">
        <v>50</v>
      </c>
      <c r="L549" t="s">
        <v>51</v>
      </c>
      <c r="M549">
        <v>436</v>
      </c>
      <c r="N549" t="s">
        <v>21</v>
      </c>
    </row>
    <row r="550" spans="1:14" x14ac:dyDescent="0.25">
      <c r="A550" t="s">
        <v>836</v>
      </c>
      <c r="B550" s="5">
        <v>45032</v>
      </c>
      <c r="C550" t="s">
        <v>43</v>
      </c>
      <c r="D550">
        <v>28</v>
      </c>
      <c r="E550" t="s">
        <v>23</v>
      </c>
      <c r="F550" t="s">
        <v>220</v>
      </c>
      <c r="G550" t="s">
        <v>268</v>
      </c>
      <c r="H550">
        <v>5</v>
      </c>
      <c r="I550">
        <v>1485</v>
      </c>
      <c r="J550">
        <v>5</v>
      </c>
      <c r="K550" t="s">
        <v>19</v>
      </c>
      <c r="L550" t="s">
        <v>20</v>
      </c>
      <c r="M550">
        <v>7053.75</v>
      </c>
      <c r="N550" t="s">
        <v>45</v>
      </c>
    </row>
    <row r="551" spans="1:14" x14ac:dyDescent="0.25">
      <c r="A551" t="s">
        <v>837</v>
      </c>
      <c r="B551" s="5">
        <v>45088</v>
      </c>
      <c r="C551" t="s">
        <v>87</v>
      </c>
      <c r="D551">
        <v>27</v>
      </c>
      <c r="E551" t="s">
        <v>16</v>
      </c>
      <c r="F551" t="s">
        <v>30</v>
      </c>
      <c r="G551" t="s">
        <v>121</v>
      </c>
      <c r="H551">
        <v>3</v>
      </c>
      <c r="I551">
        <v>3395</v>
      </c>
      <c r="J551">
        <v>20</v>
      </c>
      <c r="K551" t="s">
        <v>487</v>
      </c>
      <c r="L551" t="s">
        <v>37</v>
      </c>
      <c r="M551">
        <v>8148</v>
      </c>
      <c r="N551" t="s">
        <v>26</v>
      </c>
    </row>
    <row r="552" spans="1:14" x14ac:dyDescent="0.25">
      <c r="A552" t="s">
        <v>838</v>
      </c>
      <c r="B552" s="5">
        <v>44943</v>
      </c>
      <c r="C552" t="s">
        <v>839</v>
      </c>
      <c r="D552">
        <v>30</v>
      </c>
      <c r="E552" t="s">
        <v>23</v>
      </c>
      <c r="F552" t="s">
        <v>220</v>
      </c>
      <c r="G552" t="s">
        <v>195</v>
      </c>
      <c r="H552">
        <v>8</v>
      </c>
      <c r="I552">
        <v>3115</v>
      </c>
      <c r="J552">
        <v>0</v>
      </c>
      <c r="K552" t="s">
        <v>50</v>
      </c>
      <c r="L552" t="s">
        <v>20</v>
      </c>
      <c r="M552">
        <v>24920</v>
      </c>
      <c r="N552" t="s">
        <v>38</v>
      </c>
    </row>
    <row r="553" spans="1:14" x14ac:dyDescent="0.25">
      <c r="A553" t="s">
        <v>840</v>
      </c>
      <c r="B553" s="5">
        <v>45150</v>
      </c>
      <c r="C553" t="s">
        <v>841</v>
      </c>
      <c r="D553">
        <v>43</v>
      </c>
      <c r="E553" t="s">
        <v>16</v>
      </c>
      <c r="F553" t="s">
        <v>291</v>
      </c>
      <c r="G553" t="s">
        <v>80</v>
      </c>
      <c r="H553">
        <v>1</v>
      </c>
      <c r="I553">
        <v>4050</v>
      </c>
      <c r="J553">
        <v>20</v>
      </c>
      <c r="K553" t="s">
        <v>115</v>
      </c>
      <c r="L553" t="s">
        <v>51</v>
      </c>
      <c r="M553">
        <v>3240</v>
      </c>
      <c r="N553" t="s">
        <v>26</v>
      </c>
    </row>
    <row r="554" spans="1:14" x14ac:dyDescent="0.25">
      <c r="A554" t="s">
        <v>842</v>
      </c>
      <c r="B554" s="5">
        <v>45055</v>
      </c>
      <c r="C554" t="s">
        <v>165</v>
      </c>
      <c r="D554">
        <v>40</v>
      </c>
      <c r="E554" t="s">
        <v>73</v>
      </c>
      <c r="F554" t="s">
        <v>30</v>
      </c>
      <c r="G554" t="s">
        <v>135</v>
      </c>
      <c r="H554">
        <v>9</v>
      </c>
      <c r="I554">
        <v>14469</v>
      </c>
      <c r="J554">
        <v>10</v>
      </c>
      <c r="K554" t="s">
        <v>19</v>
      </c>
      <c r="L554" t="s">
        <v>56</v>
      </c>
      <c r="M554">
        <v>117198.9</v>
      </c>
      <c r="N554" t="s">
        <v>26</v>
      </c>
    </row>
    <row r="555" spans="1:14" x14ac:dyDescent="0.25">
      <c r="A555" t="s">
        <v>843</v>
      </c>
      <c r="B555" s="5">
        <v>45279</v>
      </c>
      <c r="D555">
        <v>54</v>
      </c>
      <c r="E555" t="s">
        <v>16</v>
      </c>
      <c r="F555" t="s">
        <v>30</v>
      </c>
      <c r="G555" t="s">
        <v>224</v>
      </c>
      <c r="H555">
        <v>7</v>
      </c>
      <c r="I555">
        <v>1243</v>
      </c>
      <c r="J555">
        <v>0</v>
      </c>
      <c r="K555" t="s">
        <v>50</v>
      </c>
      <c r="L555" t="s">
        <v>51</v>
      </c>
      <c r="M555">
        <v>8701</v>
      </c>
      <c r="N555" t="s">
        <v>26</v>
      </c>
    </row>
    <row r="556" spans="1:14" x14ac:dyDescent="0.25">
      <c r="A556" t="s">
        <v>844</v>
      </c>
      <c r="B556" s="5" t="s">
        <v>1367</v>
      </c>
      <c r="C556" t="s">
        <v>165</v>
      </c>
      <c r="E556" t="s">
        <v>16</v>
      </c>
      <c r="F556" t="s">
        <v>54</v>
      </c>
      <c r="G556" t="s">
        <v>311</v>
      </c>
      <c r="H556">
        <v>1</v>
      </c>
      <c r="I556">
        <v>3900</v>
      </c>
      <c r="J556">
        <v>110</v>
      </c>
      <c r="K556" t="s">
        <v>19</v>
      </c>
      <c r="L556" t="s">
        <v>20</v>
      </c>
      <c r="M556">
        <v>-390</v>
      </c>
      <c r="N556" t="s">
        <v>33</v>
      </c>
    </row>
    <row r="557" spans="1:14" x14ac:dyDescent="0.25">
      <c r="A557" t="s">
        <v>845</v>
      </c>
      <c r="B557" s="5">
        <v>45217</v>
      </c>
      <c r="C557" t="s">
        <v>393</v>
      </c>
      <c r="D557">
        <v>31</v>
      </c>
      <c r="E557" t="s">
        <v>23</v>
      </c>
      <c r="F557" t="s">
        <v>30</v>
      </c>
      <c r="G557" t="s">
        <v>218</v>
      </c>
      <c r="H557">
        <v>10</v>
      </c>
      <c r="I557">
        <v>2498</v>
      </c>
      <c r="J557">
        <v>5</v>
      </c>
      <c r="K557" t="s">
        <v>41</v>
      </c>
      <c r="L557" t="s">
        <v>51</v>
      </c>
      <c r="M557">
        <v>23731</v>
      </c>
      <c r="N557" t="s">
        <v>38</v>
      </c>
    </row>
    <row r="558" spans="1:14" x14ac:dyDescent="0.25">
      <c r="A558" t="s">
        <v>846</v>
      </c>
      <c r="B558" s="5" t="s">
        <v>470</v>
      </c>
      <c r="C558" t="s">
        <v>152</v>
      </c>
      <c r="D558">
        <v>23</v>
      </c>
      <c r="E558" t="s">
        <v>23</v>
      </c>
      <c r="F558" t="s">
        <v>384</v>
      </c>
      <c r="G558" t="s">
        <v>130</v>
      </c>
      <c r="H558">
        <v>10</v>
      </c>
      <c r="I558">
        <v>2665</v>
      </c>
      <c r="J558">
        <v>10</v>
      </c>
      <c r="K558" t="s">
        <v>50</v>
      </c>
      <c r="L558" t="s">
        <v>20</v>
      </c>
      <c r="M558">
        <v>23985</v>
      </c>
      <c r="N558" t="s">
        <v>26</v>
      </c>
    </row>
    <row r="559" spans="1:14" x14ac:dyDescent="0.25">
      <c r="A559" t="s">
        <v>847</v>
      </c>
      <c r="B559" s="5">
        <v>45242</v>
      </c>
      <c r="C559" t="s">
        <v>156</v>
      </c>
      <c r="D559">
        <v>29</v>
      </c>
      <c r="E559" t="s">
        <v>16</v>
      </c>
      <c r="F559" t="s">
        <v>30</v>
      </c>
      <c r="G559" t="s">
        <v>130</v>
      </c>
      <c r="H559">
        <v>8</v>
      </c>
      <c r="I559">
        <v>3664</v>
      </c>
      <c r="J559">
        <v>5</v>
      </c>
      <c r="K559" t="s">
        <v>41</v>
      </c>
      <c r="L559" t="s">
        <v>51</v>
      </c>
      <c r="M559">
        <v>29312</v>
      </c>
      <c r="N559" t="s">
        <v>21</v>
      </c>
    </row>
    <row r="560" spans="1:14" x14ac:dyDescent="0.25">
      <c r="A560" t="s">
        <v>848</v>
      </c>
      <c r="B560" s="5" t="s">
        <v>351</v>
      </c>
      <c r="C560" t="s">
        <v>587</v>
      </c>
      <c r="D560">
        <v>45</v>
      </c>
      <c r="E560" t="s">
        <v>23</v>
      </c>
      <c r="F560" t="s">
        <v>35</v>
      </c>
      <c r="G560" t="s">
        <v>271</v>
      </c>
      <c r="H560">
        <v>9</v>
      </c>
      <c r="I560">
        <v>512</v>
      </c>
      <c r="J560">
        <v>30</v>
      </c>
      <c r="K560" t="s">
        <v>41</v>
      </c>
      <c r="L560" t="s">
        <v>51</v>
      </c>
      <c r="M560">
        <v>3225.6</v>
      </c>
      <c r="N560" t="s">
        <v>38</v>
      </c>
    </row>
    <row r="561" spans="1:14" x14ac:dyDescent="0.25">
      <c r="A561" t="s">
        <v>849</v>
      </c>
      <c r="B561" s="5">
        <v>44988</v>
      </c>
      <c r="C561" t="s">
        <v>672</v>
      </c>
      <c r="D561">
        <v>28</v>
      </c>
      <c r="E561" t="s">
        <v>23</v>
      </c>
      <c r="F561" t="s">
        <v>30</v>
      </c>
      <c r="G561" t="s">
        <v>235</v>
      </c>
      <c r="H561">
        <v>9</v>
      </c>
      <c r="I561">
        <v>2221</v>
      </c>
      <c r="K561" t="s">
        <v>19</v>
      </c>
      <c r="L561" t="s">
        <v>51</v>
      </c>
      <c r="M561">
        <v>19989</v>
      </c>
      <c r="N561" t="s">
        <v>621</v>
      </c>
    </row>
    <row r="562" spans="1:14" x14ac:dyDescent="0.25">
      <c r="A562" t="s">
        <v>850</v>
      </c>
      <c r="B562" s="5" t="s">
        <v>1118</v>
      </c>
      <c r="C562" t="s">
        <v>66</v>
      </c>
      <c r="D562">
        <v>19</v>
      </c>
      <c r="E562" t="s">
        <v>475</v>
      </c>
      <c r="F562" t="s">
        <v>30</v>
      </c>
      <c r="G562" t="s">
        <v>218</v>
      </c>
      <c r="H562">
        <v>5</v>
      </c>
      <c r="I562">
        <v>2191</v>
      </c>
      <c r="J562">
        <v>0</v>
      </c>
      <c r="K562" t="s">
        <v>50</v>
      </c>
      <c r="L562" t="s">
        <v>20</v>
      </c>
      <c r="M562">
        <v>10955</v>
      </c>
      <c r="N562" t="s">
        <v>45</v>
      </c>
    </row>
    <row r="563" spans="1:14" x14ac:dyDescent="0.25">
      <c r="A563" t="s">
        <v>851</v>
      </c>
      <c r="B563" s="5">
        <v>45077</v>
      </c>
      <c r="C563" t="s">
        <v>66</v>
      </c>
      <c r="D563">
        <v>61</v>
      </c>
      <c r="E563" t="s">
        <v>16</v>
      </c>
      <c r="F563" t="s">
        <v>17</v>
      </c>
      <c r="G563" t="s">
        <v>24</v>
      </c>
      <c r="H563">
        <v>2</v>
      </c>
      <c r="I563">
        <v>2950</v>
      </c>
      <c r="J563">
        <v>0</v>
      </c>
      <c r="K563" t="s">
        <v>19</v>
      </c>
      <c r="L563" t="s">
        <v>20</v>
      </c>
      <c r="M563">
        <v>5900</v>
      </c>
      <c r="N563" t="s">
        <v>26</v>
      </c>
    </row>
    <row r="564" spans="1:14" x14ac:dyDescent="0.25">
      <c r="A564" t="s">
        <v>852</v>
      </c>
      <c r="B564" s="5">
        <v>45181</v>
      </c>
      <c r="C564" t="s">
        <v>192</v>
      </c>
      <c r="D564">
        <v>65</v>
      </c>
      <c r="E564" t="s">
        <v>16</v>
      </c>
      <c r="F564" t="s">
        <v>35</v>
      </c>
      <c r="G564" t="s">
        <v>36</v>
      </c>
      <c r="H564">
        <v>5</v>
      </c>
      <c r="I564">
        <v>539</v>
      </c>
      <c r="J564">
        <v>0</v>
      </c>
      <c r="K564" t="s">
        <v>25</v>
      </c>
      <c r="L564" t="s">
        <v>20</v>
      </c>
      <c r="M564">
        <v>2695</v>
      </c>
      <c r="N564" t="s">
        <v>45</v>
      </c>
    </row>
    <row r="565" spans="1:14" x14ac:dyDescent="0.25">
      <c r="A565" t="s">
        <v>457</v>
      </c>
      <c r="B565" s="5">
        <v>45179</v>
      </c>
      <c r="C565" t="s">
        <v>176</v>
      </c>
      <c r="D565">
        <v>200</v>
      </c>
      <c r="E565" t="s">
        <v>23</v>
      </c>
      <c r="F565" t="s">
        <v>254</v>
      </c>
      <c r="G565" t="s">
        <v>104</v>
      </c>
      <c r="H565">
        <v>2</v>
      </c>
      <c r="I565">
        <v>11500</v>
      </c>
      <c r="J565">
        <v>50</v>
      </c>
      <c r="K565" t="s">
        <v>50</v>
      </c>
      <c r="L565" t="s">
        <v>51</v>
      </c>
      <c r="M565">
        <v>11500</v>
      </c>
      <c r="N565" t="s">
        <v>45</v>
      </c>
    </row>
    <row r="566" spans="1:14" x14ac:dyDescent="0.25">
      <c r="A566" t="s">
        <v>853</v>
      </c>
      <c r="B566" s="5" t="s">
        <v>1084</v>
      </c>
      <c r="C566" t="s">
        <v>66</v>
      </c>
      <c r="D566">
        <v>22</v>
      </c>
      <c r="E566" t="s">
        <v>23</v>
      </c>
      <c r="F566" t="s">
        <v>17</v>
      </c>
      <c r="G566" t="s">
        <v>259</v>
      </c>
      <c r="H566">
        <v>1</v>
      </c>
      <c r="I566">
        <v>3350</v>
      </c>
      <c r="J566">
        <v>5</v>
      </c>
      <c r="K566" t="s">
        <v>25</v>
      </c>
      <c r="L566" t="s">
        <v>20</v>
      </c>
      <c r="M566">
        <v>3182.5</v>
      </c>
      <c r="N566" t="s">
        <v>26</v>
      </c>
    </row>
    <row r="567" spans="1:14" x14ac:dyDescent="0.25">
      <c r="A567" t="s">
        <v>854</v>
      </c>
      <c r="B567" s="5">
        <v>45263</v>
      </c>
      <c r="D567">
        <v>47</v>
      </c>
      <c r="E567" t="s">
        <v>16</v>
      </c>
      <c r="F567" t="s">
        <v>30</v>
      </c>
      <c r="G567" t="s">
        <v>31</v>
      </c>
      <c r="H567">
        <v>8</v>
      </c>
      <c r="I567">
        <v>2311</v>
      </c>
      <c r="J567">
        <v>40</v>
      </c>
      <c r="K567" t="s">
        <v>41</v>
      </c>
      <c r="L567" t="s">
        <v>51</v>
      </c>
      <c r="M567">
        <v>18488</v>
      </c>
      <c r="N567" t="s">
        <v>38</v>
      </c>
    </row>
    <row r="568" spans="1:14" x14ac:dyDescent="0.25">
      <c r="A568" t="s">
        <v>855</v>
      </c>
      <c r="B568" s="5" t="s">
        <v>756</v>
      </c>
      <c r="C568" t="s">
        <v>87</v>
      </c>
      <c r="D568">
        <v>200</v>
      </c>
      <c r="E568" t="s">
        <v>490</v>
      </c>
      <c r="F568" t="s">
        <v>54</v>
      </c>
      <c r="G568" t="s">
        <v>55</v>
      </c>
      <c r="H568">
        <v>2</v>
      </c>
      <c r="I568">
        <v>28000</v>
      </c>
      <c r="J568">
        <v>10</v>
      </c>
      <c r="K568" t="s">
        <v>50</v>
      </c>
      <c r="L568" t="s">
        <v>51</v>
      </c>
      <c r="M568">
        <v>50400</v>
      </c>
      <c r="N568" t="s">
        <v>21</v>
      </c>
    </row>
    <row r="569" spans="1:14" x14ac:dyDescent="0.25">
      <c r="A569" t="s">
        <v>856</v>
      </c>
      <c r="B569" s="5">
        <v>45258</v>
      </c>
      <c r="C569" t="s">
        <v>176</v>
      </c>
      <c r="D569">
        <v>42</v>
      </c>
      <c r="E569" t="s">
        <v>16</v>
      </c>
      <c r="F569" t="s">
        <v>54</v>
      </c>
      <c r="G569" t="s">
        <v>282</v>
      </c>
      <c r="H569">
        <v>1</v>
      </c>
      <c r="I569">
        <v>20200</v>
      </c>
      <c r="J569">
        <v>40</v>
      </c>
      <c r="K569" t="s">
        <v>19</v>
      </c>
      <c r="L569" t="s">
        <v>56</v>
      </c>
      <c r="M569">
        <v>12120</v>
      </c>
      <c r="N569" t="s">
        <v>38</v>
      </c>
    </row>
    <row r="570" spans="1:14" x14ac:dyDescent="0.25">
      <c r="A570" t="s">
        <v>857</v>
      </c>
      <c r="B570" s="5" t="s">
        <v>1381</v>
      </c>
      <c r="C570" t="s">
        <v>82</v>
      </c>
      <c r="D570">
        <v>35</v>
      </c>
      <c r="E570" t="s">
        <v>16</v>
      </c>
      <c r="F570" t="s">
        <v>17</v>
      </c>
      <c r="G570" t="s">
        <v>297</v>
      </c>
      <c r="H570">
        <v>1</v>
      </c>
      <c r="I570">
        <v>5350</v>
      </c>
      <c r="J570">
        <v>20</v>
      </c>
      <c r="K570" t="s">
        <v>19</v>
      </c>
      <c r="L570" t="s">
        <v>20</v>
      </c>
      <c r="M570">
        <v>4280</v>
      </c>
      <c r="N570" t="s">
        <v>38</v>
      </c>
    </row>
    <row r="571" spans="1:14" x14ac:dyDescent="0.25">
      <c r="A571" t="s">
        <v>858</v>
      </c>
      <c r="B571" s="5">
        <v>45252</v>
      </c>
      <c r="D571">
        <v>28</v>
      </c>
      <c r="E571" t="s">
        <v>16</v>
      </c>
      <c r="F571" t="s">
        <v>35</v>
      </c>
      <c r="G571" t="s">
        <v>213</v>
      </c>
      <c r="H571">
        <v>6</v>
      </c>
      <c r="I571">
        <v>501</v>
      </c>
      <c r="J571">
        <v>30</v>
      </c>
      <c r="K571" t="s">
        <v>25</v>
      </c>
      <c r="L571" t="s">
        <v>20</v>
      </c>
      <c r="M571">
        <v>2104.1999999999998</v>
      </c>
      <c r="N571" t="s">
        <v>295</v>
      </c>
    </row>
    <row r="572" spans="1:14" x14ac:dyDescent="0.25">
      <c r="A572" t="s">
        <v>859</v>
      </c>
      <c r="B572" s="5">
        <v>45223</v>
      </c>
      <c r="C572" t="s">
        <v>48</v>
      </c>
      <c r="D572">
        <v>19</v>
      </c>
      <c r="E572" t="s">
        <v>16</v>
      </c>
      <c r="F572" t="s">
        <v>291</v>
      </c>
      <c r="G572" t="s">
        <v>186</v>
      </c>
      <c r="H572">
        <v>2</v>
      </c>
      <c r="I572">
        <v>1750</v>
      </c>
      <c r="J572">
        <v>20</v>
      </c>
      <c r="K572" t="s">
        <v>115</v>
      </c>
      <c r="L572" t="s">
        <v>51</v>
      </c>
      <c r="M572">
        <v>2800</v>
      </c>
      <c r="N572" t="s">
        <v>38</v>
      </c>
    </row>
    <row r="573" spans="1:14" x14ac:dyDescent="0.25">
      <c r="A573" t="s">
        <v>860</v>
      </c>
      <c r="B573" s="5">
        <v>45007</v>
      </c>
      <c r="D573">
        <v>62</v>
      </c>
      <c r="E573" t="s">
        <v>16</v>
      </c>
      <c r="F573" t="s">
        <v>35</v>
      </c>
      <c r="G573" t="s">
        <v>63</v>
      </c>
      <c r="H573">
        <v>5</v>
      </c>
      <c r="I573">
        <v>3762</v>
      </c>
      <c r="J573">
        <v>5</v>
      </c>
      <c r="K573" t="s">
        <v>19</v>
      </c>
      <c r="L573" t="s">
        <v>51</v>
      </c>
      <c r="M573">
        <v>17869.5</v>
      </c>
      <c r="N573" t="s">
        <v>21</v>
      </c>
    </row>
    <row r="574" spans="1:14" x14ac:dyDescent="0.25">
      <c r="A574" t="s">
        <v>858</v>
      </c>
      <c r="B574" s="5">
        <v>45252</v>
      </c>
      <c r="D574">
        <v>28</v>
      </c>
      <c r="E574" t="s">
        <v>16</v>
      </c>
      <c r="F574" t="s">
        <v>35</v>
      </c>
      <c r="G574" t="s">
        <v>213</v>
      </c>
      <c r="H574">
        <v>6</v>
      </c>
      <c r="I574">
        <v>501</v>
      </c>
      <c r="J574">
        <v>30</v>
      </c>
      <c r="K574" t="s">
        <v>25</v>
      </c>
      <c r="L574" t="s">
        <v>20</v>
      </c>
      <c r="M574">
        <v>2104.1999999999998</v>
      </c>
      <c r="N574" t="s">
        <v>295</v>
      </c>
    </row>
    <row r="575" spans="1:14" x14ac:dyDescent="0.25">
      <c r="A575" t="s">
        <v>861</v>
      </c>
      <c r="B575" s="5">
        <v>45232</v>
      </c>
      <c r="D575">
        <v>27</v>
      </c>
      <c r="E575" t="s">
        <v>16</v>
      </c>
      <c r="F575" t="s">
        <v>347</v>
      </c>
      <c r="G575" t="s">
        <v>144</v>
      </c>
      <c r="H575">
        <v>1</v>
      </c>
      <c r="I575">
        <v>62200</v>
      </c>
      <c r="J575">
        <v>10</v>
      </c>
      <c r="K575" t="s">
        <v>41</v>
      </c>
      <c r="L575" t="s">
        <v>204</v>
      </c>
      <c r="M575">
        <v>55980</v>
      </c>
      <c r="N575" t="s">
        <v>45</v>
      </c>
    </row>
    <row r="576" spans="1:14" x14ac:dyDescent="0.25">
      <c r="A576" t="s">
        <v>862</v>
      </c>
      <c r="B576" s="5">
        <v>45002</v>
      </c>
      <c r="C576" t="s">
        <v>28</v>
      </c>
      <c r="D576">
        <v>47</v>
      </c>
      <c r="E576" t="s">
        <v>23</v>
      </c>
      <c r="F576" t="s">
        <v>30</v>
      </c>
      <c r="G576" t="s">
        <v>121</v>
      </c>
      <c r="H576">
        <v>10</v>
      </c>
      <c r="I576">
        <v>6409</v>
      </c>
      <c r="J576">
        <v>20</v>
      </c>
      <c r="K576" t="s">
        <v>25</v>
      </c>
      <c r="L576" t="s">
        <v>20</v>
      </c>
      <c r="M576">
        <v>51272</v>
      </c>
      <c r="N576" t="s">
        <v>45</v>
      </c>
    </row>
    <row r="577" spans="1:14" x14ac:dyDescent="0.25">
      <c r="A577" t="s">
        <v>863</v>
      </c>
      <c r="B577" s="5">
        <v>45043</v>
      </c>
      <c r="D577">
        <v>21</v>
      </c>
      <c r="E577" t="s">
        <v>16</v>
      </c>
      <c r="F577" t="s">
        <v>30</v>
      </c>
      <c r="G577" t="s">
        <v>67</v>
      </c>
      <c r="H577">
        <v>5</v>
      </c>
      <c r="I577">
        <v>3247</v>
      </c>
      <c r="J577">
        <v>25</v>
      </c>
      <c r="K577" t="s">
        <v>105</v>
      </c>
      <c r="L577" t="s">
        <v>20</v>
      </c>
      <c r="M577">
        <v>12176.25</v>
      </c>
      <c r="N577" t="s">
        <v>21</v>
      </c>
    </row>
    <row r="578" spans="1:14" x14ac:dyDescent="0.25">
      <c r="A578" t="s">
        <v>864</v>
      </c>
      <c r="B578" s="5">
        <v>45280</v>
      </c>
      <c r="C578" t="s">
        <v>865</v>
      </c>
      <c r="D578">
        <v>54</v>
      </c>
      <c r="E578" t="s">
        <v>23</v>
      </c>
      <c r="F578" t="s">
        <v>35</v>
      </c>
      <c r="G578" t="s">
        <v>139</v>
      </c>
      <c r="H578">
        <v>7</v>
      </c>
      <c r="I578">
        <v>778</v>
      </c>
      <c r="J578">
        <v>0</v>
      </c>
      <c r="K578" t="s">
        <v>50</v>
      </c>
      <c r="L578" t="s">
        <v>51</v>
      </c>
      <c r="M578">
        <v>5446</v>
      </c>
      <c r="N578" t="s">
        <v>45</v>
      </c>
    </row>
    <row r="579" spans="1:14" x14ac:dyDescent="0.25">
      <c r="A579" t="s">
        <v>866</v>
      </c>
      <c r="B579" s="5" t="s">
        <v>372</v>
      </c>
      <c r="C579" t="s">
        <v>182</v>
      </c>
      <c r="D579">
        <v>41</v>
      </c>
      <c r="E579" t="s">
        <v>16</v>
      </c>
      <c r="F579" t="s">
        <v>54</v>
      </c>
      <c r="G579" t="s">
        <v>180</v>
      </c>
      <c r="H579">
        <v>2</v>
      </c>
      <c r="I579">
        <v>21300</v>
      </c>
      <c r="J579">
        <v>30</v>
      </c>
      <c r="K579" t="s">
        <v>657</v>
      </c>
      <c r="L579" t="s">
        <v>56</v>
      </c>
      <c r="M579">
        <v>29820</v>
      </c>
      <c r="N579" t="s">
        <v>38</v>
      </c>
    </row>
    <row r="580" spans="1:14" x14ac:dyDescent="0.25">
      <c r="A580" t="s">
        <v>867</v>
      </c>
      <c r="B580" s="5">
        <v>45117</v>
      </c>
      <c r="C580" t="s">
        <v>28</v>
      </c>
      <c r="D580">
        <v>26</v>
      </c>
      <c r="E580" t="s">
        <v>16</v>
      </c>
      <c r="F580" t="s">
        <v>35</v>
      </c>
      <c r="G580" t="s">
        <v>36</v>
      </c>
      <c r="H580">
        <v>3</v>
      </c>
      <c r="I580">
        <v>536</v>
      </c>
      <c r="K580" t="s">
        <v>50</v>
      </c>
      <c r="L580" t="s">
        <v>20</v>
      </c>
      <c r="M580">
        <v>1608</v>
      </c>
      <c r="N580" t="s">
        <v>26</v>
      </c>
    </row>
    <row r="581" spans="1:14" x14ac:dyDescent="0.25">
      <c r="A581" t="s">
        <v>868</v>
      </c>
      <c r="B581" s="5">
        <v>45165</v>
      </c>
      <c r="C581" t="s">
        <v>192</v>
      </c>
      <c r="D581">
        <v>51</v>
      </c>
      <c r="E581" t="s">
        <v>16</v>
      </c>
      <c r="F581" t="s">
        <v>17</v>
      </c>
      <c r="G581" t="s">
        <v>492</v>
      </c>
      <c r="H581">
        <v>3</v>
      </c>
      <c r="I581">
        <v>4850</v>
      </c>
      <c r="J581">
        <v>40</v>
      </c>
      <c r="K581" t="s">
        <v>19</v>
      </c>
      <c r="L581" t="s">
        <v>20</v>
      </c>
      <c r="M581">
        <v>8730</v>
      </c>
      <c r="N581" t="s">
        <v>21</v>
      </c>
    </row>
    <row r="582" spans="1:14" x14ac:dyDescent="0.25">
      <c r="A582" t="s">
        <v>869</v>
      </c>
      <c r="B582" s="5">
        <v>45252</v>
      </c>
      <c r="C582" t="s">
        <v>66</v>
      </c>
      <c r="D582">
        <v>58</v>
      </c>
      <c r="E582" t="s">
        <v>23</v>
      </c>
      <c r="F582" t="s">
        <v>30</v>
      </c>
      <c r="G582" t="s">
        <v>540</v>
      </c>
      <c r="H582">
        <v>7</v>
      </c>
      <c r="I582">
        <v>8</v>
      </c>
      <c r="J582">
        <v>5</v>
      </c>
      <c r="K582" t="s">
        <v>50</v>
      </c>
      <c r="L582" t="s">
        <v>51</v>
      </c>
      <c r="M582">
        <v>53.2</v>
      </c>
      <c r="N582" t="s">
        <v>57</v>
      </c>
    </row>
    <row r="583" spans="1:14" x14ac:dyDescent="0.25">
      <c r="A583" t="s">
        <v>870</v>
      </c>
      <c r="B583" s="5" t="s">
        <v>771</v>
      </c>
      <c r="C583" t="s">
        <v>198</v>
      </c>
      <c r="D583">
        <v>19</v>
      </c>
      <c r="E583" t="s">
        <v>16</v>
      </c>
      <c r="F583" t="s">
        <v>30</v>
      </c>
      <c r="G583" t="s">
        <v>294</v>
      </c>
      <c r="H583">
        <v>4</v>
      </c>
      <c r="I583">
        <v>493</v>
      </c>
      <c r="J583">
        <v>40</v>
      </c>
      <c r="K583" t="s">
        <v>50</v>
      </c>
      <c r="L583" t="s">
        <v>56</v>
      </c>
      <c r="M583">
        <v>1183.2</v>
      </c>
      <c r="N583" t="s">
        <v>33</v>
      </c>
    </row>
    <row r="584" spans="1:14" x14ac:dyDescent="0.25">
      <c r="A584" t="s">
        <v>871</v>
      </c>
      <c r="B584" s="5">
        <v>44963</v>
      </c>
      <c r="C584" t="s">
        <v>176</v>
      </c>
      <c r="D584">
        <v>24</v>
      </c>
      <c r="E584" t="s">
        <v>16</v>
      </c>
      <c r="F584" t="s">
        <v>35</v>
      </c>
      <c r="G584" t="s">
        <v>158</v>
      </c>
      <c r="H584">
        <v>5</v>
      </c>
      <c r="I584">
        <v>603</v>
      </c>
      <c r="J584">
        <v>-5</v>
      </c>
      <c r="K584" t="s">
        <v>41</v>
      </c>
      <c r="L584" t="s">
        <v>51</v>
      </c>
      <c r="M584">
        <v>3165.75</v>
      </c>
      <c r="N584" t="s">
        <v>21</v>
      </c>
    </row>
    <row r="585" spans="1:14" x14ac:dyDescent="0.25">
      <c r="A585" t="s">
        <v>872</v>
      </c>
      <c r="B585" s="5">
        <v>45037</v>
      </c>
      <c r="C585" t="s">
        <v>28</v>
      </c>
      <c r="D585">
        <v>29</v>
      </c>
      <c r="E585" t="s">
        <v>23</v>
      </c>
      <c r="F585" t="s">
        <v>30</v>
      </c>
      <c r="G585" t="s">
        <v>135</v>
      </c>
      <c r="H585">
        <v>5</v>
      </c>
      <c r="I585">
        <v>14392</v>
      </c>
      <c r="J585">
        <v>10</v>
      </c>
      <c r="K585" t="s">
        <v>19</v>
      </c>
      <c r="L585" t="s">
        <v>20</v>
      </c>
      <c r="M585">
        <v>64764</v>
      </c>
      <c r="N585" t="s">
        <v>45</v>
      </c>
    </row>
    <row r="586" spans="1:14" x14ac:dyDescent="0.25">
      <c r="A586" t="s">
        <v>873</v>
      </c>
      <c r="B586" s="5">
        <v>45018</v>
      </c>
      <c r="C586" t="s">
        <v>207</v>
      </c>
      <c r="D586">
        <v>25</v>
      </c>
      <c r="E586" t="s">
        <v>23</v>
      </c>
      <c r="F586" t="s">
        <v>54</v>
      </c>
      <c r="G586" t="s">
        <v>92</v>
      </c>
      <c r="H586">
        <v>1</v>
      </c>
      <c r="I586">
        <v>10100</v>
      </c>
      <c r="J586">
        <v>10</v>
      </c>
      <c r="K586" t="s">
        <v>19</v>
      </c>
      <c r="L586" t="s">
        <v>20</v>
      </c>
      <c r="M586">
        <v>10100</v>
      </c>
      <c r="N586" t="s">
        <v>38</v>
      </c>
    </row>
    <row r="587" spans="1:14" x14ac:dyDescent="0.25">
      <c r="A587" t="s">
        <v>874</v>
      </c>
      <c r="B587" s="5" t="s">
        <v>372</v>
      </c>
      <c r="C587" t="s">
        <v>217</v>
      </c>
      <c r="D587">
        <v>59</v>
      </c>
      <c r="E587" t="s">
        <v>16</v>
      </c>
      <c r="F587" t="s">
        <v>35</v>
      </c>
      <c r="G587" t="s">
        <v>36</v>
      </c>
      <c r="H587">
        <v>2</v>
      </c>
      <c r="J587">
        <v>5</v>
      </c>
      <c r="K587" t="s">
        <v>19</v>
      </c>
      <c r="L587" t="s">
        <v>20</v>
      </c>
      <c r="N587" t="s">
        <v>45</v>
      </c>
    </row>
    <row r="588" spans="1:14" x14ac:dyDescent="0.25">
      <c r="A588" t="s">
        <v>875</v>
      </c>
      <c r="B588" s="5">
        <v>45064</v>
      </c>
      <c r="C588" t="s">
        <v>43</v>
      </c>
      <c r="D588">
        <v>41</v>
      </c>
      <c r="E588" t="s">
        <v>23</v>
      </c>
      <c r="F588" t="s">
        <v>17</v>
      </c>
      <c r="G588" t="s">
        <v>40</v>
      </c>
      <c r="H588">
        <v>2</v>
      </c>
      <c r="I588">
        <v>4550</v>
      </c>
      <c r="J588">
        <v>30</v>
      </c>
      <c r="K588" t="s">
        <v>25</v>
      </c>
      <c r="L588" t="s">
        <v>20</v>
      </c>
      <c r="M588">
        <v>9100</v>
      </c>
      <c r="N588" t="s">
        <v>38</v>
      </c>
    </row>
    <row r="589" spans="1:14" x14ac:dyDescent="0.25">
      <c r="A589" t="s">
        <v>876</v>
      </c>
      <c r="B589" s="5">
        <v>44961</v>
      </c>
      <c r="C589" t="s">
        <v>243</v>
      </c>
      <c r="D589">
        <v>36</v>
      </c>
      <c r="E589" t="s">
        <v>23</v>
      </c>
      <c r="F589" t="s">
        <v>608</v>
      </c>
      <c r="G589" t="s">
        <v>77</v>
      </c>
      <c r="H589">
        <v>2</v>
      </c>
      <c r="I589">
        <v>23900</v>
      </c>
      <c r="J589">
        <v>5</v>
      </c>
      <c r="K589" t="s">
        <v>41</v>
      </c>
      <c r="L589" t="s">
        <v>20</v>
      </c>
      <c r="M589">
        <v>45410</v>
      </c>
      <c r="N589" t="s">
        <v>26</v>
      </c>
    </row>
    <row r="590" spans="1:14" x14ac:dyDescent="0.25">
      <c r="A590" t="s">
        <v>877</v>
      </c>
      <c r="B590" s="5" t="s">
        <v>878</v>
      </c>
      <c r="C590" t="s">
        <v>879</v>
      </c>
      <c r="D590">
        <v>18</v>
      </c>
      <c r="E590" t="s">
        <v>16</v>
      </c>
      <c r="F590" t="s">
        <v>35</v>
      </c>
      <c r="G590" t="s">
        <v>213</v>
      </c>
      <c r="H590">
        <v>4</v>
      </c>
      <c r="I590">
        <v>392</v>
      </c>
      <c r="J590">
        <v>5</v>
      </c>
      <c r="K590" t="s">
        <v>41</v>
      </c>
      <c r="L590" t="s">
        <v>56</v>
      </c>
      <c r="M590">
        <v>1489.6</v>
      </c>
      <c r="N590" t="s">
        <v>21</v>
      </c>
    </row>
    <row r="591" spans="1:14" x14ac:dyDescent="0.25">
      <c r="A591" t="s">
        <v>880</v>
      </c>
      <c r="B591" s="5" t="s">
        <v>881</v>
      </c>
      <c r="D591">
        <v>21</v>
      </c>
      <c r="E591" t="s">
        <v>23</v>
      </c>
      <c r="F591" t="s">
        <v>54</v>
      </c>
      <c r="G591" t="s">
        <v>144</v>
      </c>
      <c r="H591">
        <v>1</v>
      </c>
      <c r="I591">
        <v>67000</v>
      </c>
      <c r="J591">
        <v>10</v>
      </c>
      <c r="K591" t="s">
        <v>25</v>
      </c>
      <c r="L591" t="s">
        <v>20</v>
      </c>
      <c r="M591">
        <v>60300</v>
      </c>
      <c r="N591" t="s">
        <v>45</v>
      </c>
    </row>
    <row r="592" spans="1:14" x14ac:dyDescent="0.25">
      <c r="A592" t="s">
        <v>882</v>
      </c>
      <c r="B592" s="5">
        <v>45148</v>
      </c>
      <c r="C592" t="s">
        <v>128</v>
      </c>
      <c r="D592">
        <v>48</v>
      </c>
      <c r="E592" t="s">
        <v>44</v>
      </c>
      <c r="F592" t="s">
        <v>30</v>
      </c>
      <c r="G592" t="s">
        <v>121</v>
      </c>
      <c r="H592">
        <v>8</v>
      </c>
      <c r="J592">
        <v>25</v>
      </c>
      <c r="K592" t="s">
        <v>19</v>
      </c>
      <c r="L592" t="s">
        <v>51</v>
      </c>
      <c r="N592" t="s">
        <v>33</v>
      </c>
    </row>
    <row r="593" spans="1:14" x14ac:dyDescent="0.25">
      <c r="A593" t="s">
        <v>883</v>
      </c>
      <c r="B593" s="5">
        <v>45013</v>
      </c>
      <c r="C593" t="s">
        <v>884</v>
      </c>
      <c r="D593">
        <v>999</v>
      </c>
      <c r="E593" t="s">
        <v>16</v>
      </c>
      <c r="F593" t="s">
        <v>17</v>
      </c>
      <c r="G593" t="s">
        <v>124</v>
      </c>
      <c r="H593">
        <v>2</v>
      </c>
      <c r="I593">
        <v>6700</v>
      </c>
      <c r="J593">
        <v>10</v>
      </c>
      <c r="K593" t="s">
        <v>25</v>
      </c>
      <c r="L593" t="s">
        <v>20</v>
      </c>
      <c r="M593">
        <v>12060</v>
      </c>
      <c r="N593" t="s">
        <v>38</v>
      </c>
    </row>
    <row r="594" spans="1:14" x14ac:dyDescent="0.25">
      <c r="A594" t="s">
        <v>885</v>
      </c>
      <c r="B594" s="5" t="s">
        <v>1367</v>
      </c>
      <c r="C594" t="s">
        <v>192</v>
      </c>
      <c r="D594">
        <v>27</v>
      </c>
      <c r="E594" t="s">
        <v>23</v>
      </c>
      <c r="F594" t="s">
        <v>17</v>
      </c>
      <c r="G594" t="s">
        <v>186</v>
      </c>
      <c r="H594">
        <v>1</v>
      </c>
      <c r="I594">
        <v>1800</v>
      </c>
      <c r="J594">
        <v>10</v>
      </c>
      <c r="K594" t="s">
        <v>50</v>
      </c>
      <c r="L594" t="s">
        <v>51</v>
      </c>
      <c r="M594">
        <v>1620</v>
      </c>
      <c r="N594" t="s">
        <v>45</v>
      </c>
    </row>
    <row r="595" spans="1:14" x14ac:dyDescent="0.25">
      <c r="A595" t="s">
        <v>886</v>
      </c>
      <c r="B595" s="5">
        <v>45280</v>
      </c>
      <c r="C595" t="s">
        <v>152</v>
      </c>
      <c r="D595">
        <v>19</v>
      </c>
      <c r="E595" t="s">
        <v>23</v>
      </c>
      <c r="F595" t="s">
        <v>54</v>
      </c>
      <c r="G595" t="s">
        <v>114</v>
      </c>
      <c r="H595">
        <v>2</v>
      </c>
      <c r="I595">
        <v>86900</v>
      </c>
      <c r="J595">
        <v>10</v>
      </c>
      <c r="K595" t="s">
        <v>41</v>
      </c>
      <c r="L595" t="s">
        <v>20</v>
      </c>
      <c r="M595">
        <v>86900</v>
      </c>
      <c r="N595" t="s">
        <v>45</v>
      </c>
    </row>
    <row r="596" spans="1:14" x14ac:dyDescent="0.25">
      <c r="A596" t="s">
        <v>887</v>
      </c>
      <c r="B596" s="5">
        <v>45198</v>
      </c>
      <c r="C596" t="s">
        <v>265</v>
      </c>
      <c r="D596">
        <v>47</v>
      </c>
      <c r="E596" t="s">
        <v>16</v>
      </c>
      <c r="F596" t="s">
        <v>35</v>
      </c>
      <c r="G596" t="s">
        <v>126</v>
      </c>
      <c r="H596">
        <v>9</v>
      </c>
      <c r="I596">
        <v>482</v>
      </c>
      <c r="J596">
        <v>5</v>
      </c>
      <c r="K596" t="s">
        <v>50</v>
      </c>
      <c r="L596" t="s">
        <v>56</v>
      </c>
      <c r="M596">
        <v>4121.1000000000004</v>
      </c>
      <c r="N596" t="s">
        <v>38</v>
      </c>
    </row>
    <row r="597" spans="1:14" x14ac:dyDescent="0.25">
      <c r="A597" t="s">
        <v>888</v>
      </c>
      <c r="B597" s="5">
        <v>45097</v>
      </c>
      <c r="C597" t="s">
        <v>211</v>
      </c>
      <c r="D597">
        <v>30</v>
      </c>
      <c r="E597" t="s">
        <v>143</v>
      </c>
      <c r="F597" t="s">
        <v>17</v>
      </c>
      <c r="G597" t="s">
        <v>80</v>
      </c>
      <c r="H597">
        <v>1</v>
      </c>
      <c r="I597">
        <v>5100</v>
      </c>
      <c r="J597">
        <v>0</v>
      </c>
      <c r="K597" t="s">
        <v>25</v>
      </c>
      <c r="L597" t="s">
        <v>417</v>
      </c>
      <c r="M597">
        <v>5100</v>
      </c>
      <c r="N597" t="s">
        <v>26</v>
      </c>
    </row>
    <row r="598" spans="1:14" x14ac:dyDescent="0.25">
      <c r="A598" t="s">
        <v>889</v>
      </c>
      <c r="B598" s="5">
        <v>45063</v>
      </c>
      <c r="C598" t="s">
        <v>48</v>
      </c>
      <c r="D598">
        <v>38</v>
      </c>
      <c r="E598" t="s">
        <v>16</v>
      </c>
      <c r="F598" t="s">
        <v>30</v>
      </c>
      <c r="G598" t="s">
        <v>121</v>
      </c>
      <c r="H598">
        <v>6</v>
      </c>
      <c r="I598">
        <v>6051</v>
      </c>
      <c r="J598">
        <v>0</v>
      </c>
      <c r="K598" t="s">
        <v>41</v>
      </c>
      <c r="L598" t="s">
        <v>56</v>
      </c>
      <c r="M598">
        <v>36306</v>
      </c>
      <c r="N598" t="s">
        <v>276</v>
      </c>
    </row>
    <row r="599" spans="1:14" x14ac:dyDescent="0.25">
      <c r="A599" t="s">
        <v>890</v>
      </c>
      <c r="B599" s="5" t="s">
        <v>229</v>
      </c>
      <c r="C599" t="s">
        <v>152</v>
      </c>
      <c r="E599" t="s">
        <v>23</v>
      </c>
      <c r="F599" t="s">
        <v>30</v>
      </c>
      <c r="G599" t="s">
        <v>31</v>
      </c>
      <c r="H599">
        <v>7</v>
      </c>
      <c r="I599">
        <v>2805</v>
      </c>
      <c r="J599">
        <v>30</v>
      </c>
      <c r="K599" t="s">
        <v>50</v>
      </c>
      <c r="L599" t="s">
        <v>20</v>
      </c>
      <c r="M599">
        <v>19635</v>
      </c>
      <c r="N599" t="s">
        <v>26</v>
      </c>
    </row>
    <row r="600" spans="1:14" x14ac:dyDescent="0.25">
      <c r="A600" t="s">
        <v>891</v>
      </c>
      <c r="B600" s="5">
        <v>45054</v>
      </c>
      <c r="C600" t="s">
        <v>170</v>
      </c>
      <c r="D600">
        <v>64</v>
      </c>
      <c r="E600" t="s">
        <v>443</v>
      </c>
      <c r="F600" t="s">
        <v>35</v>
      </c>
      <c r="G600" t="s">
        <v>147</v>
      </c>
      <c r="H600">
        <v>0</v>
      </c>
      <c r="I600">
        <v>358</v>
      </c>
      <c r="J600">
        <v>30</v>
      </c>
      <c r="K600" t="s">
        <v>25</v>
      </c>
      <c r="L600" t="s">
        <v>51</v>
      </c>
      <c r="M600">
        <v>0</v>
      </c>
      <c r="N600" t="s">
        <v>38</v>
      </c>
    </row>
    <row r="601" spans="1:14" x14ac:dyDescent="0.25">
      <c r="A601" t="s">
        <v>892</v>
      </c>
      <c r="B601" s="5">
        <v>45262</v>
      </c>
      <c r="C601" t="s">
        <v>43</v>
      </c>
      <c r="D601">
        <v>40</v>
      </c>
      <c r="E601" t="s">
        <v>16</v>
      </c>
      <c r="F601" t="s">
        <v>54</v>
      </c>
      <c r="G601" t="s">
        <v>199</v>
      </c>
      <c r="H601">
        <v>2</v>
      </c>
      <c r="I601">
        <v>58300</v>
      </c>
      <c r="J601">
        <v>50</v>
      </c>
      <c r="K601" t="s">
        <v>41</v>
      </c>
      <c r="L601" t="s">
        <v>449</v>
      </c>
      <c r="M601">
        <v>58300</v>
      </c>
      <c r="N601" t="s">
        <v>26</v>
      </c>
    </row>
    <row r="602" spans="1:14" x14ac:dyDescent="0.25">
      <c r="A602" t="s">
        <v>893</v>
      </c>
      <c r="B602" s="5">
        <v>45054</v>
      </c>
      <c r="C602" t="s">
        <v>192</v>
      </c>
      <c r="D602">
        <v>26</v>
      </c>
      <c r="E602" t="s">
        <v>146</v>
      </c>
      <c r="F602" t="s">
        <v>17</v>
      </c>
      <c r="G602" t="s">
        <v>24</v>
      </c>
      <c r="H602">
        <v>3</v>
      </c>
      <c r="I602">
        <v>2200</v>
      </c>
      <c r="J602">
        <v>20</v>
      </c>
      <c r="K602" t="s">
        <v>25</v>
      </c>
      <c r="L602" t="s">
        <v>20</v>
      </c>
      <c r="M602">
        <v>5280</v>
      </c>
      <c r="N602" t="s">
        <v>894</v>
      </c>
    </row>
    <row r="603" spans="1:14" x14ac:dyDescent="0.25">
      <c r="A603" t="s">
        <v>895</v>
      </c>
      <c r="B603" s="5">
        <v>45271</v>
      </c>
      <c r="C603" t="s">
        <v>43</v>
      </c>
      <c r="D603">
        <v>27</v>
      </c>
      <c r="E603" t="s">
        <v>23</v>
      </c>
      <c r="F603" t="s">
        <v>35</v>
      </c>
      <c r="G603" t="s">
        <v>36</v>
      </c>
      <c r="H603">
        <v>9</v>
      </c>
      <c r="I603">
        <v>723</v>
      </c>
      <c r="J603">
        <v>10</v>
      </c>
      <c r="K603" t="s">
        <v>83</v>
      </c>
      <c r="L603" t="s">
        <v>51</v>
      </c>
      <c r="M603">
        <v>5856.3</v>
      </c>
      <c r="N603" t="s">
        <v>38</v>
      </c>
    </row>
    <row r="604" spans="1:14" x14ac:dyDescent="0.25">
      <c r="A604" t="s">
        <v>896</v>
      </c>
      <c r="B604" s="5">
        <v>45103</v>
      </c>
      <c r="C604" t="s">
        <v>897</v>
      </c>
      <c r="D604">
        <v>26</v>
      </c>
      <c r="E604" t="s">
        <v>23</v>
      </c>
      <c r="F604" t="s">
        <v>30</v>
      </c>
      <c r="G604" t="s">
        <v>67</v>
      </c>
      <c r="H604">
        <v>6</v>
      </c>
      <c r="I604">
        <v>8</v>
      </c>
      <c r="J604">
        <v>50</v>
      </c>
      <c r="K604" t="s">
        <v>19</v>
      </c>
      <c r="L604" t="s">
        <v>51</v>
      </c>
      <c r="M604">
        <v>24</v>
      </c>
      <c r="N604" t="s">
        <v>685</v>
      </c>
    </row>
    <row r="605" spans="1:14" x14ac:dyDescent="0.25">
      <c r="A605" t="s">
        <v>898</v>
      </c>
      <c r="B605" s="5" t="s">
        <v>1367</v>
      </c>
      <c r="C605" t="s">
        <v>243</v>
      </c>
      <c r="D605">
        <v>42</v>
      </c>
      <c r="E605" t="s">
        <v>475</v>
      </c>
      <c r="F605" t="s">
        <v>30</v>
      </c>
      <c r="G605" t="s">
        <v>195</v>
      </c>
      <c r="H605">
        <v>6</v>
      </c>
      <c r="I605">
        <v>3496</v>
      </c>
      <c r="J605">
        <v>0</v>
      </c>
      <c r="K605" t="s">
        <v>41</v>
      </c>
      <c r="L605" t="s">
        <v>37</v>
      </c>
      <c r="M605">
        <v>20976</v>
      </c>
      <c r="N605" t="s">
        <v>26</v>
      </c>
    </row>
    <row r="606" spans="1:14" x14ac:dyDescent="0.25">
      <c r="A606" t="s">
        <v>899</v>
      </c>
      <c r="B606" s="5">
        <v>45068</v>
      </c>
      <c r="C606" t="s">
        <v>192</v>
      </c>
      <c r="D606">
        <v>45</v>
      </c>
      <c r="E606" t="s">
        <v>16</v>
      </c>
      <c r="F606" t="s">
        <v>291</v>
      </c>
      <c r="G606" t="s">
        <v>40</v>
      </c>
      <c r="H606">
        <v>2</v>
      </c>
      <c r="I606">
        <v>4400</v>
      </c>
      <c r="J606">
        <v>10</v>
      </c>
      <c r="K606" t="s">
        <v>326</v>
      </c>
      <c r="L606" t="s">
        <v>51</v>
      </c>
      <c r="M606">
        <v>7920</v>
      </c>
      <c r="N606" t="s">
        <v>45</v>
      </c>
    </row>
    <row r="607" spans="1:14" x14ac:dyDescent="0.25">
      <c r="A607" t="s">
        <v>900</v>
      </c>
      <c r="B607" s="5" t="s">
        <v>901</v>
      </c>
      <c r="C607" t="s">
        <v>43</v>
      </c>
      <c r="D607">
        <v>40</v>
      </c>
      <c r="E607" t="s">
        <v>23</v>
      </c>
      <c r="F607" t="s">
        <v>30</v>
      </c>
      <c r="G607" t="s">
        <v>268</v>
      </c>
      <c r="H607">
        <v>9</v>
      </c>
      <c r="I607">
        <v>1993</v>
      </c>
      <c r="J607">
        <v>50</v>
      </c>
      <c r="K607" t="s">
        <v>19</v>
      </c>
      <c r="L607" t="s">
        <v>20</v>
      </c>
      <c r="M607">
        <v>8968.5</v>
      </c>
      <c r="N607" t="s">
        <v>108</v>
      </c>
    </row>
    <row r="608" spans="1:14" x14ac:dyDescent="0.25">
      <c r="A608" t="s">
        <v>902</v>
      </c>
      <c r="B608" s="5">
        <v>45133</v>
      </c>
      <c r="C608" t="s">
        <v>170</v>
      </c>
      <c r="D608">
        <v>63</v>
      </c>
      <c r="E608" t="s">
        <v>138</v>
      </c>
      <c r="F608" t="s">
        <v>17</v>
      </c>
      <c r="G608" t="s">
        <v>274</v>
      </c>
      <c r="H608">
        <v>2</v>
      </c>
      <c r="I608">
        <v>2450</v>
      </c>
      <c r="J608">
        <v>50</v>
      </c>
      <c r="K608" t="s">
        <v>41</v>
      </c>
      <c r="L608" t="s">
        <v>20</v>
      </c>
      <c r="M608">
        <v>2450</v>
      </c>
      <c r="N608" t="s">
        <v>21</v>
      </c>
    </row>
    <row r="609" spans="1:14" x14ac:dyDescent="0.25">
      <c r="A609" t="s">
        <v>903</v>
      </c>
      <c r="B609" s="5">
        <v>45094</v>
      </c>
      <c r="C609" t="s">
        <v>217</v>
      </c>
      <c r="D609">
        <v>46</v>
      </c>
      <c r="E609" t="s">
        <v>16</v>
      </c>
      <c r="F609" t="s">
        <v>30</v>
      </c>
      <c r="G609" t="s">
        <v>153</v>
      </c>
      <c r="H609">
        <v>6</v>
      </c>
      <c r="I609">
        <v>1078</v>
      </c>
      <c r="J609">
        <v>25</v>
      </c>
      <c r="K609" t="s">
        <v>50</v>
      </c>
      <c r="L609" t="s">
        <v>20</v>
      </c>
      <c r="M609">
        <v>4851</v>
      </c>
      <c r="N609" t="s">
        <v>45</v>
      </c>
    </row>
    <row r="610" spans="1:14" x14ac:dyDescent="0.25">
      <c r="A610" t="s">
        <v>904</v>
      </c>
      <c r="B610" s="5">
        <v>44958</v>
      </c>
      <c r="C610" t="s">
        <v>43</v>
      </c>
      <c r="D610">
        <v>60</v>
      </c>
      <c r="E610" t="s">
        <v>16</v>
      </c>
      <c r="F610" t="s">
        <v>54</v>
      </c>
      <c r="G610" t="s">
        <v>144</v>
      </c>
      <c r="H610">
        <v>1</v>
      </c>
      <c r="I610">
        <v>55400</v>
      </c>
      <c r="J610">
        <v>5</v>
      </c>
      <c r="K610" t="s">
        <v>326</v>
      </c>
      <c r="L610" t="s">
        <v>56</v>
      </c>
      <c r="M610">
        <v>105260</v>
      </c>
      <c r="N610" t="s">
        <v>26</v>
      </c>
    </row>
    <row r="611" spans="1:14" x14ac:dyDescent="0.25">
      <c r="A611" t="s">
        <v>905</v>
      </c>
      <c r="B611" s="5">
        <v>45272</v>
      </c>
      <c r="D611">
        <v>20</v>
      </c>
      <c r="E611" t="s">
        <v>44</v>
      </c>
      <c r="F611" t="s">
        <v>17</v>
      </c>
      <c r="G611" t="s">
        <v>94</v>
      </c>
      <c r="H611">
        <v>1</v>
      </c>
      <c r="I611">
        <v>3350</v>
      </c>
      <c r="J611">
        <v>0</v>
      </c>
      <c r="K611" t="s">
        <v>50</v>
      </c>
      <c r="L611" t="s">
        <v>51</v>
      </c>
      <c r="M611">
        <v>3350</v>
      </c>
      <c r="N611" t="s">
        <v>45</v>
      </c>
    </row>
    <row r="612" spans="1:14" x14ac:dyDescent="0.25">
      <c r="A612" t="s">
        <v>906</v>
      </c>
      <c r="B612" s="5">
        <v>45249</v>
      </c>
      <c r="C612" t="s">
        <v>176</v>
      </c>
      <c r="D612">
        <v>42</v>
      </c>
      <c r="E612" t="s">
        <v>23</v>
      </c>
      <c r="F612" t="s">
        <v>30</v>
      </c>
      <c r="G612" t="s">
        <v>135</v>
      </c>
      <c r="H612">
        <v>0</v>
      </c>
      <c r="I612">
        <v>13365</v>
      </c>
      <c r="J612">
        <v>30</v>
      </c>
      <c r="K612" t="s">
        <v>50</v>
      </c>
      <c r="L612" t="s">
        <v>20</v>
      </c>
      <c r="M612">
        <v>0</v>
      </c>
      <c r="N612" t="s">
        <v>349</v>
      </c>
    </row>
    <row r="613" spans="1:14" x14ac:dyDescent="0.25">
      <c r="A613" t="s">
        <v>907</v>
      </c>
      <c r="B613" s="5">
        <v>44963</v>
      </c>
      <c r="C613" t="s">
        <v>176</v>
      </c>
      <c r="D613">
        <v>31</v>
      </c>
      <c r="E613" t="s">
        <v>16</v>
      </c>
      <c r="F613" t="s">
        <v>177</v>
      </c>
      <c r="G613" t="s">
        <v>203</v>
      </c>
      <c r="H613">
        <v>4</v>
      </c>
      <c r="I613">
        <v>1730</v>
      </c>
      <c r="J613">
        <v>5</v>
      </c>
      <c r="K613" t="s">
        <v>32</v>
      </c>
      <c r="L613" t="s">
        <v>20</v>
      </c>
      <c r="M613">
        <v>6574</v>
      </c>
      <c r="N613" t="s">
        <v>167</v>
      </c>
    </row>
    <row r="614" spans="1:14" x14ac:dyDescent="0.25">
      <c r="A614" t="s">
        <v>908</v>
      </c>
      <c r="B614" s="5" t="s">
        <v>909</v>
      </c>
      <c r="C614" t="s">
        <v>355</v>
      </c>
      <c r="D614">
        <v>35</v>
      </c>
      <c r="E614" t="s">
        <v>16</v>
      </c>
      <c r="F614" t="s">
        <v>30</v>
      </c>
      <c r="G614" t="s">
        <v>224</v>
      </c>
      <c r="H614">
        <v>3</v>
      </c>
      <c r="I614">
        <v>1264</v>
      </c>
      <c r="J614">
        <v>30</v>
      </c>
      <c r="K614" t="s">
        <v>105</v>
      </c>
      <c r="L614" t="s">
        <v>20</v>
      </c>
      <c r="M614">
        <v>2654.4</v>
      </c>
      <c r="N614" t="s">
        <v>21</v>
      </c>
    </row>
    <row r="615" spans="1:14" x14ac:dyDescent="0.25">
      <c r="A615" t="s">
        <v>910</v>
      </c>
      <c r="B615" s="5">
        <v>45272</v>
      </c>
      <c r="D615">
        <v>34</v>
      </c>
      <c r="E615" t="s">
        <v>490</v>
      </c>
      <c r="F615" t="s">
        <v>35</v>
      </c>
      <c r="G615" t="s">
        <v>139</v>
      </c>
      <c r="H615">
        <v>20</v>
      </c>
      <c r="I615">
        <v>589</v>
      </c>
      <c r="J615">
        <v>0</v>
      </c>
      <c r="K615" t="s">
        <v>50</v>
      </c>
      <c r="L615" t="s">
        <v>20</v>
      </c>
      <c r="M615">
        <v>11780</v>
      </c>
      <c r="N615" t="s">
        <v>26</v>
      </c>
    </row>
    <row r="616" spans="1:14" x14ac:dyDescent="0.25">
      <c r="A616" t="s">
        <v>911</v>
      </c>
      <c r="B616" s="5">
        <v>45281</v>
      </c>
      <c r="C616" t="s">
        <v>48</v>
      </c>
      <c r="D616">
        <v>19</v>
      </c>
      <c r="E616" t="s">
        <v>16</v>
      </c>
      <c r="F616" t="s">
        <v>70</v>
      </c>
      <c r="G616" t="s">
        <v>124</v>
      </c>
      <c r="H616">
        <v>2</v>
      </c>
      <c r="I616">
        <v>584495</v>
      </c>
      <c r="K616" t="s">
        <v>83</v>
      </c>
      <c r="L616" t="s">
        <v>204</v>
      </c>
      <c r="M616">
        <v>4675960</v>
      </c>
      <c r="N616" t="s">
        <v>26</v>
      </c>
    </row>
    <row r="617" spans="1:14" x14ac:dyDescent="0.25">
      <c r="A617" t="s">
        <v>912</v>
      </c>
      <c r="B617" s="5">
        <v>45202</v>
      </c>
      <c r="C617" t="s">
        <v>152</v>
      </c>
      <c r="D617">
        <v>20</v>
      </c>
      <c r="E617" t="s">
        <v>146</v>
      </c>
      <c r="F617" t="s">
        <v>30</v>
      </c>
      <c r="G617" t="s">
        <v>540</v>
      </c>
      <c r="H617">
        <v>4</v>
      </c>
      <c r="I617">
        <v>4287</v>
      </c>
      <c r="J617">
        <v>0</v>
      </c>
      <c r="K617" t="s">
        <v>19</v>
      </c>
      <c r="L617" t="s">
        <v>37</v>
      </c>
      <c r="M617">
        <v>17148</v>
      </c>
      <c r="N617" t="s">
        <v>26</v>
      </c>
    </row>
    <row r="618" spans="1:14" x14ac:dyDescent="0.25">
      <c r="A618" t="s">
        <v>913</v>
      </c>
      <c r="B618" s="5" t="s">
        <v>314</v>
      </c>
      <c r="C618" t="s">
        <v>587</v>
      </c>
      <c r="D618">
        <v>62</v>
      </c>
      <c r="E618" t="s">
        <v>23</v>
      </c>
      <c r="F618" t="s">
        <v>35</v>
      </c>
      <c r="G618" t="s">
        <v>139</v>
      </c>
      <c r="H618">
        <v>1</v>
      </c>
      <c r="I618">
        <v>740</v>
      </c>
      <c r="J618">
        <v>25</v>
      </c>
      <c r="K618" t="s">
        <v>19</v>
      </c>
      <c r="L618" t="s">
        <v>20</v>
      </c>
      <c r="M618">
        <v>555</v>
      </c>
      <c r="N618" t="s">
        <v>21</v>
      </c>
    </row>
    <row r="619" spans="1:14" x14ac:dyDescent="0.25">
      <c r="A619" t="s">
        <v>914</v>
      </c>
      <c r="B619" s="5">
        <v>45115</v>
      </c>
      <c r="C619" t="s">
        <v>192</v>
      </c>
      <c r="D619">
        <v>52</v>
      </c>
      <c r="E619" t="s">
        <v>16</v>
      </c>
      <c r="F619" t="s">
        <v>30</v>
      </c>
      <c r="G619" t="s">
        <v>294</v>
      </c>
      <c r="H619">
        <v>2</v>
      </c>
      <c r="I619">
        <v>594</v>
      </c>
      <c r="J619">
        <v>0</v>
      </c>
      <c r="K619" t="s">
        <v>19</v>
      </c>
      <c r="L619" t="s">
        <v>915</v>
      </c>
      <c r="M619">
        <v>1188</v>
      </c>
      <c r="N619" t="s">
        <v>45</v>
      </c>
    </row>
    <row r="620" spans="1:14" x14ac:dyDescent="0.25">
      <c r="A620" t="s">
        <v>916</v>
      </c>
      <c r="B620" s="5">
        <v>45092</v>
      </c>
      <c r="C620" t="s">
        <v>66</v>
      </c>
      <c r="D620">
        <v>51</v>
      </c>
      <c r="E620" t="s">
        <v>16</v>
      </c>
      <c r="F620" t="s">
        <v>35</v>
      </c>
      <c r="G620" t="s">
        <v>111</v>
      </c>
      <c r="H620">
        <v>2</v>
      </c>
      <c r="I620">
        <v>473</v>
      </c>
      <c r="J620">
        <v>15</v>
      </c>
      <c r="K620" t="s">
        <v>105</v>
      </c>
      <c r="L620" t="s">
        <v>20</v>
      </c>
      <c r="M620">
        <v>-804.1</v>
      </c>
      <c r="N620" t="s">
        <v>45</v>
      </c>
    </row>
    <row r="621" spans="1:14" x14ac:dyDescent="0.25">
      <c r="A621" t="s">
        <v>917</v>
      </c>
      <c r="B621" s="5">
        <v>44959</v>
      </c>
      <c r="C621" t="s">
        <v>48</v>
      </c>
      <c r="D621">
        <v>47</v>
      </c>
      <c r="E621" t="s">
        <v>138</v>
      </c>
      <c r="F621" t="s">
        <v>30</v>
      </c>
      <c r="G621" t="s">
        <v>540</v>
      </c>
      <c r="H621">
        <v>99</v>
      </c>
      <c r="I621">
        <v>4788</v>
      </c>
      <c r="J621">
        <v>10</v>
      </c>
      <c r="K621" t="s">
        <v>95</v>
      </c>
      <c r="L621" t="s">
        <v>51</v>
      </c>
      <c r="M621">
        <v>426610.8</v>
      </c>
      <c r="N621" t="s">
        <v>21</v>
      </c>
    </row>
    <row r="622" spans="1:14" x14ac:dyDescent="0.25">
      <c r="A622" t="s">
        <v>918</v>
      </c>
      <c r="B622" s="5">
        <v>45284</v>
      </c>
      <c r="C622" t="s">
        <v>160</v>
      </c>
      <c r="D622">
        <v>25</v>
      </c>
      <c r="E622" t="s">
        <v>16</v>
      </c>
      <c r="F622" t="s">
        <v>54</v>
      </c>
      <c r="G622" t="s">
        <v>311</v>
      </c>
      <c r="H622">
        <v>2</v>
      </c>
      <c r="I622">
        <v>4300</v>
      </c>
      <c r="J622">
        <v>15</v>
      </c>
      <c r="K622" t="s">
        <v>19</v>
      </c>
      <c r="L622" t="s">
        <v>20</v>
      </c>
      <c r="M622">
        <v>7310</v>
      </c>
      <c r="N622" t="s">
        <v>74</v>
      </c>
    </row>
    <row r="623" spans="1:14" x14ac:dyDescent="0.25">
      <c r="A623" t="s">
        <v>919</v>
      </c>
      <c r="B623" s="5" t="s">
        <v>920</v>
      </c>
      <c r="C623" t="s">
        <v>431</v>
      </c>
      <c r="D623">
        <v>30</v>
      </c>
      <c r="E623" t="s">
        <v>23</v>
      </c>
      <c r="F623" t="s">
        <v>54</v>
      </c>
      <c r="G623" t="s">
        <v>88</v>
      </c>
      <c r="H623">
        <v>1</v>
      </c>
      <c r="I623">
        <v>44200</v>
      </c>
      <c r="J623">
        <v>10</v>
      </c>
      <c r="K623" t="s">
        <v>19</v>
      </c>
      <c r="L623" t="s">
        <v>51</v>
      </c>
      <c r="M623">
        <v>39780</v>
      </c>
      <c r="N623" t="s">
        <v>45</v>
      </c>
    </row>
    <row r="624" spans="1:14" x14ac:dyDescent="0.25">
      <c r="A624" t="s">
        <v>921</v>
      </c>
      <c r="B624" s="5">
        <v>45272</v>
      </c>
      <c r="C624" t="s">
        <v>672</v>
      </c>
      <c r="D624">
        <v>21</v>
      </c>
      <c r="E624" t="s">
        <v>23</v>
      </c>
      <c r="F624" t="s">
        <v>35</v>
      </c>
      <c r="G624" t="s">
        <v>99</v>
      </c>
      <c r="H624">
        <v>5</v>
      </c>
      <c r="I624">
        <v>1415</v>
      </c>
      <c r="J624">
        <v>0</v>
      </c>
      <c r="K624" t="s">
        <v>19</v>
      </c>
      <c r="L624" t="s">
        <v>20</v>
      </c>
      <c r="M624">
        <v>7075</v>
      </c>
      <c r="N624" t="s">
        <v>21</v>
      </c>
    </row>
    <row r="625" spans="1:14" x14ac:dyDescent="0.25">
      <c r="A625" t="s">
        <v>922</v>
      </c>
      <c r="B625" s="5">
        <v>45105</v>
      </c>
      <c r="C625" t="s">
        <v>318</v>
      </c>
      <c r="D625">
        <v>34</v>
      </c>
      <c r="E625" t="s">
        <v>490</v>
      </c>
      <c r="F625" t="s">
        <v>35</v>
      </c>
      <c r="G625" t="s">
        <v>271</v>
      </c>
      <c r="H625">
        <v>6</v>
      </c>
      <c r="I625">
        <v>600</v>
      </c>
      <c r="J625">
        <v>20</v>
      </c>
      <c r="K625" t="s">
        <v>50</v>
      </c>
      <c r="L625" t="s">
        <v>20</v>
      </c>
      <c r="M625">
        <v>2880</v>
      </c>
      <c r="N625" t="s">
        <v>894</v>
      </c>
    </row>
    <row r="626" spans="1:14" x14ac:dyDescent="0.25">
      <c r="A626" t="s">
        <v>923</v>
      </c>
      <c r="B626" s="5" t="s">
        <v>273</v>
      </c>
      <c r="C626" t="s">
        <v>87</v>
      </c>
      <c r="D626">
        <v>36</v>
      </c>
      <c r="E626" t="s">
        <v>23</v>
      </c>
      <c r="F626" t="s">
        <v>30</v>
      </c>
      <c r="G626" t="s">
        <v>235</v>
      </c>
      <c r="H626">
        <v>4</v>
      </c>
      <c r="I626">
        <v>2511</v>
      </c>
      <c r="J626">
        <v>10</v>
      </c>
      <c r="K626" t="s">
        <v>41</v>
      </c>
      <c r="L626" t="s">
        <v>20</v>
      </c>
      <c r="M626">
        <v>9039.6</v>
      </c>
      <c r="N626" t="s">
        <v>38</v>
      </c>
    </row>
    <row r="627" spans="1:14" x14ac:dyDescent="0.25">
      <c r="A627" t="s">
        <v>924</v>
      </c>
      <c r="B627" s="5">
        <v>45279</v>
      </c>
      <c r="C627" t="s">
        <v>152</v>
      </c>
      <c r="D627">
        <v>60</v>
      </c>
      <c r="E627" t="s">
        <v>475</v>
      </c>
      <c r="F627" t="s">
        <v>17</v>
      </c>
      <c r="G627" t="s">
        <v>189</v>
      </c>
      <c r="H627">
        <v>3</v>
      </c>
      <c r="I627">
        <v>4900</v>
      </c>
      <c r="J627">
        <v>15</v>
      </c>
      <c r="K627" t="s">
        <v>222</v>
      </c>
      <c r="L627" t="s">
        <v>20</v>
      </c>
      <c r="M627">
        <v>12495</v>
      </c>
      <c r="N627" t="s">
        <v>38</v>
      </c>
    </row>
    <row r="628" spans="1:14" x14ac:dyDescent="0.25">
      <c r="A628" t="s">
        <v>925</v>
      </c>
      <c r="B628" s="5" t="s">
        <v>730</v>
      </c>
      <c r="C628" t="s">
        <v>62</v>
      </c>
      <c r="D628">
        <v>61</v>
      </c>
      <c r="E628" t="s">
        <v>16</v>
      </c>
      <c r="F628" t="s">
        <v>17</v>
      </c>
      <c r="G628" t="s">
        <v>94</v>
      </c>
      <c r="H628">
        <v>1</v>
      </c>
      <c r="I628">
        <v>2300</v>
      </c>
      <c r="K628" t="s">
        <v>41</v>
      </c>
      <c r="L628" t="s">
        <v>51</v>
      </c>
      <c r="M628">
        <v>2300</v>
      </c>
      <c r="N628" t="s">
        <v>21</v>
      </c>
    </row>
    <row r="629" spans="1:14" x14ac:dyDescent="0.25">
      <c r="A629" t="s">
        <v>926</v>
      </c>
      <c r="B629" s="5" t="s">
        <v>1356</v>
      </c>
      <c r="C629" t="s">
        <v>192</v>
      </c>
      <c r="D629">
        <v>46</v>
      </c>
      <c r="E629" t="s">
        <v>23</v>
      </c>
      <c r="F629" t="s">
        <v>35</v>
      </c>
      <c r="G629" t="s">
        <v>139</v>
      </c>
      <c r="H629">
        <v>9</v>
      </c>
      <c r="I629">
        <v>630</v>
      </c>
      <c r="J629">
        <v>10</v>
      </c>
      <c r="K629" t="s">
        <v>25</v>
      </c>
      <c r="L629" t="s">
        <v>20</v>
      </c>
      <c r="M629">
        <v>5103</v>
      </c>
      <c r="N629" t="s">
        <v>26</v>
      </c>
    </row>
    <row r="630" spans="1:14" x14ac:dyDescent="0.25">
      <c r="A630" t="s">
        <v>927</v>
      </c>
      <c r="B630" s="5">
        <v>45284</v>
      </c>
      <c r="C630" t="s">
        <v>82</v>
      </c>
      <c r="D630">
        <v>36</v>
      </c>
      <c r="E630" t="s">
        <v>23</v>
      </c>
      <c r="F630" t="s">
        <v>30</v>
      </c>
      <c r="G630" t="s">
        <v>224</v>
      </c>
      <c r="H630">
        <v>5</v>
      </c>
      <c r="I630">
        <v>945</v>
      </c>
      <c r="J630">
        <v>30</v>
      </c>
      <c r="K630" t="s">
        <v>19</v>
      </c>
      <c r="L630" t="s">
        <v>20</v>
      </c>
      <c r="M630">
        <v>3307.5</v>
      </c>
      <c r="N630" t="s">
        <v>45</v>
      </c>
    </row>
    <row r="631" spans="1:14" x14ac:dyDescent="0.25">
      <c r="A631" t="s">
        <v>928</v>
      </c>
      <c r="B631" s="5" t="s">
        <v>929</v>
      </c>
      <c r="C631" t="s">
        <v>265</v>
      </c>
      <c r="D631">
        <v>150</v>
      </c>
      <c r="E631" t="s">
        <v>16</v>
      </c>
      <c r="F631" t="s">
        <v>35</v>
      </c>
      <c r="G631" t="s">
        <v>158</v>
      </c>
      <c r="H631">
        <v>10</v>
      </c>
      <c r="I631">
        <v>492</v>
      </c>
      <c r="J631">
        <v>0</v>
      </c>
      <c r="K631" t="s">
        <v>89</v>
      </c>
      <c r="L631" t="s">
        <v>20</v>
      </c>
      <c r="M631">
        <v>4920</v>
      </c>
      <c r="N631" t="s">
        <v>149</v>
      </c>
    </row>
    <row r="632" spans="1:14" x14ac:dyDescent="0.25">
      <c r="A632" t="s">
        <v>930</v>
      </c>
      <c r="B632" s="5" t="s">
        <v>1037</v>
      </c>
      <c r="D632">
        <v>21</v>
      </c>
      <c r="E632" t="s">
        <v>16</v>
      </c>
      <c r="F632" t="s">
        <v>30</v>
      </c>
      <c r="G632" t="s">
        <v>218</v>
      </c>
      <c r="H632">
        <v>7</v>
      </c>
      <c r="I632">
        <v>6</v>
      </c>
      <c r="J632">
        <v>40</v>
      </c>
      <c r="K632" t="s">
        <v>41</v>
      </c>
      <c r="L632" t="s">
        <v>20</v>
      </c>
      <c r="M632">
        <v>25.2</v>
      </c>
      <c r="N632" t="s">
        <v>21</v>
      </c>
    </row>
    <row r="633" spans="1:14" x14ac:dyDescent="0.25">
      <c r="A633" t="s">
        <v>931</v>
      </c>
      <c r="B633" s="5">
        <v>45022</v>
      </c>
      <c r="C633" t="s">
        <v>192</v>
      </c>
      <c r="D633">
        <v>47</v>
      </c>
      <c r="E633" t="s">
        <v>23</v>
      </c>
      <c r="F633" t="s">
        <v>54</v>
      </c>
      <c r="G633" t="s">
        <v>55</v>
      </c>
      <c r="H633">
        <v>2</v>
      </c>
      <c r="I633">
        <v>30500</v>
      </c>
      <c r="J633">
        <v>0</v>
      </c>
      <c r="K633" t="s">
        <v>41</v>
      </c>
      <c r="L633" t="s">
        <v>20</v>
      </c>
      <c r="M633">
        <v>61000</v>
      </c>
      <c r="N633" t="s">
        <v>894</v>
      </c>
    </row>
    <row r="634" spans="1:14" x14ac:dyDescent="0.25">
      <c r="A634" t="s">
        <v>932</v>
      </c>
      <c r="B634" s="5" t="s">
        <v>1382</v>
      </c>
      <c r="C634" t="s">
        <v>265</v>
      </c>
      <c r="D634">
        <v>40</v>
      </c>
      <c r="E634" t="s">
        <v>23</v>
      </c>
      <c r="F634" t="s">
        <v>54</v>
      </c>
      <c r="G634" t="s">
        <v>55</v>
      </c>
      <c r="H634">
        <v>2</v>
      </c>
      <c r="I634">
        <v>34700</v>
      </c>
      <c r="J634">
        <v>50</v>
      </c>
      <c r="K634" t="s">
        <v>445</v>
      </c>
      <c r="L634" t="s">
        <v>51</v>
      </c>
      <c r="M634">
        <v>34700</v>
      </c>
      <c r="N634" t="s">
        <v>38</v>
      </c>
    </row>
    <row r="635" spans="1:14" x14ac:dyDescent="0.25">
      <c r="A635" t="s">
        <v>933</v>
      </c>
      <c r="B635" s="5">
        <v>45206</v>
      </c>
      <c r="C635" t="s">
        <v>87</v>
      </c>
      <c r="D635">
        <v>46</v>
      </c>
      <c r="E635" t="s">
        <v>16</v>
      </c>
      <c r="F635" t="s">
        <v>30</v>
      </c>
      <c r="G635" t="s">
        <v>195</v>
      </c>
      <c r="H635">
        <v>10</v>
      </c>
      <c r="I635">
        <v>3317</v>
      </c>
      <c r="J635">
        <v>5</v>
      </c>
      <c r="K635" t="s">
        <v>19</v>
      </c>
      <c r="L635" t="s">
        <v>56</v>
      </c>
      <c r="M635">
        <v>31511.5</v>
      </c>
      <c r="N635" t="s">
        <v>295</v>
      </c>
    </row>
    <row r="636" spans="1:14" x14ac:dyDescent="0.25">
      <c r="A636" t="s">
        <v>934</v>
      </c>
      <c r="B636" s="5">
        <v>45100</v>
      </c>
      <c r="C636" t="s">
        <v>393</v>
      </c>
      <c r="E636" t="s">
        <v>16</v>
      </c>
      <c r="F636" t="s">
        <v>17</v>
      </c>
      <c r="G636" t="s">
        <v>186</v>
      </c>
      <c r="H636">
        <v>2</v>
      </c>
      <c r="I636">
        <v>2800</v>
      </c>
      <c r="J636">
        <v>10</v>
      </c>
      <c r="K636" t="s">
        <v>41</v>
      </c>
      <c r="L636" t="s">
        <v>51</v>
      </c>
      <c r="M636">
        <v>5040</v>
      </c>
      <c r="N636" t="s">
        <v>38</v>
      </c>
    </row>
    <row r="637" spans="1:14" x14ac:dyDescent="0.25">
      <c r="A637" t="s">
        <v>935</v>
      </c>
      <c r="B637" s="5">
        <v>45019</v>
      </c>
      <c r="C637" t="s">
        <v>72</v>
      </c>
      <c r="D637">
        <v>32</v>
      </c>
      <c r="E637" t="s">
        <v>23</v>
      </c>
      <c r="F637" t="s">
        <v>35</v>
      </c>
      <c r="G637" t="s">
        <v>271</v>
      </c>
      <c r="H637">
        <v>5</v>
      </c>
      <c r="I637">
        <v>578</v>
      </c>
      <c r="J637">
        <v>5</v>
      </c>
      <c r="K637" t="s">
        <v>50</v>
      </c>
      <c r="L637" t="s">
        <v>51</v>
      </c>
      <c r="M637">
        <v>2745.5</v>
      </c>
      <c r="N637" t="s">
        <v>38</v>
      </c>
    </row>
    <row r="638" spans="1:14" x14ac:dyDescent="0.25">
      <c r="A638" t="s">
        <v>936</v>
      </c>
      <c r="B638" s="5">
        <v>45076</v>
      </c>
      <c r="D638">
        <v>63</v>
      </c>
      <c r="E638" t="s">
        <v>16</v>
      </c>
      <c r="F638" t="s">
        <v>54</v>
      </c>
      <c r="G638" t="s">
        <v>311</v>
      </c>
      <c r="H638">
        <v>2</v>
      </c>
      <c r="I638">
        <v>4700</v>
      </c>
      <c r="J638">
        <v>5</v>
      </c>
      <c r="K638" t="s">
        <v>41</v>
      </c>
      <c r="L638" t="s">
        <v>20</v>
      </c>
      <c r="M638">
        <v>8930</v>
      </c>
      <c r="N638" t="s">
        <v>38</v>
      </c>
    </row>
    <row r="639" spans="1:14" x14ac:dyDescent="0.25">
      <c r="A639" t="s">
        <v>937</v>
      </c>
      <c r="B639" s="5">
        <v>44990</v>
      </c>
      <c r="D639">
        <v>45</v>
      </c>
      <c r="E639" t="s">
        <v>23</v>
      </c>
      <c r="F639" t="s">
        <v>54</v>
      </c>
      <c r="G639" t="s">
        <v>88</v>
      </c>
      <c r="H639">
        <v>1</v>
      </c>
      <c r="I639">
        <v>49500</v>
      </c>
      <c r="J639">
        <v>20</v>
      </c>
      <c r="K639" t="s">
        <v>25</v>
      </c>
      <c r="L639" t="s">
        <v>20</v>
      </c>
      <c r="M639">
        <v>39600</v>
      </c>
      <c r="N639" t="s">
        <v>38</v>
      </c>
    </row>
    <row r="640" spans="1:14" x14ac:dyDescent="0.25">
      <c r="A640" t="s">
        <v>938</v>
      </c>
      <c r="B640" s="5">
        <v>44960</v>
      </c>
      <c r="D640">
        <v>47</v>
      </c>
      <c r="E640" t="s">
        <v>23</v>
      </c>
      <c r="F640" t="s">
        <v>35</v>
      </c>
      <c r="G640" t="s">
        <v>331</v>
      </c>
      <c r="H640">
        <v>8</v>
      </c>
      <c r="I640">
        <v>355</v>
      </c>
      <c r="J640">
        <v>20</v>
      </c>
      <c r="K640" t="s">
        <v>19</v>
      </c>
      <c r="L640" t="s">
        <v>20</v>
      </c>
      <c r="M640">
        <v>2272</v>
      </c>
      <c r="N640" t="s">
        <v>38</v>
      </c>
    </row>
    <row r="641" spans="1:14" x14ac:dyDescent="0.25">
      <c r="A641" t="s">
        <v>939</v>
      </c>
      <c r="B641" s="5">
        <v>44949</v>
      </c>
      <c r="C641" t="s">
        <v>165</v>
      </c>
      <c r="D641">
        <v>19</v>
      </c>
      <c r="E641" t="s">
        <v>23</v>
      </c>
      <c r="F641" t="s">
        <v>30</v>
      </c>
      <c r="G641" t="s">
        <v>31</v>
      </c>
      <c r="H641">
        <v>4</v>
      </c>
      <c r="I641">
        <v>2393</v>
      </c>
      <c r="J641">
        <v>0</v>
      </c>
      <c r="K641" t="s">
        <v>41</v>
      </c>
      <c r="L641" t="s">
        <v>20</v>
      </c>
      <c r="M641">
        <v>9572</v>
      </c>
      <c r="N641" t="s">
        <v>38</v>
      </c>
    </row>
    <row r="642" spans="1:14" x14ac:dyDescent="0.25">
      <c r="A642" t="s">
        <v>940</v>
      </c>
      <c r="B642" s="5">
        <v>45005</v>
      </c>
      <c r="C642" t="s">
        <v>43</v>
      </c>
      <c r="D642">
        <v>21</v>
      </c>
      <c r="E642" t="s">
        <v>443</v>
      </c>
      <c r="F642" t="s">
        <v>54</v>
      </c>
      <c r="G642" t="s">
        <v>280</v>
      </c>
      <c r="H642">
        <v>1</v>
      </c>
      <c r="I642">
        <v>53200</v>
      </c>
      <c r="J642">
        <v>0</v>
      </c>
      <c r="K642" t="s">
        <v>19</v>
      </c>
      <c r="L642" t="s">
        <v>20</v>
      </c>
      <c r="M642">
        <v>53200</v>
      </c>
      <c r="N642" t="s">
        <v>38</v>
      </c>
    </row>
    <row r="643" spans="1:14" x14ac:dyDescent="0.25">
      <c r="A643" t="s">
        <v>941</v>
      </c>
      <c r="B643" s="5">
        <v>45234</v>
      </c>
      <c r="C643" t="s">
        <v>942</v>
      </c>
      <c r="D643">
        <v>33</v>
      </c>
      <c r="E643" t="s">
        <v>23</v>
      </c>
      <c r="F643" t="s">
        <v>30</v>
      </c>
      <c r="G643" t="s">
        <v>153</v>
      </c>
      <c r="H643">
        <v>10</v>
      </c>
      <c r="I643">
        <v>1122</v>
      </c>
      <c r="J643">
        <v>15</v>
      </c>
      <c r="K643" t="s">
        <v>19</v>
      </c>
      <c r="L643" t="s">
        <v>20</v>
      </c>
      <c r="M643">
        <v>9537</v>
      </c>
      <c r="N643" t="s">
        <v>26</v>
      </c>
    </row>
    <row r="644" spans="1:14" x14ac:dyDescent="0.25">
      <c r="A644" t="s">
        <v>943</v>
      </c>
      <c r="B644" s="5" t="s">
        <v>481</v>
      </c>
      <c r="C644" t="s">
        <v>62</v>
      </c>
      <c r="D644">
        <v>43</v>
      </c>
      <c r="E644" t="s">
        <v>23</v>
      </c>
      <c r="F644" t="s">
        <v>30</v>
      </c>
      <c r="G644" t="s">
        <v>130</v>
      </c>
      <c r="H644">
        <v>7</v>
      </c>
      <c r="I644">
        <v>2792</v>
      </c>
      <c r="J644">
        <v>50</v>
      </c>
      <c r="K644" t="s">
        <v>25</v>
      </c>
      <c r="L644" t="s">
        <v>20</v>
      </c>
      <c r="M644">
        <v>9772</v>
      </c>
      <c r="N644" t="s">
        <v>45</v>
      </c>
    </row>
    <row r="645" spans="1:14" x14ac:dyDescent="0.25">
      <c r="A645" t="s">
        <v>944</v>
      </c>
      <c r="B645" s="5">
        <v>45284</v>
      </c>
      <c r="C645" t="s">
        <v>43</v>
      </c>
      <c r="D645">
        <v>21</v>
      </c>
      <c r="E645" t="s">
        <v>23</v>
      </c>
      <c r="F645" t="s">
        <v>54</v>
      </c>
      <c r="G645" t="s">
        <v>180</v>
      </c>
      <c r="H645">
        <v>1</v>
      </c>
      <c r="I645">
        <v>26200</v>
      </c>
      <c r="J645">
        <v>15</v>
      </c>
      <c r="K645" t="s">
        <v>19</v>
      </c>
      <c r="L645" t="s">
        <v>51</v>
      </c>
      <c r="M645">
        <v>22270</v>
      </c>
      <c r="N645" t="s">
        <v>38</v>
      </c>
    </row>
    <row r="646" spans="1:14" x14ac:dyDescent="0.25">
      <c r="A646" t="s">
        <v>945</v>
      </c>
      <c r="B646" s="5">
        <v>45288</v>
      </c>
      <c r="C646" t="s">
        <v>15</v>
      </c>
      <c r="D646">
        <v>20</v>
      </c>
      <c r="E646" t="s">
        <v>23</v>
      </c>
      <c r="F646" t="s">
        <v>54</v>
      </c>
      <c r="G646" t="s">
        <v>88</v>
      </c>
      <c r="H646">
        <v>1</v>
      </c>
      <c r="I646">
        <v>40800</v>
      </c>
      <c r="J646">
        <v>10</v>
      </c>
      <c r="K646" t="s">
        <v>19</v>
      </c>
      <c r="L646" t="s">
        <v>204</v>
      </c>
      <c r="M646">
        <v>36720</v>
      </c>
      <c r="N646" t="s">
        <v>26</v>
      </c>
    </row>
    <row r="647" spans="1:14" x14ac:dyDescent="0.25">
      <c r="A647" t="s">
        <v>946</v>
      </c>
      <c r="B647" s="5">
        <v>45049</v>
      </c>
      <c r="C647" t="s">
        <v>368</v>
      </c>
      <c r="D647">
        <v>55</v>
      </c>
      <c r="E647" t="s">
        <v>23</v>
      </c>
      <c r="F647" t="s">
        <v>438</v>
      </c>
      <c r="G647" t="s">
        <v>49</v>
      </c>
      <c r="H647">
        <v>3</v>
      </c>
      <c r="I647">
        <v>850</v>
      </c>
      <c r="J647">
        <v>20</v>
      </c>
      <c r="K647" t="s">
        <v>25</v>
      </c>
      <c r="L647" t="s">
        <v>20</v>
      </c>
      <c r="M647">
        <v>8160</v>
      </c>
      <c r="N647" t="s">
        <v>45</v>
      </c>
    </row>
    <row r="648" spans="1:14" x14ac:dyDescent="0.25">
      <c r="A648" t="s">
        <v>947</v>
      </c>
      <c r="B648" s="5">
        <v>44945</v>
      </c>
      <c r="C648" t="s">
        <v>170</v>
      </c>
      <c r="D648">
        <v>38</v>
      </c>
      <c r="E648" t="s">
        <v>23</v>
      </c>
      <c r="F648" t="s">
        <v>35</v>
      </c>
      <c r="G648" t="s">
        <v>63</v>
      </c>
      <c r="H648">
        <v>2</v>
      </c>
      <c r="I648">
        <v>4017</v>
      </c>
      <c r="J648">
        <v>0</v>
      </c>
      <c r="K648" t="s">
        <v>487</v>
      </c>
      <c r="L648" t="s">
        <v>20</v>
      </c>
      <c r="M648">
        <v>8034</v>
      </c>
      <c r="N648" t="s">
        <v>26</v>
      </c>
    </row>
    <row r="649" spans="1:14" x14ac:dyDescent="0.25">
      <c r="A649" t="s">
        <v>891</v>
      </c>
      <c r="B649" s="5">
        <v>45054</v>
      </c>
      <c r="C649" t="s">
        <v>170</v>
      </c>
      <c r="D649">
        <v>64</v>
      </c>
      <c r="E649" t="s">
        <v>443</v>
      </c>
      <c r="F649" t="s">
        <v>35</v>
      </c>
      <c r="G649" t="s">
        <v>147</v>
      </c>
      <c r="H649">
        <v>0</v>
      </c>
      <c r="I649">
        <v>358</v>
      </c>
      <c r="J649">
        <v>30</v>
      </c>
      <c r="K649" t="s">
        <v>25</v>
      </c>
      <c r="L649" t="s">
        <v>51</v>
      </c>
      <c r="M649">
        <v>0</v>
      </c>
      <c r="N649" t="s">
        <v>38</v>
      </c>
    </row>
    <row r="650" spans="1:14" x14ac:dyDescent="0.25">
      <c r="A650" t="s">
        <v>948</v>
      </c>
      <c r="B650" s="5">
        <v>45245</v>
      </c>
      <c r="C650" t="s">
        <v>165</v>
      </c>
      <c r="D650">
        <v>28</v>
      </c>
      <c r="E650" t="s">
        <v>23</v>
      </c>
      <c r="F650" t="s">
        <v>30</v>
      </c>
      <c r="G650" t="s">
        <v>224</v>
      </c>
      <c r="H650">
        <v>9</v>
      </c>
      <c r="I650">
        <v>1324</v>
      </c>
      <c r="J650">
        <v>15</v>
      </c>
      <c r="K650" t="s">
        <v>50</v>
      </c>
      <c r="L650" t="s">
        <v>20</v>
      </c>
      <c r="M650">
        <v>10128.6</v>
      </c>
      <c r="N650" t="s">
        <v>26</v>
      </c>
    </row>
    <row r="651" spans="1:14" x14ac:dyDescent="0.25">
      <c r="A651" t="s">
        <v>949</v>
      </c>
      <c r="B651" s="5">
        <v>45231</v>
      </c>
      <c r="D651">
        <v>18</v>
      </c>
      <c r="E651" t="s">
        <v>16</v>
      </c>
      <c r="F651" t="s">
        <v>17</v>
      </c>
      <c r="G651" t="s">
        <v>274</v>
      </c>
      <c r="H651">
        <v>3</v>
      </c>
      <c r="I651">
        <v>4400</v>
      </c>
      <c r="J651">
        <v>0</v>
      </c>
      <c r="K651" t="s">
        <v>19</v>
      </c>
      <c r="L651" t="s">
        <v>20</v>
      </c>
      <c r="M651">
        <v>13200</v>
      </c>
      <c r="N651" t="s">
        <v>26</v>
      </c>
    </row>
    <row r="652" spans="1:14" x14ac:dyDescent="0.25">
      <c r="A652" t="s">
        <v>950</v>
      </c>
      <c r="B652" s="5">
        <v>45024</v>
      </c>
      <c r="C652" t="s">
        <v>504</v>
      </c>
      <c r="D652">
        <v>59</v>
      </c>
      <c r="E652" t="s">
        <v>16</v>
      </c>
      <c r="F652" t="s">
        <v>54</v>
      </c>
      <c r="G652" t="s">
        <v>311</v>
      </c>
      <c r="H652">
        <v>2</v>
      </c>
      <c r="I652">
        <v>3500</v>
      </c>
      <c r="J652">
        <v>25</v>
      </c>
      <c r="K652" t="s">
        <v>41</v>
      </c>
      <c r="L652" t="s">
        <v>20</v>
      </c>
      <c r="M652">
        <v>5250</v>
      </c>
      <c r="N652" t="s">
        <v>45</v>
      </c>
    </row>
    <row r="653" spans="1:14" x14ac:dyDescent="0.25">
      <c r="A653" t="s">
        <v>951</v>
      </c>
      <c r="B653" s="5">
        <v>45090</v>
      </c>
      <c r="C653" t="s">
        <v>28</v>
      </c>
      <c r="D653">
        <v>60</v>
      </c>
      <c r="E653" t="s">
        <v>23</v>
      </c>
      <c r="F653" t="s">
        <v>17</v>
      </c>
      <c r="G653" t="s">
        <v>186</v>
      </c>
      <c r="H653">
        <v>1</v>
      </c>
      <c r="I653">
        <v>2400</v>
      </c>
      <c r="J653">
        <v>10</v>
      </c>
      <c r="K653" t="s">
        <v>369</v>
      </c>
      <c r="L653" t="s">
        <v>449</v>
      </c>
      <c r="M653">
        <v>-2160</v>
      </c>
      <c r="N653" t="s">
        <v>409</v>
      </c>
    </row>
    <row r="654" spans="1:14" x14ac:dyDescent="0.25">
      <c r="A654" t="s">
        <v>952</v>
      </c>
      <c r="B654" s="5">
        <v>45049</v>
      </c>
      <c r="D654">
        <v>56</v>
      </c>
      <c r="E654" t="s">
        <v>16</v>
      </c>
      <c r="F654" t="s">
        <v>953</v>
      </c>
      <c r="G654" t="s">
        <v>126</v>
      </c>
      <c r="H654">
        <v>0</v>
      </c>
      <c r="I654">
        <v>432</v>
      </c>
      <c r="J654">
        <v>15</v>
      </c>
      <c r="K654" t="s">
        <v>25</v>
      </c>
      <c r="L654" t="s">
        <v>20</v>
      </c>
      <c r="M654">
        <v>0</v>
      </c>
      <c r="N654" t="s">
        <v>26</v>
      </c>
    </row>
    <row r="655" spans="1:14" x14ac:dyDescent="0.25">
      <c r="A655" t="s">
        <v>954</v>
      </c>
      <c r="B655" s="5">
        <v>45129</v>
      </c>
      <c r="C655" t="s">
        <v>87</v>
      </c>
      <c r="D655">
        <v>58</v>
      </c>
      <c r="E655" t="s">
        <v>23</v>
      </c>
      <c r="F655" t="s">
        <v>30</v>
      </c>
      <c r="G655" t="s">
        <v>218</v>
      </c>
      <c r="H655">
        <v>6</v>
      </c>
      <c r="I655">
        <v>2238</v>
      </c>
      <c r="J655">
        <v>5</v>
      </c>
      <c r="K655" t="s">
        <v>19</v>
      </c>
      <c r="L655" t="s">
        <v>20</v>
      </c>
      <c r="M655">
        <v>12756.6</v>
      </c>
      <c r="N655" t="s">
        <v>38</v>
      </c>
    </row>
    <row r="656" spans="1:14" x14ac:dyDescent="0.25">
      <c r="A656" t="s">
        <v>955</v>
      </c>
      <c r="B656" s="5">
        <v>45280</v>
      </c>
      <c r="C656" t="s">
        <v>110</v>
      </c>
      <c r="D656">
        <v>34</v>
      </c>
      <c r="E656" t="s">
        <v>16</v>
      </c>
      <c r="F656" t="s">
        <v>30</v>
      </c>
      <c r="G656" t="s">
        <v>540</v>
      </c>
      <c r="H656">
        <v>7</v>
      </c>
      <c r="I656">
        <v>3537</v>
      </c>
      <c r="J656">
        <v>0</v>
      </c>
      <c r="K656" t="s">
        <v>41</v>
      </c>
      <c r="L656" t="s">
        <v>51</v>
      </c>
      <c r="M656">
        <v>24759</v>
      </c>
      <c r="N656" t="s">
        <v>38</v>
      </c>
    </row>
    <row r="657" spans="1:14" x14ac:dyDescent="0.25">
      <c r="A657" t="s">
        <v>956</v>
      </c>
      <c r="B657" s="5" t="s">
        <v>1356</v>
      </c>
      <c r="C657" t="s">
        <v>217</v>
      </c>
      <c r="D657">
        <v>34</v>
      </c>
      <c r="E657" t="s">
        <v>16</v>
      </c>
      <c r="F657" t="s">
        <v>17</v>
      </c>
      <c r="G657" t="s">
        <v>189</v>
      </c>
      <c r="H657">
        <v>3</v>
      </c>
      <c r="I657">
        <v>9</v>
      </c>
      <c r="J657">
        <v>0</v>
      </c>
      <c r="K657" t="s">
        <v>50</v>
      </c>
      <c r="L657" t="s">
        <v>20</v>
      </c>
      <c r="M657">
        <v>27</v>
      </c>
      <c r="N657" t="s">
        <v>21</v>
      </c>
    </row>
    <row r="658" spans="1:14" x14ac:dyDescent="0.25">
      <c r="A658" t="s">
        <v>957</v>
      </c>
      <c r="B658" s="5" t="s">
        <v>735</v>
      </c>
      <c r="C658" t="s">
        <v>411</v>
      </c>
      <c r="D658">
        <v>7</v>
      </c>
      <c r="E658" t="s">
        <v>73</v>
      </c>
      <c r="F658" t="s">
        <v>17</v>
      </c>
      <c r="G658" t="s">
        <v>117</v>
      </c>
      <c r="H658">
        <v>2</v>
      </c>
      <c r="I658">
        <v>7350</v>
      </c>
      <c r="J658">
        <v>20</v>
      </c>
      <c r="K658" t="s">
        <v>19</v>
      </c>
      <c r="L658" t="s">
        <v>20</v>
      </c>
      <c r="M658">
        <v>11760</v>
      </c>
      <c r="N658" t="s">
        <v>26</v>
      </c>
    </row>
    <row r="659" spans="1:14" x14ac:dyDescent="0.25">
      <c r="A659" t="s">
        <v>958</v>
      </c>
      <c r="B659" s="5">
        <v>44934</v>
      </c>
      <c r="C659" t="s">
        <v>959</v>
      </c>
      <c r="D659">
        <v>60</v>
      </c>
      <c r="E659" t="s">
        <v>16</v>
      </c>
      <c r="F659" t="s">
        <v>35</v>
      </c>
      <c r="G659" t="s">
        <v>213</v>
      </c>
      <c r="H659">
        <v>5</v>
      </c>
      <c r="I659">
        <v>614</v>
      </c>
      <c r="J659">
        <v>10</v>
      </c>
      <c r="K659" t="s">
        <v>50</v>
      </c>
      <c r="L659" t="s">
        <v>51</v>
      </c>
      <c r="M659">
        <v>2763</v>
      </c>
      <c r="N659" t="s">
        <v>21</v>
      </c>
    </row>
    <row r="660" spans="1:14" x14ac:dyDescent="0.25">
      <c r="A660" t="s">
        <v>960</v>
      </c>
      <c r="B660" s="5">
        <v>45230</v>
      </c>
      <c r="C660" t="s">
        <v>160</v>
      </c>
      <c r="D660">
        <v>26</v>
      </c>
      <c r="E660" t="s">
        <v>23</v>
      </c>
      <c r="F660" t="s">
        <v>35</v>
      </c>
      <c r="G660" t="s">
        <v>126</v>
      </c>
      <c r="H660">
        <v>7</v>
      </c>
      <c r="I660">
        <v>316</v>
      </c>
      <c r="J660">
        <v>10</v>
      </c>
      <c r="K660" t="s">
        <v>19</v>
      </c>
      <c r="L660" t="s">
        <v>20</v>
      </c>
      <c r="M660">
        <v>1990.8</v>
      </c>
      <c r="N660" t="s">
        <v>21</v>
      </c>
    </row>
    <row r="661" spans="1:14" x14ac:dyDescent="0.25">
      <c r="A661" t="s">
        <v>961</v>
      </c>
      <c r="B661" s="5">
        <v>45063</v>
      </c>
      <c r="C661" t="s">
        <v>160</v>
      </c>
      <c r="D661">
        <v>43</v>
      </c>
      <c r="E661" t="s">
        <v>16</v>
      </c>
      <c r="F661" t="s">
        <v>30</v>
      </c>
      <c r="G661" t="s">
        <v>540</v>
      </c>
      <c r="H661">
        <v>10</v>
      </c>
      <c r="I661">
        <v>3331</v>
      </c>
      <c r="J661">
        <v>30</v>
      </c>
      <c r="K661" t="s">
        <v>50</v>
      </c>
      <c r="L661" t="s">
        <v>20</v>
      </c>
      <c r="M661">
        <v>23317</v>
      </c>
      <c r="N661" t="s">
        <v>45</v>
      </c>
    </row>
    <row r="662" spans="1:14" x14ac:dyDescent="0.25">
      <c r="A662" t="s">
        <v>962</v>
      </c>
      <c r="B662" s="5">
        <v>45226</v>
      </c>
      <c r="D662">
        <v>64</v>
      </c>
      <c r="E662" t="s">
        <v>16</v>
      </c>
      <c r="F662" t="s">
        <v>30</v>
      </c>
      <c r="G662" t="s">
        <v>60</v>
      </c>
      <c r="H662">
        <v>9</v>
      </c>
      <c r="I662">
        <v>6762</v>
      </c>
      <c r="K662" t="s">
        <v>50</v>
      </c>
      <c r="L662" t="s">
        <v>20</v>
      </c>
      <c r="M662">
        <v>60858</v>
      </c>
      <c r="N662" t="s">
        <v>38</v>
      </c>
    </row>
    <row r="663" spans="1:14" x14ac:dyDescent="0.25">
      <c r="A663" t="s">
        <v>963</v>
      </c>
      <c r="B663" s="5">
        <v>45142</v>
      </c>
      <c r="C663" t="s">
        <v>355</v>
      </c>
      <c r="D663">
        <v>46</v>
      </c>
      <c r="E663" t="s">
        <v>171</v>
      </c>
      <c r="F663" t="s">
        <v>345</v>
      </c>
      <c r="G663" t="s">
        <v>111</v>
      </c>
      <c r="H663">
        <v>1</v>
      </c>
      <c r="I663">
        <v>358</v>
      </c>
      <c r="J663">
        <v>30</v>
      </c>
      <c r="K663" t="s">
        <v>19</v>
      </c>
      <c r="L663" t="s">
        <v>20</v>
      </c>
      <c r="M663">
        <v>250.6</v>
      </c>
      <c r="N663" t="s">
        <v>21</v>
      </c>
    </row>
    <row r="664" spans="1:14" x14ac:dyDescent="0.25">
      <c r="A664" t="s">
        <v>964</v>
      </c>
      <c r="B664" s="5" t="s">
        <v>614</v>
      </c>
      <c r="C664" t="s">
        <v>156</v>
      </c>
      <c r="D664">
        <v>36</v>
      </c>
      <c r="E664" t="s">
        <v>23</v>
      </c>
      <c r="F664" t="s">
        <v>30</v>
      </c>
      <c r="G664" t="s">
        <v>268</v>
      </c>
      <c r="H664">
        <v>1</v>
      </c>
      <c r="I664">
        <v>1149</v>
      </c>
      <c r="J664">
        <v>80</v>
      </c>
      <c r="K664" t="s">
        <v>105</v>
      </c>
      <c r="L664" t="s">
        <v>204</v>
      </c>
      <c r="M664">
        <v>1149</v>
      </c>
      <c r="N664" t="s">
        <v>45</v>
      </c>
    </row>
    <row r="665" spans="1:14" x14ac:dyDescent="0.25">
      <c r="A665" t="s">
        <v>965</v>
      </c>
      <c r="B665" s="5">
        <v>45209</v>
      </c>
      <c r="C665" t="s">
        <v>740</v>
      </c>
      <c r="D665">
        <v>46</v>
      </c>
      <c r="E665" t="s">
        <v>23</v>
      </c>
      <c r="F665" t="s">
        <v>30</v>
      </c>
      <c r="G665" t="s">
        <v>218</v>
      </c>
      <c r="H665">
        <v>2</v>
      </c>
      <c r="I665">
        <v>2682</v>
      </c>
      <c r="J665">
        <v>5</v>
      </c>
      <c r="K665" t="s">
        <v>41</v>
      </c>
      <c r="L665" t="s">
        <v>684</v>
      </c>
      <c r="M665">
        <v>5095.8</v>
      </c>
      <c r="N665" t="s">
        <v>38</v>
      </c>
    </row>
    <row r="666" spans="1:14" x14ac:dyDescent="0.25">
      <c r="A666" t="s">
        <v>966</v>
      </c>
      <c r="B666" s="5">
        <v>45131</v>
      </c>
      <c r="D666">
        <v>56</v>
      </c>
      <c r="E666" t="s">
        <v>138</v>
      </c>
      <c r="F666" t="s">
        <v>30</v>
      </c>
      <c r="G666" t="s">
        <v>67</v>
      </c>
      <c r="H666">
        <v>5</v>
      </c>
      <c r="I666">
        <v>3913</v>
      </c>
      <c r="J666">
        <v>5</v>
      </c>
      <c r="K666" t="s">
        <v>19</v>
      </c>
      <c r="L666" t="s">
        <v>20</v>
      </c>
      <c r="M666">
        <v>18586.75</v>
      </c>
      <c r="N666" t="s">
        <v>74</v>
      </c>
    </row>
    <row r="667" spans="1:14" x14ac:dyDescent="0.25">
      <c r="A667" t="s">
        <v>967</v>
      </c>
      <c r="B667" s="5">
        <v>45000</v>
      </c>
      <c r="D667">
        <v>34</v>
      </c>
      <c r="E667" t="s">
        <v>23</v>
      </c>
      <c r="F667" t="s">
        <v>30</v>
      </c>
      <c r="G667" t="s">
        <v>67</v>
      </c>
      <c r="H667">
        <v>5</v>
      </c>
      <c r="I667">
        <v>2480</v>
      </c>
      <c r="J667">
        <v>50</v>
      </c>
      <c r="K667" t="s">
        <v>41</v>
      </c>
      <c r="L667" t="s">
        <v>20</v>
      </c>
      <c r="M667">
        <v>6200</v>
      </c>
      <c r="N667" t="s">
        <v>26</v>
      </c>
    </row>
    <row r="668" spans="1:14" x14ac:dyDescent="0.25">
      <c r="A668" t="s">
        <v>968</v>
      </c>
      <c r="B668" s="5">
        <v>45212</v>
      </c>
      <c r="D668">
        <v>28</v>
      </c>
      <c r="E668" t="s">
        <v>23</v>
      </c>
      <c r="F668" t="s">
        <v>250</v>
      </c>
      <c r="G668" t="s">
        <v>186</v>
      </c>
      <c r="H668">
        <v>1</v>
      </c>
      <c r="I668">
        <v>1750</v>
      </c>
      <c r="J668">
        <v>40</v>
      </c>
      <c r="K668" t="s">
        <v>222</v>
      </c>
      <c r="L668" t="s">
        <v>37</v>
      </c>
      <c r="M668">
        <v>1050</v>
      </c>
      <c r="N668" t="s">
        <v>26</v>
      </c>
    </row>
    <row r="669" spans="1:14" x14ac:dyDescent="0.25">
      <c r="A669" t="s">
        <v>969</v>
      </c>
      <c r="B669" s="5">
        <v>45110</v>
      </c>
      <c r="C669" t="s">
        <v>87</v>
      </c>
      <c r="D669">
        <v>24</v>
      </c>
      <c r="E669" t="s">
        <v>16</v>
      </c>
      <c r="F669" t="s">
        <v>30</v>
      </c>
      <c r="G669" t="s">
        <v>31</v>
      </c>
      <c r="H669">
        <v>4</v>
      </c>
      <c r="I669">
        <v>2942</v>
      </c>
      <c r="J669">
        <v>30</v>
      </c>
      <c r="K669" t="s">
        <v>25</v>
      </c>
      <c r="L669" t="s">
        <v>20</v>
      </c>
      <c r="M669">
        <v>8237.6</v>
      </c>
      <c r="N669" t="s">
        <v>45</v>
      </c>
    </row>
    <row r="670" spans="1:14" x14ac:dyDescent="0.25">
      <c r="A670" t="s">
        <v>970</v>
      </c>
      <c r="B670" s="5">
        <v>45104</v>
      </c>
      <c r="C670" t="s">
        <v>62</v>
      </c>
      <c r="D670">
        <v>28</v>
      </c>
      <c r="E670" t="s">
        <v>16</v>
      </c>
      <c r="F670" t="s">
        <v>17</v>
      </c>
      <c r="G670" t="s">
        <v>274</v>
      </c>
      <c r="H670">
        <v>3</v>
      </c>
      <c r="I670">
        <v>3500</v>
      </c>
      <c r="J670">
        <v>10</v>
      </c>
      <c r="K670" t="s">
        <v>41</v>
      </c>
      <c r="L670" t="s">
        <v>20</v>
      </c>
      <c r="M670">
        <v>9450</v>
      </c>
      <c r="N670" t="s">
        <v>38</v>
      </c>
    </row>
    <row r="671" spans="1:14" x14ac:dyDescent="0.25">
      <c r="A671" t="s">
        <v>971</v>
      </c>
      <c r="B671" s="5">
        <v>44999</v>
      </c>
      <c r="C671" t="s">
        <v>182</v>
      </c>
      <c r="D671">
        <v>43</v>
      </c>
      <c r="E671" t="s">
        <v>16</v>
      </c>
      <c r="F671" t="s">
        <v>54</v>
      </c>
      <c r="G671" t="s">
        <v>282</v>
      </c>
      <c r="H671">
        <v>2</v>
      </c>
      <c r="I671">
        <v>13800</v>
      </c>
      <c r="J671">
        <v>0</v>
      </c>
      <c r="K671" t="s">
        <v>19</v>
      </c>
      <c r="L671" t="s">
        <v>56</v>
      </c>
      <c r="M671">
        <v>27600</v>
      </c>
      <c r="N671" t="s">
        <v>38</v>
      </c>
    </row>
    <row r="672" spans="1:14" x14ac:dyDescent="0.25">
      <c r="A672" t="s">
        <v>972</v>
      </c>
      <c r="B672" s="5">
        <v>45076</v>
      </c>
      <c r="E672" t="s">
        <v>16</v>
      </c>
      <c r="F672" t="s">
        <v>30</v>
      </c>
      <c r="G672" t="s">
        <v>268</v>
      </c>
      <c r="H672">
        <v>6</v>
      </c>
      <c r="I672">
        <v>1665</v>
      </c>
      <c r="J672">
        <v>5</v>
      </c>
      <c r="K672" t="s">
        <v>50</v>
      </c>
      <c r="L672" t="s">
        <v>56</v>
      </c>
      <c r="M672">
        <v>9490.5</v>
      </c>
      <c r="N672" t="s">
        <v>38</v>
      </c>
    </row>
    <row r="673" spans="1:14" x14ac:dyDescent="0.25">
      <c r="A673" t="s">
        <v>973</v>
      </c>
      <c r="B673" s="5">
        <v>45285</v>
      </c>
      <c r="C673" t="s">
        <v>217</v>
      </c>
      <c r="D673">
        <v>64</v>
      </c>
      <c r="E673" t="s">
        <v>23</v>
      </c>
      <c r="F673" t="s">
        <v>54</v>
      </c>
      <c r="G673" t="s">
        <v>348</v>
      </c>
      <c r="H673">
        <v>1</v>
      </c>
      <c r="I673">
        <v>2700</v>
      </c>
      <c r="J673">
        <v>5</v>
      </c>
      <c r="K673" t="s">
        <v>25</v>
      </c>
      <c r="L673" t="s">
        <v>20</v>
      </c>
      <c r="M673">
        <v>2565</v>
      </c>
      <c r="N673" t="s">
        <v>21</v>
      </c>
    </row>
    <row r="674" spans="1:14" x14ac:dyDescent="0.25">
      <c r="A674" t="s">
        <v>974</v>
      </c>
      <c r="B674" s="5">
        <v>45057</v>
      </c>
      <c r="C674" t="s">
        <v>413</v>
      </c>
      <c r="D674">
        <v>38</v>
      </c>
      <c r="E674" t="s">
        <v>23</v>
      </c>
      <c r="F674" t="s">
        <v>35</v>
      </c>
      <c r="G674" t="s">
        <v>158</v>
      </c>
      <c r="H674">
        <v>1</v>
      </c>
      <c r="I674">
        <v>436</v>
      </c>
      <c r="J674">
        <v>0</v>
      </c>
      <c r="K674" t="s">
        <v>19</v>
      </c>
      <c r="L674" t="s">
        <v>56</v>
      </c>
      <c r="M674">
        <v>1744</v>
      </c>
      <c r="N674" t="s">
        <v>26</v>
      </c>
    </row>
    <row r="675" spans="1:14" x14ac:dyDescent="0.25">
      <c r="A675" t="s">
        <v>975</v>
      </c>
      <c r="B675" s="5">
        <v>45172</v>
      </c>
      <c r="C675" t="s">
        <v>152</v>
      </c>
      <c r="D675">
        <v>43</v>
      </c>
      <c r="E675" t="s">
        <v>16</v>
      </c>
      <c r="F675" t="s">
        <v>35</v>
      </c>
      <c r="G675" t="s">
        <v>147</v>
      </c>
      <c r="H675">
        <v>99</v>
      </c>
      <c r="I675">
        <v>426</v>
      </c>
      <c r="J675">
        <v>20</v>
      </c>
      <c r="K675" t="s">
        <v>89</v>
      </c>
      <c r="L675" t="s">
        <v>56</v>
      </c>
      <c r="M675">
        <v>33739.199999999997</v>
      </c>
      <c r="N675" t="s">
        <v>225</v>
      </c>
    </row>
    <row r="676" spans="1:14" x14ac:dyDescent="0.25">
      <c r="A676" t="s">
        <v>976</v>
      </c>
      <c r="B676" s="5" t="s">
        <v>1356</v>
      </c>
      <c r="D676">
        <v>43</v>
      </c>
      <c r="E676" t="s">
        <v>490</v>
      </c>
      <c r="F676" t="s">
        <v>30</v>
      </c>
      <c r="G676" t="s">
        <v>60</v>
      </c>
      <c r="H676">
        <v>1</v>
      </c>
      <c r="I676">
        <v>8601</v>
      </c>
      <c r="J676">
        <v>0</v>
      </c>
      <c r="K676" t="s">
        <v>445</v>
      </c>
      <c r="L676" t="s">
        <v>20</v>
      </c>
      <c r="M676">
        <v>8601</v>
      </c>
      <c r="N676" t="s">
        <v>38</v>
      </c>
    </row>
    <row r="677" spans="1:14" x14ac:dyDescent="0.25">
      <c r="A677" t="s">
        <v>977</v>
      </c>
      <c r="B677" s="5">
        <v>45117</v>
      </c>
      <c r="C677" t="s">
        <v>160</v>
      </c>
      <c r="D677">
        <v>53</v>
      </c>
      <c r="E677" t="s">
        <v>23</v>
      </c>
      <c r="F677" t="s">
        <v>17</v>
      </c>
      <c r="G677" t="s">
        <v>40</v>
      </c>
      <c r="H677">
        <v>3</v>
      </c>
      <c r="I677">
        <v>5100</v>
      </c>
      <c r="J677">
        <v>0</v>
      </c>
      <c r="K677" t="s">
        <v>25</v>
      </c>
      <c r="L677" t="s">
        <v>20</v>
      </c>
      <c r="M677">
        <v>5100</v>
      </c>
      <c r="N677" t="s">
        <v>26</v>
      </c>
    </row>
    <row r="678" spans="1:14" x14ac:dyDescent="0.25">
      <c r="A678" t="s">
        <v>978</v>
      </c>
      <c r="B678" s="5">
        <v>45146</v>
      </c>
      <c r="C678" t="s">
        <v>28</v>
      </c>
      <c r="D678">
        <v>43</v>
      </c>
      <c r="E678" t="s">
        <v>443</v>
      </c>
      <c r="F678" t="s">
        <v>35</v>
      </c>
      <c r="G678" t="s">
        <v>331</v>
      </c>
      <c r="H678">
        <v>1</v>
      </c>
      <c r="I678">
        <v>329</v>
      </c>
      <c r="J678">
        <v>10</v>
      </c>
      <c r="K678" t="s">
        <v>50</v>
      </c>
      <c r="L678" t="s">
        <v>20</v>
      </c>
      <c r="M678">
        <v>329</v>
      </c>
      <c r="N678" t="s">
        <v>45</v>
      </c>
    </row>
    <row r="679" spans="1:14" x14ac:dyDescent="0.25">
      <c r="A679" t="s">
        <v>979</v>
      </c>
      <c r="B679" s="5">
        <v>45167</v>
      </c>
      <c r="C679" t="s">
        <v>79</v>
      </c>
      <c r="D679">
        <v>45</v>
      </c>
      <c r="E679" t="s">
        <v>23</v>
      </c>
      <c r="F679" t="s">
        <v>17</v>
      </c>
      <c r="G679" t="s">
        <v>189</v>
      </c>
      <c r="H679">
        <v>-1</v>
      </c>
      <c r="I679">
        <v>2750</v>
      </c>
      <c r="J679">
        <v>20</v>
      </c>
      <c r="K679" t="s">
        <v>19</v>
      </c>
      <c r="L679" t="s">
        <v>51</v>
      </c>
      <c r="M679">
        <v>-2200</v>
      </c>
      <c r="N679" t="s">
        <v>894</v>
      </c>
    </row>
    <row r="680" spans="1:14" x14ac:dyDescent="0.25">
      <c r="A680" t="s">
        <v>980</v>
      </c>
      <c r="B680" s="5">
        <v>45172</v>
      </c>
      <c r="C680" t="s">
        <v>176</v>
      </c>
      <c r="D680">
        <v>7</v>
      </c>
      <c r="E680" t="s">
        <v>16</v>
      </c>
      <c r="F680" t="s">
        <v>54</v>
      </c>
      <c r="G680" t="s">
        <v>280</v>
      </c>
      <c r="H680">
        <v>2</v>
      </c>
      <c r="I680">
        <v>68300</v>
      </c>
      <c r="J680">
        <v>40</v>
      </c>
      <c r="K680" t="s">
        <v>25</v>
      </c>
      <c r="L680" t="s">
        <v>20</v>
      </c>
      <c r="M680">
        <v>81960</v>
      </c>
      <c r="N680" t="s">
        <v>21</v>
      </c>
    </row>
    <row r="681" spans="1:14" x14ac:dyDescent="0.25">
      <c r="A681" t="s">
        <v>534</v>
      </c>
      <c r="B681" s="5" t="s">
        <v>535</v>
      </c>
      <c r="D681">
        <v>18</v>
      </c>
      <c r="E681" t="s">
        <v>16</v>
      </c>
      <c r="F681" t="s">
        <v>17</v>
      </c>
      <c r="G681" t="s">
        <v>492</v>
      </c>
      <c r="H681">
        <v>2</v>
      </c>
      <c r="I681">
        <v>4150</v>
      </c>
      <c r="J681">
        <v>5</v>
      </c>
      <c r="K681" t="s">
        <v>41</v>
      </c>
      <c r="L681" t="s">
        <v>20</v>
      </c>
      <c r="M681">
        <v>7885</v>
      </c>
      <c r="N681" t="s">
        <v>352</v>
      </c>
    </row>
    <row r="682" spans="1:14" x14ac:dyDescent="0.25">
      <c r="A682" t="s">
        <v>981</v>
      </c>
      <c r="B682" s="5">
        <v>45201</v>
      </c>
      <c r="C682" t="s">
        <v>102</v>
      </c>
      <c r="D682">
        <v>42</v>
      </c>
      <c r="E682" t="s">
        <v>23</v>
      </c>
      <c r="F682" t="s">
        <v>35</v>
      </c>
      <c r="G682" t="s">
        <v>331</v>
      </c>
      <c r="H682">
        <v>6</v>
      </c>
      <c r="I682">
        <v>225</v>
      </c>
      <c r="J682">
        <v>10</v>
      </c>
      <c r="K682" t="s">
        <v>19</v>
      </c>
      <c r="L682" t="s">
        <v>20</v>
      </c>
      <c r="M682">
        <v>1215</v>
      </c>
      <c r="N682" t="s">
        <v>45</v>
      </c>
    </row>
    <row r="683" spans="1:14" x14ac:dyDescent="0.25">
      <c r="A683" t="s">
        <v>982</v>
      </c>
      <c r="B683" s="5">
        <v>45057</v>
      </c>
      <c r="C683" t="s">
        <v>152</v>
      </c>
      <c r="D683">
        <v>55</v>
      </c>
      <c r="E683" t="s">
        <v>29</v>
      </c>
      <c r="F683" t="s">
        <v>30</v>
      </c>
      <c r="G683" t="s">
        <v>31</v>
      </c>
      <c r="H683">
        <v>5</v>
      </c>
      <c r="I683">
        <v>1874</v>
      </c>
      <c r="J683">
        <v>0</v>
      </c>
      <c r="K683" t="s">
        <v>41</v>
      </c>
      <c r="L683" t="s">
        <v>20</v>
      </c>
      <c r="M683">
        <v>9370</v>
      </c>
      <c r="N683" t="s">
        <v>38</v>
      </c>
    </row>
    <row r="684" spans="1:14" x14ac:dyDescent="0.25">
      <c r="A684" t="s">
        <v>983</v>
      </c>
      <c r="B684" s="5">
        <v>44990</v>
      </c>
      <c r="C684" t="s">
        <v>87</v>
      </c>
      <c r="D684">
        <v>52</v>
      </c>
      <c r="E684" t="s">
        <v>23</v>
      </c>
      <c r="F684" t="s">
        <v>35</v>
      </c>
      <c r="G684" t="s">
        <v>331</v>
      </c>
      <c r="H684">
        <v>6</v>
      </c>
      <c r="I684">
        <v>309</v>
      </c>
      <c r="J684">
        <v>15</v>
      </c>
      <c r="K684" t="s">
        <v>25</v>
      </c>
      <c r="L684" t="s">
        <v>449</v>
      </c>
      <c r="M684">
        <v>1575.9</v>
      </c>
      <c r="N684" t="s">
        <v>45</v>
      </c>
    </row>
    <row r="685" spans="1:14" x14ac:dyDescent="0.25">
      <c r="A685" t="s">
        <v>984</v>
      </c>
      <c r="B685" s="5">
        <v>45090</v>
      </c>
      <c r="C685" t="s">
        <v>393</v>
      </c>
      <c r="D685">
        <v>23</v>
      </c>
      <c r="E685" t="s">
        <v>138</v>
      </c>
      <c r="F685" t="s">
        <v>17</v>
      </c>
      <c r="G685" t="s">
        <v>492</v>
      </c>
      <c r="H685">
        <v>1</v>
      </c>
      <c r="I685">
        <v>2900</v>
      </c>
      <c r="K685" t="s">
        <v>19</v>
      </c>
      <c r="L685" t="s">
        <v>51</v>
      </c>
      <c r="M685">
        <v>2900</v>
      </c>
      <c r="N685" t="s">
        <v>26</v>
      </c>
    </row>
    <row r="686" spans="1:14" x14ac:dyDescent="0.25">
      <c r="A686" t="s">
        <v>985</v>
      </c>
      <c r="B686" s="5">
        <v>44963</v>
      </c>
      <c r="C686" t="s">
        <v>318</v>
      </c>
      <c r="D686">
        <v>51</v>
      </c>
      <c r="E686" t="s">
        <v>16</v>
      </c>
      <c r="F686" t="s">
        <v>17</v>
      </c>
      <c r="G686" t="s">
        <v>492</v>
      </c>
      <c r="H686">
        <v>3</v>
      </c>
      <c r="I686">
        <v>1900</v>
      </c>
      <c r="J686">
        <v>30</v>
      </c>
      <c r="K686" t="s">
        <v>25</v>
      </c>
      <c r="L686" t="s">
        <v>56</v>
      </c>
      <c r="M686">
        <v>3990</v>
      </c>
      <c r="N686" t="s">
        <v>38</v>
      </c>
    </row>
    <row r="687" spans="1:14" x14ac:dyDescent="0.25">
      <c r="A687" t="s">
        <v>986</v>
      </c>
      <c r="B687" s="5">
        <v>45150</v>
      </c>
      <c r="C687" t="s">
        <v>43</v>
      </c>
      <c r="D687">
        <v>58</v>
      </c>
      <c r="E687" t="s">
        <v>16</v>
      </c>
      <c r="F687" t="s">
        <v>30</v>
      </c>
      <c r="G687" t="s">
        <v>235</v>
      </c>
      <c r="H687">
        <v>5</v>
      </c>
      <c r="I687">
        <v>1610</v>
      </c>
      <c r="J687">
        <v>10</v>
      </c>
      <c r="K687" t="s">
        <v>25</v>
      </c>
      <c r="L687" t="s">
        <v>20</v>
      </c>
      <c r="M687">
        <v>7245</v>
      </c>
      <c r="N687" t="s">
        <v>21</v>
      </c>
    </row>
    <row r="688" spans="1:14" x14ac:dyDescent="0.25">
      <c r="A688" t="s">
        <v>987</v>
      </c>
      <c r="B688" s="5">
        <v>44939</v>
      </c>
      <c r="D688">
        <v>55</v>
      </c>
      <c r="E688" t="s">
        <v>23</v>
      </c>
      <c r="F688" t="s">
        <v>17</v>
      </c>
      <c r="G688" t="s">
        <v>117</v>
      </c>
      <c r="H688">
        <v>3</v>
      </c>
      <c r="I688">
        <v>7000</v>
      </c>
      <c r="J688">
        <v>0</v>
      </c>
      <c r="K688" t="s">
        <v>19</v>
      </c>
      <c r="L688" t="s">
        <v>51</v>
      </c>
      <c r="M688">
        <v>21000</v>
      </c>
      <c r="N688" t="s">
        <v>685</v>
      </c>
    </row>
    <row r="689" spans="1:14" x14ac:dyDescent="0.25">
      <c r="A689" t="s">
        <v>988</v>
      </c>
      <c r="B689" s="5" t="s">
        <v>989</v>
      </c>
      <c r="C689" t="s">
        <v>413</v>
      </c>
      <c r="D689">
        <v>19</v>
      </c>
      <c r="E689" t="s">
        <v>490</v>
      </c>
      <c r="F689" t="s">
        <v>17</v>
      </c>
      <c r="G689" t="s">
        <v>40</v>
      </c>
      <c r="H689">
        <v>2</v>
      </c>
      <c r="I689">
        <v>4600</v>
      </c>
      <c r="J689">
        <v>0</v>
      </c>
      <c r="K689" t="s">
        <v>41</v>
      </c>
      <c r="L689" t="s">
        <v>20</v>
      </c>
      <c r="M689">
        <v>9200</v>
      </c>
      <c r="N689" t="s">
        <v>38</v>
      </c>
    </row>
    <row r="690" spans="1:14" x14ac:dyDescent="0.25">
      <c r="A690" t="s">
        <v>990</v>
      </c>
      <c r="B690" s="5" t="s">
        <v>1383</v>
      </c>
      <c r="C690" t="s">
        <v>628</v>
      </c>
      <c r="D690">
        <v>27</v>
      </c>
      <c r="E690" t="s">
        <v>23</v>
      </c>
      <c r="F690" t="s">
        <v>17</v>
      </c>
      <c r="G690" t="s">
        <v>189</v>
      </c>
      <c r="H690">
        <v>3</v>
      </c>
      <c r="I690">
        <v>4800</v>
      </c>
      <c r="J690">
        <v>0</v>
      </c>
      <c r="K690" t="s">
        <v>89</v>
      </c>
      <c r="L690" t="s">
        <v>51</v>
      </c>
      <c r="M690">
        <v>14400</v>
      </c>
      <c r="N690" t="s">
        <v>21</v>
      </c>
    </row>
    <row r="691" spans="1:14" x14ac:dyDescent="0.25">
      <c r="A691" t="s">
        <v>991</v>
      </c>
      <c r="B691" s="5" t="s">
        <v>992</v>
      </c>
      <c r="C691" t="s">
        <v>152</v>
      </c>
      <c r="D691">
        <v>53</v>
      </c>
      <c r="E691" t="s">
        <v>16</v>
      </c>
      <c r="F691" t="s">
        <v>30</v>
      </c>
      <c r="G691" t="s">
        <v>195</v>
      </c>
      <c r="H691">
        <v>4</v>
      </c>
      <c r="I691">
        <v>4941</v>
      </c>
      <c r="J691">
        <v>0</v>
      </c>
      <c r="K691" t="s">
        <v>19</v>
      </c>
      <c r="L691" t="s">
        <v>20</v>
      </c>
      <c r="M691">
        <v>19764</v>
      </c>
      <c r="N691" t="s">
        <v>26</v>
      </c>
    </row>
    <row r="692" spans="1:14" x14ac:dyDescent="0.25">
      <c r="A692" t="s">
        <v>993</v>
      </c>
      <c r="B692" s="5">
        <v>44980</v>
      </c>
      <c r="C692" t="s">
        <v>28</v>
      </c>
      <c r="D692">
        <v>28</v>
      </c>
      <c r="E692" t="s">
        <v>16</v>
      </c>
      <c r="F692" t="s">
        <v>30</v>
      </c>
      <c r="G692" t="s">
        <v>153</v>
      </c>
      <c r="H692">
        <v>2</v>
      </c>
      <c r="I692">
        <v>1830</v>
      </c>
      <c r="J692">
        <v>0</v>
      </c>
      <c r="K692" t="s">
        <v>487</v>
      </c>
      <c r="L692" t="s">
        <v>20</v>
      </c>
      <c r="M692">
        <v>3660</v>
      </c>
      <c r="N692" t="s">
        <v>38</v>
      </c>
    </row>
    <row r="693" spans="1:14" x14ac:dyDescent="0.25">
      <c r="A693" t="s">
        <v>994</v>
      </c>
      <c r="B693" s="5">
        <v>44937</v>
      </c>
      <c r="D693">
        <v>30</v>
      </c>
      <c r="E693" t="s">
        <v>16</v>
      </c>
      <c r="F693" t="s">
        <v>17</v>
      </c>
      <c r="G693" t="s">
        <v>297</v>
      </c>
      <c r="H693">
        <v>0</v>
      </c>
      <c r="I693">
        <v>5650</v>
      </c>
      <c r="J693">
        <v>40</v>
      </c>
      <c r="K693" t="s">
        <v>41</v>
      </c>
      <c r="L693" t="s">
        <v>20</v>
      </c>
      <c r="M693">
        <v>0</v>
      </c>
      <c r="N693" t="s">
        <v>45</v>
      </c>
    </row>
    <row r="694" spans="1:14" x14ac:dyDescent="0.25">
      <c r="A694" t="s">
        <v>995</v>
      </c>
      <c r="B694" s="5">
        <v>45006</v>
      </c>
      <c r="C694" t="s">
        <v>160</v>
      </c>
      <c r="D694">
        <v>58</v>
      </c>
      <c r="E694" t="s">
        <v>23</v>
      </c>
      <c r="F694" t="s">
        <v>35</v>
      </c>
      <c r="G694" t="s">
        <v>257</v>
      </c>
      <c r="H694">
        <v>6</v>
      </c>
      <c r="I694">
        <v>1233</v>
      </c>
      <c r="J694">
        <v>0</v>
      </c>
      <c r="K694" t="s">
        <v>25</v>
      </c>
      <c r="L694" t="s">
        <v>20</v>
      </c>
      <c r="M694">
        <v>7398</v>
      </c>
      <c r="N694" t="s">
        <v>38</v>
      </c>
    </row>
    <row r="695" spans="1:14" x14ac:dyDescent="0.25">
      <c r="A695" t="s">
        <v>996</v>
      </c>
      <c r="B695" s="5">
        <v>45053</v>
      </c>
      <c r="C695" t="s">
        <v>28</v>
      </c>
      <c r="D695">
        <v>30</v>
      </c>
      <c r="E695" t="s">
        <v>490</v>
      </c>
      <c r="F695" t="s">
        <v>30</v>
      </c>
      <c r="G695" t="s">
        <v>60</v>
      </c>
      <c r="H695">
        <v>2</v>
      </c>
      <c r="I695">
        <v>6230</v>
      </c>
      <c r="J695">
        <v>0</v>
      </c>
      <c r="K695" t="s">
        <v>41</v>
      </c>
      <c r="L695" t="s">
        <v>20</v>
      </c>
      <c r="M695">
        <v>12460</v>
      </c>
      <c r="N695" t="s">
        <v>21</v>
      </c>
    </row>
    <row r="696" spans="1:14" x14ac:dyDescent="0.25">
      <c r="A696" t="s">
        <v>997</v>
      </c>
      <c r="B696" s="5">
        <v>44989</v>
      </c>
      <c r="C696" t="s">
        <v>160</v>
      </c>
      <c r="D696">
        <v>39</v>
      </c>
      <c r="E696" t="s">
        <v>23</v>
      </c>
      <c r="F696" t="s">
        <v>35</v>
      </c>
      <c r="G696" t="s">
        <v>213</v>
      </c>
      <c r="H696">
        <v>2</v>
      </c>
      <c r="I696">
        <v>4</v>
      </c>
      <c r="J696">
        <v>0</v>
      </c>
      <c r="K696" t="s">
        <v>19</v>
      </c>
      <c r="L696" t="s">
        <v>204</v>
      </c>
      <c r="M696">
        <v>8</v>
      </c>
      <c r="N696" t="s">
        <v>38</v>
      </c>
    </row>
    <row r="697" spans="1:14" x14ac:dyDescent="0.25">
      <c r="A697" t="s">
        <v>998</v>
      </c>
      <c r="B697" s="5">
        <v>45285</v>
      </c>
      <c r="C697" t="s">
        <v>616</v>
      </c>
      <c r="D697">
        <v>46</v>
      </c>
      <c r="E697" t="s">
        <v>73</v>
      </c>
      <c r="F697" t="s">
        <v>54</v>
      </c>
      <c r="G697" t="s">
        <v>280</v>
      </c>
      <c r="H697">
        <v>2</v>
      </c>
      <c r="I697">
        <v>76600</v>
      </c>
      <c r="J697">
        <v>5</v>
      </c>
      <c r="K697" t="s">
        <v>222</v>
      </c>
      <c r="L697" t="s">
        <v>20</v>
      </c>
      <c r="M697">
        <v>145540</v>
      </c>
      <c r="N697" t="s">
        <v>26</v>
      </c>
    </row>
    <row r="698" spans="1:14" x14ac:dyDescent="0.25">
      <c r="A698" t="s">
        <v>999</v>
      </c>
      <c r="B698" s="5">
        <v>45272</v>
      </c>
      <c r="D698">
        <v>65</v>
      </c>
      <c r="E698" t="s">
        <v>16</v>
      </c>
      <c r="F698" t="s">
        <v>35</v>
      </c>
      <c r="G698" t="s">
        <v>271</v>
      </c>
      <c r="H698">
        <v>0</v>
      </c>
      <c r="I698">
        <v>514</v>
      </c>
      <c r="J698">
        <v>10</v>
      </c>
      <c r="K698" t="s">
        <v>531</v>
      </c>
      <c r="L698" t="s">
        <v>20</v>
      </c>
      <c r="M698">
        <v>0</v>
      </c>
      <c r="N698" t="s">
        <v>21</v>
      </c>
    </row>
    <row r="699" spans="1:14" x14ac:dyDescent="0.25">
      <c r="A699" t="s">
        <v>1000</v>
      </c>
      <c r="B699" s="5">
        <v>44991</v>
      </c>
      <c r="C699" t="s">
        <v>366</v>
      </c>
      <c r="D699">
        <v>27</v>
      </c>
      <c r="E699" t="s">
        <v>16</v>
      </c>
      <c r="F699" t="s">
        <v>54</v>
      </c>
      <c r="G699" t="s">
        <v>180</v>
      </c>
      <c r="H699">
        <v>2</v>
      </c>
      <c r="I699">
        <v>21300</v>
      </c>
      <c r="J699">
        <v>0</v>
      </c>
      <c r="K699" t="s">
        <v>41</v>
      </c>
      <c r="L699" t="s">
        <v>20</v>
      </c>
      <c r="M699">
        <v>42600</v>
      </c>
      <c r="N699" t="s">
        <v>26</v>
      </c>
    </row>
    <row r="700" spans="1:14" x14ac:dyDescent="0.25">
      <c r="A700" t="s">
        <v>1001</v>
      </c>
      <c r="B700" s="5">
        <v>45284</v>
      </c>
      <c r="C700" t="s">
        <v>102</v>
      </c>
      <c r="D700">
        <v>65</v>
      </c>
      <c r="E700" t="s">
        <v>23</v>
      </c>
      <c r="F700" t="s">
        <v>54</v>
      </c>
      <c r="G700" t="s">
        <v>55</v>
      </c>
      <c r="H700">
        <v>1</v>
      </c>
      <c r="I700">
        <v>31200</v>
      </c>
      <c r="J700">
        <v>15</v>
      </c>
      <c r="K700" t="s">
        <v>369</v>
      </c>
      <c r="L700" t="s">
        <v>20</v>
      </c>
      <c r="M700">
        <v>26520</v>
      </c>
      <c r="N700" t="s">
        <v>38</v>
      </c>
    </row>
    <row r="701" spans="1:14" x14ac:dyDescent="0.25">
      <c r="A701" t="s">
        <v>1002</v>
      </c>
      <c r="B701" s="5">
        <v>45249</v>
      </c>
      <c r="C701" t="s">
        <v>217</v>
      </c>
      <c r="D701">
        <v>20</v>
      </c>
      <c r="E701" t="s">
        <v>16</v>
      </c>
      <c r="F701" t="s">
        <v>35</v>
      </c>
      <c r="G701" t="s">
        <v>257</v>
      </c>
      <c r="H701">
        <v>9</v>
      </c>
      <c r="I701">
        <v>1102</v>
      </c>
      <c r="J701">
        <v>50</v>
      </c>
      <c r="K701" t="s">
        <v>25</v>
      </c>
      <c r="L701" t="s">
        <v>56</v>
      </c>
      <c r="M701">
        <v>4959</v>
      </c>
      <c r="N701" t="s">
        <v>21</v>
      </c>
    </row>
    <row r="702" spans="1:14" x14ac:dyDescent="0.25">
      <c r="A702" t="s">
        <v>1003</v>
      </c>
      <c r="B702" s="5">
        <v>45129</v>
      </c>
      <c r="C702" t="s">
        <v>142</v>
      </c>
      <c r="D702">
        <v>31</v>
      </c>
      <c r="E702" t="s">
        <v>16</v>
      </c>
      <c r="F702" t="s">
        <v>30</v>
      </c>
      <c r="G702" t="s">
        <v>294</v>
      </c>
      <c r="H702">
        <v>5</v>
      </c>
      <c r="I702">
        <v>554</v>
      </c>
      <c r="J702">
        <v>0</v>
      </c>
      <c r="K702" t="s">
        <v>381</v>
      </c>
      <c r="L702" t="s">
        <v>20</v>
      </c>
      <c r="M702">
        <v>2770</v>
      </c>
      <c r="N702" t="s">
        <v>21</v>
      </c>
    </row>
    <row r="703" spans="1:14" x14ac:dyDescent="0.25">
      <c r="A703" t="s">
        <v>1004</v>
      </c>
      <c r="B703" s="5" t="s">
        <v>1356</v>
      </c>
      <c r="D703">
        <v>36</v>
      </c>
      <c r="E703" t="s">
        <v>23</v>
      </c>
      <c r="F703" t="s">
        <v>91</v>
      </c>
      <c r="G703" t="s">
        <v>348</v>
      </c>
      <c r="H703">
        <v>2</v>
      </c>
      <c r="I703">
        <v>3400</v>
      </c>
      <c r="J703">
        <v>0</v>
      </c>
      <c r="K703" t="s">
        <v>19</v>
      </c>
      <c r="L703" t="s">
        <v>20</v>
      </c>
      <c r="M703">
        <v>6800</v>
      </c>
      <c r="N703" t="s">
        <v>21</v>
      </c>
    </row>
    <row r="704" spans="1:14" x14ac:dyDescent="0.25">
      <c r="A704" t="s">
        <v>1005</v>
      </c>
      <c r="B704" s="5" t="s">
        <v>1384</v>
      </c>
      <c r="D704">
        <v>64</v>
      </c>
      <c r="E704" t="s">
        <v>16</v>
      </c>
      <c r="F704" t="s">
        <v>30</v>
      </c>
      <c r="G704" t="s">
        <v>135</v>
      </c>
      <c r="H704">
        <v>3</v>
      </c>
      <c r="I704">
        <v>8765</v>
      </c>
      <c r="J704">
        <v>0</v>
      </c>
      <c r="K704" t="s">
        <v>41</v>
      </c>
      <c r="L704" t="s">
        <v>20</v>
      </c>
      <c r="M704">
        <v>26295</v>
      </c>
      <c r="N704" t="s">
        <v>276</v>
      </c>
    </row>
    <row r="705" spans="1:14" x14ac:dyDescent="0.25">
      <c r="A705" t="s">
        <v>1006</v>
      </c>
      <c r="B705" s="5" t="s">
        <v>1356</v>
      </c>
      <c r="C705" t="s">
        <v>198</v>
      </c>
      <c r="D705">
        <v>37</v>
      </c>
      <c r="E705" t="s">
        <v>16</v>
      </c>
      <c r="F705" t="s">
        <v>54</v>
      </c>
      <c r="G705" t="s">
        <v>104</v>
      </c>
      <c r="H705">
        <v>1</v>
      </c>
      <c r="I705">
        <v>12400</v>
      </c>
      <c r="J705">
        <v>40</v>
      </c>
      <c r="K705" t="s">
        <v>19</v>
      </c>
      <c r="L705" t="s">
        <v>51</v>
      </c>
      <c r="M705">
        <v>7440</v>
      </c>
      <c r="N705" t="s">
        <v>45</v>
      </c>
    </row>
    <row r="706" spans="1:14" x14ac:dyDescent="0.25">
      <c r="A706" t="s">
        <v>1007</v>
      </c>
      <c r="B706" s="5">
        <v>45014</v>
      </c>
      <c r="C706" t="s">
        <v>176</v>
      </c>
      <c r="D706">
        <v>23</v>
      </c>
      <c r="E706" t="s">
        <v>23</v>
      </c>
      <c r="F706" t="s">
        <v>347</v>
      </c>
      <c r="G706" t="s">
        <v>311</v>
      </c>
      <c r="H706">
        <v>2</v>
      </c>
      <c r="I706">
        <v>4000</v>
      </c>
      <c r="J706">
        <v>25</v>
      </c>
      <c r="K706" t="s">
        <v>50</v>
      </c>
      <c r="L706" t="s">
        <v>20</v>
      </c>
      <c r="M706">
        <v>6000</v>
      </c>
      <c r="N706" t="s">
        <v>26</v>
      </c>
    </row>
    <row r="707" spans="1:14" x14ac:dyDescent="0.25">
      <c r="A707" t="s">
        <v>1008</v>
      </c>
      <c r="B707" s="5" t="s">
        <v>466</v>
      </c>
      <c r="C707" t="s">
        <v>87</v>
      </c>
      <c r="D707">
        <v>59</v>
      </c>
      <c r="E707" t="s">
        <v>16</v>
      </c>
      <c r="F707" t="s">
        <v>17</v>
      </c>
      <c r="G707" t="s">
        <v>18</v>
      </c>
      <c r="H707">
        <v>3</v>
      </c>
      <c r="I707">
        <v>3550</v>
      </c>
      <c r="J707">
        <v>25</v>
      </c>
      <c r="K707" t="s">
        <v>25</v>
      </c>
      <c r="L707" t="s">
        <v>20</v>
      </c>
      <c r="M707">
        <v>7987.5</v>
      </c>
      <c r="N707" t="s">
        <v>21</v>
      </c>
    </row>
    <row r="708" spans="1:14" x14ac:dyDescent="0.25">
      <c r="A708" t="s">
        <v>1009</v>
      </c>
      <c r="B708" s="5" t="s">
        <v>273</v>
      </c>
      <c r="C708" t="s">
        <v>366</v>
      </c>
      <c r="D708">
        <v>33</v>
      </c>
      <c r="E708" t="s">
        <v>16</v>
      </c>
      <c r="F708" t="s">
        <v>17</v>
      </c>
      <c r="G708" t="s">
        <v>40</v>
      </c>
      <c r="H708">
        <v>2</v>
      </c>
      <c r="I708">
        <v>3200</v>
      </c>
      <c r="J708">
        <v>40</v>
      </c>
      <c r="K708" t="s">
        <v>41</v>
      </c>
      <c r="L708" t="s">
        <v>20</v>
      </c>
      <c r="M708">
        <v>3840</v>
      </c>
      <c r="N708" t="s">
        <v>38</v>
      </c>
    </row>
    <row r="709" spans="1:14" x14ac:dyDescent="0.25">
      <c r="A709" t="s">
        <v>1010</v>
      </c>
      <c r="B709" s="5">
        <v>45200</v>
      </c>
      <c r="D709">
        <v>19</v>
      </c>
      <c r="E709" t="s">
        <v>16</v>
      </c>
      <c r="F709" t="s">
        <v>54</v>
      </c>
      <c r="G709" t="s">
        <v>311</v>
      </c>
      <c r="H709">
        <v>2</v>
      </c>
      <c r="I709">
        <v>3800</v>
      </c>
      <c r="J709">
        <v>5</v>
      </c>
      <c r="K709" t="s">
        <v>41</v>
      </c>
      <c r="L709" t="s">
        <v>20</v>
      </c>
      <c r="M709">
        <v>7220</v>
      </c>
      <c r="N709" t="s">
        <v>38</v>
      </c>
    </row>
    <row r="710" spans="1:14" x14ac:dyDescent="0.25">
      <c r="A710" t="s">
        <v>1011</v>
      </c>
      <c r="B710" s="5" t="s">
        <v>1385</v>
      </c>
      <c r="C710" t="s">
        <v>28</v>
      </c>
      <c r="D710">
        <v>33</v>
      </c>
      <c r="E710" t="s">
        <v>23</v>
      </c>
      <c r="F710" t="s">
        <v>30</v>
      </c>
      <c r="G710" t="s">
        <v>135</v>
      </c>
      <c r="H710">
        <v>5</v>
      </c>
      <c r="I710">
        <v>9478</v>
      </c>
      <c r="J710">
        <v>30</v>
      </c>
      <c r="K710" t="s">
        <v>50</v>
      </c>
      <c r="L710" t="s">
        <v>20</v>
      </c>
      <c r="M710">
        <v>33173</v>
      </c>
      <c r="N710" t="s">
        <v>45</v>
      </c>
    </row>
    <row r="711" spans="1:14" x14ac:dyDescent="0.25">
      <c r="A711" t="s">
        <v>1012</v>
      </c>
      <c r="B711" s="5">
        <v>44991</v>
      </c>
      <c r="C711" t="s">
        <v>358</v>
      </c>
      <c r="D711">
        <v>47</v>
      </c>
      <c r="E711" t="s">
        <v>443</v>
      </c>
      <c r="F711" t="s">
        <v>30</v>
      </c>
      <c r="G711" t="s">
        <v>153</v>
      </c>
      <c r="H711">
        <v>8</v>
      </c>
      <c r="I711">
        <v>1705</v>
      </c>
      <c r="J711">
        <v>25</v>
      </c>
      <c r="K711" t="s">
        <v>41</v>
      </c>
      <c r="L711" t="s">
        <v>51</v>
      </c>
      <c r="M711">
        <v>10230</v>
      </c>
      <c r="N711" t="s">
        <v>26</v>
      </c>
    </row>
    <row r="712" spans="1:14" x14ac:dyDescent="0.25">
      <c r="A712" t="s">
        <v>1013</v>
      </c>
      <c r="B712" s="5">
        <v>45259</v>
      </c>
      <c r="C712" t="s">
        <v>128</v>
      </c>
      <c r="D712">
        <v>29</v>
      </c>
      <c r="E712" t="s">
        <v>16</v>
      </c>
      <c r="F712" t="s">
        <v>54</v>
      </c>
      <c r="G712" t="s">
        <v>180</v>
      </c>
      <c r="H712">
        <v>0</v>
      </c>
      <c r="I712">
        <v>24600</v>
      </c>
      <c r="J712">
        <v>25</v>
      </c>
      <c r="K712" t="s">
        <v>19</v>
      </c>
      <c r="L712" t="s">
        <v>20</v>
      </c>
      <c r="M712">
        <v>0</v>
      </c>
      <c r="N712" t="s">
        <v>21</v>
      </c>
    </row>
    <row r="713" spans="1:14" x14ac:dyDescent="0.25">
      <c r="A713" t="s">
        <v>1014</v>
      </c>
      <c r="B713" s="5" t="s">
        <v>483</v>
      </c>
      <c r="C713" t="s">
        <v>757</v>
      </c>
      <c r="D713">
        <v>24</v>
      </c>
      <c r="E713" t="s">
        <v>23</v>
      </c>
      <c r="F713" t="s">
        <v>17</v>
      </c>
      <c r="G713" t="s">
        <v>186</v>
      </c>
      <c r="H713">
        <v>2</v>
      </c>
      <c r="I713">
        <v>2450</v>
      </c>
      <c r="J713">
        <v>20</v>
      </c>
      <c r="K713" t="s">
        <v>41</v>
      </c>
      <c r="L713" t="s">
        <v>20</v>
      </c>
      <c r="M713">
        <v>3920</v>
      </c>
      <c r="N713" t="s">
        <v>45</v>
      </c>
    </row>
    <row r="714" spans="1:14" x14ac:dyDescent="0.25">
      <c r="A714" t="s">
        <v>1015</v>
      </c>
      <c r="B714" s="5">
        <v>45132</v>
      </c>
      <c r="D714">
        <v>26</v>
      </c>
      <c r="E714" t="s">
        <v>23</v>
      </c>
      <c r="F714" t="s">
        <v>54</v>
      </c>
      <c r="G714" t="s">
        <v>114</v>
      </c>
      <c r="H714">
        <v>2</v>
      </c>
      <c r="I714">
        <v>79900</v>
      </c>
      <c r="J714">
        <v>5</v>
      </c>
      <c r="K714" t="s">
        <v>487</v>
      </c>
      <c r="L714" t="s">
        <v>20</v>
      </c>
      <c r="M714">
        <v>151810</v>
      </c>
      <c r="N714" t="s">
        <v>332</v>
      </c>
    </row>
    <row r="715" spans="1:14" x14ac:dyDescent="0.25">
      <c r="A715" t="s">
        <v>1016</v>
      </c>
      <c r="B715" s="5">
        <v>45253</v>
      </c>
      <c r="C715" t="s">
        <v>128</v>
      </c>
      <c r="D715">
        <v>25</v>
      </c>
      <c r="E715" t="s">
        <v>16</v>
      </c>
      <c r="F715" t="s">
        <v>54</v>
      </c>
      <c r="G715" t="s">
        <v>77</v>
      </c>
      <c r="H715">
        <v>2</v>
      </c>
      <c r="I715">
        <v>18100</v>
      </c>
      <c r="J715">
        <v>40</v>
      </c>
      <c r="K715" t="s">
        <v>41</v>
      </c>
      <c r="L715" t="s">
        <v>20</v>
      </c>
      <c r="M715">
        <v>-21720</v>
      </c>
      <c r="N715" t="s">
        <v>38</v>
      </c>
    </row>
    <row r="716" spans="1:14" x14ac:dyDescent="0.25">
      <c r="A716" t="s">
        <v>1017</v>
      </c>
      <c r="B716" s="5">
        <v>45220</v>
      </c>
      <c r="C716" t="s">
        <v>72</v>
      </c>
      <c r="D716">
        <v>52</v>
      </c>
      <c r="E716" t="s">
        <v>16</v>
      </c>
      <c r="F716" t="s">
        <v>17</v>
      </c>
      <c r="G716" t="s">
        <v>24</v>
      </c>
      <c r="H716">
        <v>1</v>
      </c>
      <c r="I716">
        <v>2200</v>
      </c>
      <c r="J716">
        <v>0</v>
      </c>
      <c r="K716" t="s">
        <v>19</v>
      </c>
      <c r="L716" t="s">
        <v>56</v>
      </c>
      <c r="M716">
        <v>8800</v>
      </c>
      <c r="N716" t="s">
        <v>45</v>
      </c>
    </row>
    <row r="717" spans="1:14" x14ac:dyDescent="0.25">
      <c r="A717" t="s">
        <v>1018</v>
      </c>
      <c r="B717" s="5">
        <v>45025</v>
      </c>
      <c r="C717" t="s">
        <v>152</v>
      </c>
      <c r="D717">
        <v>23</v>
      </c>
      <c r="E717" t="s">
        <v>23</v>
      </c>
      <c r="F717" t="s">
        <v>30</v>
      </c>
      <c r="G717" t="s">
        <v>67</v>
      </c>
      <c r="H717">
        <v>6</v>
      </c>
      <c r="I717">
        <v>4694</v>
      </c>
      <c r="J717">
        <v>5</v>
      </c>
      <c r="K717" t="s">
        <v>41</v>
      </c>
      <c r="L717" t="s">
        <v>51</v>
      </c>
      <c r="M717">
        <v>26755.8</v>
      </c>
      <c r="N717" t="s">
        <v>21</v>
      </c>
    </row>
    <row r="718" spans="1:14" x14ac:dyDescent="0.25">
      <c r="A718" t="s">
        <v>1019</v>
      </c>
      <c r="B718" s="5" t="s">
        <v>1020</v>
      </c>
      <c r="D718">
        <v>31</v>
      </c>
      <c r="E718" t="s">
        <v>23</v>
      </c>
      <c r="F718" t="s">
        <v>54</v>
      </c>
      <c r="G718" t="s">
        <v>77</v>
      </c>
      <c r="H718">
        <v>1</v>
      </c>
      <c r="I718">
        <v>22800</v>
      </c>
      <c r="J718">
        <v>75</v>
      </c>
      <c r="K718" t="s">
        <v>19</v>
      </c>
      <c r="L718" t="s">
        <v>20</v>
      </c>
      <c r="M718">
        <v>5700</v>
      </c>
      <c r="N718" t="s">
        <v>149</v>
      </c>
    </row>
    <row r="719" spans="1:14" x14ac:dyDescent="0.25">
      <c r="A719" t="s">
        <v>1021</v>
      </c>
      <c r="B719" s="5">
        <v>45110</v>
      </c>
      <c r="C719" t="s">
        <v>757</v>
      </c>
      <c r="D719">
        <v>55</v>
      </c>
      <c r="E719" t="s">
        <v>16</v>
      </c>
      <c r="F719" t="s">
        <v>30</v>
      </c>
      <c r="G719" t="s">
        <v>121</v>
      </c>
      <c r="H719">
        <v>9</v>
      </c>
      <c r="I719">
        <v>7153</v>
      </c>
      <c r="J719">
        <v>0</v>
      </c>
      <c r="K719" t="s">
        <v>19</v>
      </c>
      <c r="L719" t="s">
        <v>51</v>
      </c>
      <c r="M719">
        <v>64377</v>
      </c>
      <c r="N719" t="s">
        <v>26</v>
      </c>
    </row>
    <row r="720" spans="1:14" x14ac:dyDescent="0.25">
      <c r="A720" t="s">
        <v>1022</v>
      </c>
      <c r="B720" s="5">
        <v>45096</v>
      </c>
      <c r="C720" t="s">
        <v>28</v>
      </c>
      <c r="D720">
        <v>30</v>
      </c>
      <c r="E720" t="s">
        <v>16</v>
      </c>
      <c r="F720" t="s">
        <v>35</v>
      </c>
      <c r="G720" t="s">
        <v>147</v>
      </c>
      <c r="H720">
        <v>2</v>
      </c>
      <c r="I720">
        <v>438</v>
      </c>
      <c r="J720">
        <v>20</v>
      </c>
      <c r="K720" t="s">
        <v>25</v>
      </c>
      <c r="L720" t="s">
        <v>493</v>
      </c>
      <c r="M720">
        <v>700.8</v>
      </c>
      <c r="N720" t="s">
        <v>45</v>
      </c>
    </row>
    <row r="721" spans="1:14" x14ac:dyDescent="0.25">
      <c r="A721" t="s">
        <v>1023</v>
      </c>
      <c r="B721" s="5">
        <v>45048</v>
      </c>
      <c r="C721" t="s">
        <v>173</v>
      </c>
      <c r="E721" t="s">
        <v>16</v>
      </c>
      <c r="F721" t="s">
        <v>35</v>
      </c>
      <c r="G721" t="s">
        <v>139</v>
      </c>
      <c r="H721">
        <v>7</v>
      </c>
      <c r="I721">
        <v>708</v>
      </c>
      <c r="J721">
        <v>0</v>
      </c>
      <c r="K721" t="s">
        <v>41</v>
      </c>
      <c r="L721" t="s">
        <v>20</v>
      </c>
      <c r="M721">
        <v>4956</v>
      </c>
      <c r="N721" t="s">
        <v>122</v>
      </c>
    </row>
    <row r="722" spans="1:14" x14ac:dyDescent="0.25">
      <c r="A722" t="s">
        <v>1024</v>
      </c>
      <c r="B722" s="5" t="s">
        <v>1025</v>
      </c>
      <c r="C722" t="s">
        <v>28</v>
      </c>
      <c r="D722">
        <v>44</v>
      </c>
      <c r="E722" t="s">
        <v>16</v>
      </c>
      <c r="F722" t="s">
        <v>17</v>
      </c>
      <c r="G722" t="s">
        <v>18</v>
      </c>
      <c r="H722">
        <v>3</v>
      </c>
      <c r="I722">
        <v>2150</v>
      </c>
      <c r="J722">
        <v>10</v>
      </c>
      <c r="K722" t="s">
        <v>50</v>
      </c>
      <c r="L722" t="s">
        <v>51</v>
      </c>
      <c r="M722">
        <v>17415</v>
      </c>
      <c r="N722" t="s">
        <v>21</v>
      </c>
    </row>
    <row r="723" spans="1:14" x14ac:dyDescent="0.25">
      <c r="A723" t="s">
        <v>1026</v>
      </c>
      <c r="B723" s="5" t="s">
        <v>607</v>
      </c>
      <c r="C723" t="s">
        <v>170</v>
      </c>
      <c r="D723">
        <v>150</v>
      </c>
      <c r="E723" t="s">
        <v>23</v>
      </c>
      <c r="F723" t="s">
        <v>347</v>
      </c>
      <c r="G723" t="s">
        <v>88</v>
      </c>
      <c r="H723">
        <v>1</v>
      </c>
      <c r="I723">
        <v>40100</v>
      </c>
      <c r="J723">
        <v>0</v>
      </c>
      <c r="K723" t="s">
        <v>50</v>
      </c>
      <c r="L723" t="s">
        <v>20</v>
      </c>
      <c r="M723">
        <v>40100</v>
      </c>
      <c r="N723" t="s">
        <v>26</v>
      </c>
    </row>
    <row r="724" spans="1:14" x14ac:dyDescent="0.25">
      <c r="A724" t="s">
        <v>1027</v>
      </c>
      <c r="B724" s="5">
        <v>44977</v>
      </c>
      <c r="C724" t="s">
        <v>355</v>
      </c>
      <c r="D724">
        <v>27</v>
      </c>
      <c r="E724" t="s">
        <v>16</v>
      </c>
      <c r="F724" t="s">
        <v>35</v>
      </c>
      <c r="G724" t="s">
        <v>63</v>
      </c>
      <c r="H724">
        <v>10</v>
      </c>
      <c r="I724">
        <v>4869</v>
      </c>
      <c r="J724">
        <v>20</v>
      </c>
      <c r="K724" t="s">
        <v>25</v>
      </c>
      <c r="L724" t="s">
        <v>20</v>
      </c>
      <c r="M724">
        <v>38952</v>
      </c>
      <c r="N724" t="s">
        <v>21</v>
      </c>
    </row>
    <row r="725" spans="1:14" x14ac:dyDescent="0.25">
      <c r="A725" t="s">
        <v>1028</v>
      </c>
      <c r="B725" s="5">
        <v>45241</v>
      </c>
      <c r="C725" t="s">
        <v>170</v>
      </c>
      <c r="D725">
        <v>41</v>
      </c>
      <c r="E725" t="s">
        <v>16</v>
      </c>
      <c r="F725" t="s">
        <v>17</v>
      </c>
      <c r="G725" t="s">
        <v>124</v>
      </c>
      <c r="H725">
        <v>3</v>
      </c>
      <c r="I725">
        <v>7950</v>
      </c>
      <c r="J725">
        <v>5</v>
      </c>
      <c r="K725" t="s">
        <v>19</v>
      </c>
      <c r="L725" t="s">
        <v>20</v>
      </c>
      <c r="M725">
        <v>22657.5</v>
      </c>
      <c r="N725" t="s">
        <v>26</v>
      </c>
    </row>
    <row r="726" spans="1:14" x14ac:dyDescent="0.25">
      <c r="A726" t="s">
        <v>1029</v>
      </c>
      <c r="B726" s="5">
        <v>45056</v>
      </c>
      <c r="C726" t="s">
        <v>102</v>
      </c>
      <c r="D726">
        <v>37</v>
      </c>
      <c r="E726" t="s">
        <v>16</v>
      </c>
      <c r="F726" t="s">
        <v>30</v>
      </c>
      <c r="G726" t="s">
        <v>218</v>
      </c>
      <c r="H726">
        <v>5</v>
      </c>
      <c r="I726">
        <v>2199</v>
      </c>
      <c r="J726">
        <v>10</v>
      </c>
      <c r="K726" t="s">
        <v>19</v>
      </c>
      <c r="L726" t="s">
        <v>20</v>
      </c>
      <c r="M726">
        <v>9895.5</v>
      </c>
      <c r="N726" t="s">
        <v>26</v>
      </c>
    </row>
    <row r="727" spans="1:14" x14ac:dyDescent="0.25">
      <c r="A727" t="s">
        <v>1030</v>
      </c>
      <c r="B727" s="5">
        <v>45267</v>
      </c>
      <c r="C727" t="s">
        <v>87</v>
      </c>
      <c r="D727">
        <v>21</v>
      </c>
      <c r="E727" t="s">
        <v>23</v>
      </c>
      <c r="F727" t="s">
        <v>35</v>
      </c>
      <c r="G727" t="s">
        <v>271</v>
      </c>
      <c r="H727">
        <v>8</v>
      </c>
      <c r="I727">
        <v>550</v>
      </c>
      <c r="J727">
        <v>30</v>
      </c>
      <c r="K727" t="s">
        <v>41</v>
      </c>
      <c r="L727" t="s">
        <v>20</v>
      </c>
      <c r="M727">
        <v>3080</v>
      </c>
      <c r="N727" t="s">
        <v>379</v>
      </c>
    </row>
    <row r="728" spans="1:14" x14ac:dyDescent="0.25">
      <c r="A728" t="s">
        <v>1031</v>
      </c>
      <c r="B728" s="5">
        <v>45155</v>
      </c>
      <c r="C728" t="s">
        <v>393</v>
      </c>
      <c r="D728">
        <v>25</v>
      </c>
      <c r="E728" t="s">
        <v>16</v>
      </c>
      <c r="F728" t="s">
        <v>35</v>
      </c>
      <c r="G728" t="s">
        <v>63</v>
      </c>
      <c r="H728">
        <v>3</v>
      </c>
      <c r="I728">
        <v>1951</v>
      </c>
      <c r="J728">
        <v>5</v>
      </c>
      <c r="K728" t="s">
        <v>19</v>
      </c>
      <c r="L728" t="s">
        <v>56</v>
      </c>
      <c r="M728">
        <v>5560.35</v>
      </c>
      <c r="N728" t="s">
        <v>38</v>
      </c>
    </row>
    <row r="729" spans="1:14" x14ac:dyDescent="0.25">
      <c r="A729" t="s">
        <v>1032</v>
      </c>
      <c r="B729" s="5">
        <v>45172</v>
      </c>
      <c r="C729" t="s">
        <v>66</v>
      </c>
      <c r="D729">
        <v>61</v>
      </c>
      <c r="E729" t="s">
        <v>16</v>
      </c>
      <c r="F729" t="s">
        <v>54</v>
      </c>
      <c r="G729" t="s">
        <v>282</v>
      </c>
      <c r="H729">
        <v>2</v>
      </c>
      <c r="I729">
        <v>15300</v>
      </c>
      <c r="J729">
        <v>0</v>
      </c>
      <c r="K729" t="s">
        <v>25</v>
      </c>
      <c r="L729" t="s">
        <v>51</v>
      </c>
      <c r="M729">
        <v>30600</v>
      </c>
      <c r="N729" t="s">
        <v>21</v>
      </c>
    </row>
    <row r="730" spans="1:14" x14ac:dyDescent="0.25">
      <c r="A730" t="s">
        <v>1033</v>
      </c>
      <c r="B730" s="5" t="s">
        <v>1034</v>
      </c>
      <c r="C730" t="s">
        <v>43</v>
      </c>
      <c r="D730">
        <v>50</v>
      </c>
      <c r="E730" t="s">
        <v>23</v>
      </c>
      <c r="F730" t="s">
        <v>17</v>
      </c>
      <c r="G730" t="s">
        <v>124</v>
      </c>
      <c r="H730">
        <v>3</v>
      </c>
      <c r="I730">
        <v>6750</v>
      </c>
      <c r="J730">
        <v>0</v>
      </c>
      <c r="K730" t="s">
        <v>41</v>
      </c>
      <c r="L730" t="s">
        <v>493</v>
      </c>
      <c r="M730">
        <v>20250</v>
      </c>
      <c r="N730" t="s">
        <v>38</v>
      </c>
    </row>
    <row r="731" spans="1:14" x14ac:dyDescent="0.25">
      <c r="A731" t="s">
        <v>1035</v>
      </c>
      <c r="B731" s="5">
        <v>45173</v>
      </c>
      <c r="C731" t="s">
        <v>241</v>
      </c>
      <c r="D731">
        <v>49</v>
      </c>
      <c r="E731" t="s">
        <v>23</v>
      </c>
      <c r="F731" t="s">
        <v>35</v>
      </c>
      <c r="G731" t="s">
        <v>36</v>
      </c>
      <c r="H731">
        <v>5</v>
      </c>
      <c r="I731">
        <v>1046</v>
      </c>
      <c r="J731">
        <v>20</v>
      </c>
      <c r="K731" t="s">
        <v>19</v>
      </c>
      <c r="L731" t="s">
        <v>107</v>
      </c>
      <c r="M731">
        <v>4184</v>
      </c>
      <c r="N731" t="s">
        <v>352</v>
      </c>
    </row>
    <row r="732" spans="1:14" x14ac:dyDescent="0.25">
      <c r="A732" t="s">
        <v>1036</v>
      </c>
      <c r="B732" s="5" t="s">
        <v>1037</v>
      </c>
      <c r="C732" t="s">
        <v>156</v>
      </c>
      <c r="D732">
        <v>23</v>
      </c>
      <c r="E732" t="s">
        <v>73</v>
      </c>
      <c r="F732" t="s">
        <v>17</v>
      </c>
      <c r="G732" t="s">
        <v>18</v>
      </c>
      <c r="H732">
        <v>3</v>
      </c>
      <c r="I732">
        <v>2350</v>
      </c>
      <c r="J732">
        <v>5</v>
      </c>
      <c r="K732" t="s">
        <v>115</v>
      </c>
      <c r="L732" t="s">
        <v>20</v>
      </c>
      <c r="M732">
        <v>6697.5</v>
      </c>
      <c r="N732" t="s">
        <v>38</v>
      </c>
    </row>
    <row r="733" spans="1:14" x14ac:dyDescent="0.25">
      <c r="A733" t="s">
        <v>1038</v>
      </c>
      <c r="B733" s="5">
        <v>45270</v>
      </c>
      <c r="C733" t="s">
        <v>152</v>
      </c>
      <c r="D733">
        <v>25</v>
      </c>
      <c r="E733" t="s">
        <v>16</v>
      </c>
      <c r="F733" t="s">
        <v>54</v>
      </c>
      <c r="G733" t="s">
        <v>311</v>
      </c>
      <c r="H733">
        <v>1</v>
      </c>
      <c r="I733">
        <v>4500</v>
      </c>
      <c r="J733">
        <v>0</v>
      </c>
      <c r="K733" t="s">
        <v>115</v>
      </c>
      <c r="L733" t="s">
        <v>20</v>
      </c>
      <c r="M733">
        <v>4500</v>
      </c>
      <c r="N733" t="s">
        <v>38</v>
      </c>
    </row>
    <row r="734" spans="1:14" x14ac:dyDescent="0.25">
      <c r="A734" t="s">
        <v>1039</v>
      </c>
      <c r="B734" s="5">
        <v>45184</v>
      </c>
      <c r="D734">
        <v>21</v>
      </c>
      <c r="E734" t="s">
        <v>23</v>
      </c>
      <c r="F734" t="s">
        <v>54</v>
      </c>
      <c r="G734" t="s">
        <v>88</v>
      </c>
      <c r="H734">
        <v>2</v>
      </c>
      <c r="I734">
        <v>51500</v>
      </c>
      <c r="J734">
        <v>5</v>
      </c>
      <c r="K734" t="s">
        <v>83</v>
      </c>
      <c r="L734" t="s">
        <v>51</v>
      </c>
      <c r="M734">
        <v>97850</v>
      </c>
      <c r="N734" t="s">
        <v>45</v>
      </c>
    </row>
    <row r="735" spans="1:14" x14ac:dyDescent="0.25">
      <c r="A735" t="s">
        <v>1040</v>
      </c>
      <c r="B735" s="5">
        <v>44984</v>
      </c>
      <c r="C735" t="s">
        <v>152</v>
      </c>
      <c r="D735">
        <v>25</v>
      </c>
      <c r="E735" t="s">
        <v>16</v>
      </c>
      <c r="F735" t="s">
        <v>17</v>
      </c>
      <c r="G735" t="s">
        <v>186</v>
      </c>
      <c r="H735">
        <v>2</v>
      </c>
      <c r="I735">
        <v>2850</v>
      </c>
      <c r="J735">
        <v>40</v>
      </c>
      <c r="K735" t="s">
        <v>261</v>
      </c>
      <c r="L735" t="s">
        <v>56</v>
      </c>
      <c r="M735">
        <v>3420</v>
      </c>
      <c r="N735" t="s">
        <v>26</v>
      </c>
    </row>
    <row r="736" spans="1:14" x14ac:dyDescent="0.25">
      <c r="A736" t="s">
        <v>1041</v>
      </c>
      <c r="B736" s="5">
        <v>44968</v>
      </c>
      <c r="C736" t="s">
        <v>102</v>
      </c>
      <c r="D736">
        <v>31</v>
      </c>
      <c r="E736" t="s">
        <v>23</v>
      </c>
      <c r="F736" t="s">
        <v>30</v>
      </c>
      <c r="G736" t="s">
        <v>224</v>
      </c>
      <c r="H736">
        <v>5</v>
      </c>
      <c r="I736">
        <v>1282</v>
      </c>
      <c r="J736">
        <v>40</v>
      </c>
      <c r="K736" t="s">
        <v>41</v>
      </c>
      <c r="L736" t="s">
        <v>493</v>
      </c>
      <c r="M736">
        <v>3846</v>
      </c>
      <c r="N736" t="s">
        <v>26</v>
      </c>
    </row>
    <row r="737" spans="1:14" x14ac:dyDescent="0.25">
      <c r="A737" t="s">
        <v>1042</v>
      </c>
      <c r="B737" s="5" t="s">
        <v>909</v>
      </c>
      <c r="C737" t="s">
        <v>217</v>
      </c>
      <c r="E737" t="s">
        <v>23</v>
      </c>
      <c r="F737" t="s">
        <v>608</v>
      </c>
      <c r="G737" t="s">
        <v>77</v>
      </c>
      <c r="H737">
        <v>2</v>
      </c>
      <c r="I737">
        <v>24900</v>
      </c>
      <c r="J737">
        <v>0</v>
      </c>
      <c r="K737" t="s">
        <v>25</v>
      </c>
      <c r="L737" t="s">
        <v>20</v>
      </c>
      <c r="M737">
        <v>49800</v>
      </c>
      <c r="N737" t="s">
        <v>21</v>
      </c>
    </row>
    <row r="738" spans="1:14" x14ac:dyDescent="0.25">
      <c r="A738" t="s">
        <v>1043</v>
      </c>
      <c r="B738" s="5">
        <v>44940</v>
      </c>
      <c r="C738" t="s">
        <v>128</v>
      </c>
      <c r="D738">
        <v>30</v>
      </c>
      <c r="E738" t="s">
        <v>16</v>
      </c>
      <c r="F738" t="s">
        <v>17</v>
      </c>
      <c r="G738" t="s">
        <v>259</v>
      </c>
      <c r="H738">
        <v>3</v>
      </c>
      <c r="I738">
        <v>4200</v>
      </c>
      <c r="J738">
        <v>25</v>
      </c>
      <c r="K738" t="s">
        <v>19</v>
      </c>
      <c r="L738" t="s">
        <v>20</v>
      </c>
      <c r="M738">
        <v>9450</v>
      </c>
      <c r="N738" t="s">
        <v>38</v>
      </c>
    </row>
    <row r="739" spans="1:14" x14ac:dyDescent="0.25">
      <c r="A739" t="s">
        <v>1044</v>
      </c>
      <c r="B739" s="5">
        <v>44929</v>
      </c>
      <c r="C739" t="s">
        <v>170</v>
      </c>
      <c r="D739">
        <v>27</v>
      </c>
      <c r="E739" t="s">
        <v>23</v>
      </c>
      <c r="F739" t="s">
        <v>608</v>
      </c>
      <c r="G739" t="s">
        <v>77</v>
      </c>
      <c r="H739">
        <v>1</v>
      </c>
      <c r="I739">
        <v>15200</v>
      </c>
      <c r="J739">
        <v>30</v>
      </c>
      <c r="K739" t="s">
        <v>41</v>
      </c>
      <c r="L739" t="s">
        <v>20</v>
      </c>
      <c r="M739">
        <v>10640</v>
      </c>
      <c r="N739" t="s">
        <v>45</v>
      </c>
    </row>
    <row r="740" spans="1:14" x14ac:dyDescent="0.25">
      <c r="A740" t="s">
        <v>1045</v>
      </c>
      <c r="B740" s="5">
        <v>45218</v>
      </c>
      <c r="C740" t="s">
        <v>28</v>
      </c>
      <c r="D740">
        <v>18</v>
      </c>
      <c r="E740" t="s">
        <v>23</v>
      </c>
      <c r="F740" t="s">
        <v>35</v>
      </c>
      <c r="G740" t="s">
        <v>111</v>
      </c>
      <c r="H740">
        <v>3</v>
      </c>
      <c r="I740">
        <v>364</v>
      </c>
      <c r="J740">
        <v>40</v>
      </c>
      <c r="K740" t="s">
        <v>41</v>
      </c>
      <c r="L740" t="s">
        <v>107</v>
      </c>
      <c r="M740">
        <v>655.20000000000005</v>
      </c>
      <c r="N740" t="s">
        <v>26</v>
      </c>
    </row>
    <row r="741" spans="1:14" x14ac:dyDescent="0.25">
      <c r="A741" t="s">
        <v>1046</v>
      </c>
      <c r="B741" s="5">
        <v>45178</v>
      </c>
      <c r="C741" t="s">
        <v>165</v>
      </c>
      <c r="D741">
        <v>60</v>
      </c>
      <c r="E741" t="s">
        <v>16</v>
      </c>
      <c r="F741" t="s">
        <v>35</v>
      </c>
      <c r="G741" t="s">
        <v>139</v>
      </c>
      <c r="H741">
        <v>6</v>
      </c>
      <c r="I741">
        <v>864</v>
      </c>
      <c r="J741">
        <v>5</v>
      </c>
      <c r="K741" t="s">
        <v>64</v>
      </c>
      <c r="L741" t="s">
        <v>56</v>
      </c>
      <c r="M741">
        <v>4924.8</v>
      </c>
      <c r="N741" t="s">
        <v>149</v>
      </c>
    </row>
    <row r="742" spans="1:14" x14ac:dyDescent="0.25">
      <c r="A742" t="s">
        <v>1047</v>
      </c>
      <c r="B742" s="5">
        <v>45092</v>
      </c>
      <c r="D742">
        <v>45</v>
      </c>
      <c r="E742" t="s">
        <v>23</v>
      </c>
      <c r="F742" t="s">
        <v>30</v>
      </c>
      <c r="G742" t="s">
        <v>195</v>
      </c>
      <c r="H742">
        <v>6</v>
      </c>
      <c r="I742">
        <v>4336</v>
      </c>
      <c r="J742">
        <v>5</v>
      </c>
      <c r="K742" t="s">
        <v>50</v>
      </c>
      <c r="L742" t="s">
        <v>20</v>
      </c>
      <c r="M742">
        <v>24715.200000000001</v>
      </c>
      <c r="N742" t="s">
        <v>26</v>
      </c>
    </row>
    <row r="743" spans="1:14" x14ac:dyDescent="0.25">
      <c r="A743" t="s">
        <v>1048</v>
      </c>
      <c r="B743" s="5">
        <v>45250</v>
      </c>
      <c r="C743" t="s">
        <v>110</v>
      </c>
      <c r="D743">
        <v>25</v>
      </c>
      <c r="E743" t="s">
        <v>16</v>
      </c>
      <c r="F743" t="s">
        <v>54</v>
      </c>
      <c r="G743" t="s">
        <v>104</v>
      </c>
      <c r="H743">
        <v>2</v>
      </c>
      <c r="I743">
        <v>11400</v>
      </c>
      <c r="J743">
        <v>10</v>
      </c>
      <c r="K743" t="s">
        <v>50</v>
      </c>
      <c r="L743" t="s">
        <v>20</v>
      </c>
      <c r="M743">
        <v>20520</v>
      </c>
      <c r="N743" t="s">
        <v>21</v>
      </c>
    </row>
    <row r="744" spans="1:14" x14ac:dyDescent="0.25">
      <c r="A744" t="s">
        <v>1049</v>
      </c>
      <c r="B744" s="5" t="s">
        <v>1050</v>
      </c>
      <c r="C744" t="s">
        <v>53</v>
      </c>
      <c r="D744">
        <v>58</v>
      </c>
      <c r="E744" t="s">
        <v>16</v>
      </c>
      <c r="F744" t="s">
        <v>17</v>
      </c>
      <c r="G744" t="s">
        <v>274</v>
      </c>
      <c r="H744">
        <v>2</v>
      </c>
      <c r="I744">
        <v>2550</v>
      </c>
      <c r="J744">
        <v>10</v>
      </c>
      <c r="K744" t="s">
        <v>19</v>
      </c>
      <c r="L744" t="s">
        <v>20</v>
      </c>
      <c r="M744">
        <v>4590</v>
      </c>
      <c r="N744" t="s">
        <v>21</v>
      </c>
    </row>
    <row r="745" spans="1:14" x14ac:dyDescent="0.25">
      <c r="A745" t="s">
        <v>1051</v>
      </c>
      <c r="B745" s="5">
        <v>45133</v>
      </c>
      <c r="C745" t="s">
        <v>587</v>
      </c>
      <c r="D745">
        <v>23</v>
      </c>
      <c r="E745" t="s">
        <v>16</v>
      </c>
      <c r="F745" t="s">
        <v>30</v>
      </c>
      <c r="G745" t="s">
        <v>294</v>
      </c>
      <c r="H745">
        <v>8</v>
      </c>
      <c r="I745">
        <v>330</v>
      </c>
      <c r="J745">
        <v>30</v>
      </c>
      <c r="K745" t="s">
        <v>19</v>
      </c>
      <c r="L745" t="s">
        <v>20</v>
      </c>
      <c r="M745">
        <v>1848</v>
      </c>
      <c r="N745" t="s">
        <v>45</v>
      </c>
    </row>
    <row r="746" spans="1:14" x14ac:dyDescent="0.25">
      <c r="A746" t="s">
        <v>1052</v>
      </c>
      <c r="B746" s="5">
        <v>45048</v>
      </c>
      <c r="C746" t="s">
        <v>110</v>
      </c>
      <c r="D746">
        <v>62</v>
      </c>
      <c r="E746" t="s">
        <v>16</v>
      </c>
      <c r="F746" t="s">
        <v>30</v>
      </c>
      <c r="G746" t="s">
        <v>268</v>
      </c>
      <c r="H746">
        <v>3</v>
      </c>
      <c r="I746">
        <v>846</v>
      </c>
      <c r="J746">
        <v>40</v>
      </c>
      <c r="K746" t="s">
        <v>41</v>
      </c>
      <c r="L746" t="s">
        <v>20</v>
      </c>
      <c r="M746">
        <v>1522.8</v>
      </c>
      <c r="N746" t="s">
        <v>21</v>
      </c>
    </row>
    <row r="747" spans="1:14" x14ac:dyDescent="0.25">
      <c r="A747" t="s">
        <v>1053</v>
      </c>
      <c r="B747" s="5">
        <v>45263</v>
      </c>
      <c r="C747" t="s">
        <v>102</v>
      </c>
      <c r="D747">
        <v>62</v>
      </c>
      <c r="E747" t="s">
        <v>23</v>
      </c>
      <c r="F747" t="s">
        <v>17</v>
      </c>
      <c r="G747" t="s">
        <v>49</v>
      </c>
      <c r="H747">
        <v>2</v>
      </c>
      <c r="I747">
        <v>1700</v>
      </c>
      <c r="J747">
        <v>30</v>
      </c>
      <c r="K747" t="s">
        <v>32</v>
      </c>
      <c r="L747" t="s">
        <v>56</v>
      </c>
      <c r="M747">
        <v>2380</v>
      </c>
      <c r="N747" t="s">
        <v>21</v>
      </c>
    </row>
    <row r="748" spans="1:14" x14ac:dyDescent="0.25">
      <c r="A748" t="s">
        <v>1054</v>
      </c>
      <c r="B748" s="5" t="s">
        <v>1084</v>
      </c>
      <c r="C748" t="s">
        <v>672</v>
      </c>
      <c r="D748">
        <v>23</v>
      </c>
      <c r="E748" t="s">
        <v>23</v>
      </c>
      <c r="F748" t="s">
        <v>30</v>
      </c>
      <c r="G748" t="s">
        <v>153</v>
      </c>
      <c r="H748">
        <v>5</v>
      </c>
      <c r="I748">
        <v>1348</v>
      </c>
      <c r="J748">
        <v>0</v>
      </c>
      <c r="K748" t="s">
        <v>25</v>
      </c>
      <c r="L748" t="s">
        <v>20</v>
      </c>
      <c r="M748">
        <v>6740</v>
      </c>
      <c r="N748" t="s">
        <v>21</v>
      </c>
    </row>
    <row r="749" spans="1:14" x14ac:dyDescent="0.25">
      <c r="A749" t="s">
        <v>1055</v>
      </c>
      <c r="B749" s="5">
        <v>45180</v>
      </c>
      <c r="C749" t="s">
        <v>156</v>
      </c>
      <c r="D749">
        <v>59</v>
      </c>
      <c r="E749" t="s">
        <v>23</v>
      </c>
      <c r="F749" t="s">
        <v>30</v>
      </c>
      <c r="G749" t="s">
        <v>218</v>
      </c>
      <c r="H749">
        <v>2</v>
      </c>
      <c r="I749">
        <v>3124</v>
      </c>
      <c r="J749">
        <v>25</v>
      </c>
      <c r="K749" t="s">
        <v>25</v>
      </c>
      <c r="L749" t="s">
        <v>20</v>
      </c>
      <c r="M749">
        <v>4686</v>
      </c>
      <c r="N749" t="s">
        <v>894</v>
      </c>
    </row>
    <row r="750" spans="1:14" x14ac:dyDescent="0.25">
      <c r="A750" t="s">
        <v>1056</v>
      </c>
      <c r="B750" s="5">
        <v>44990</v>
      </c>
      <c r="C750" t="s">
        <v>53</v>
      </c>
      <c r="D750">
        <v>41</v>
      </c>
      <c r="E750" t="s">
        <v>73</v>
      </c>
      <c r="F750" t="s">
        <v>35</v>
      </c>
      <c r="G750" t="s">
        <v>203</v>
      </c>
      <c r="H750">
        <v>6</v>
      </c>
      <c r="I750">
        <v>1791</v>
      </c>
      <c r="J750">
        <v>25</v>
      </c>
      <c r="K750" t="s">
        <v>50</v>
      </c>
      <c r="L750" t="s">
        <v>20</v>
      </c>
      <c r="M750">
        <v>8059.5</v>
      </c>
      <c r="N750" t="s">
        <v>45</v>
      </c>
    </row>
    <row r="751" spans="1:14" x14ac:dyDescent="0.25">
      <c r="A751" t="s">
        <v>1057</v>
      </c>
      <c r="B751" s="5">
        <v>45079</v>
      </c>
      <c r="C751" t="s">
        <v>102</v>
      </c>
      <c r="D751">
        <v>38</v>
      </c>
      <c r="E751" t="s">
        <v>16</v>
      </c>
      <c r="F751" t="s">
        <v>17</v>
      </c>
      <c r="G751" t="s">
        <v>49</v>
      </c>
      <c r="H751">
        <v>2</v>
      </c>
      <c r="I751">
        <v>1250</v>
      </c>
      <c r="J751">
        <v>0</v>
      </c>
      <c r="K751" t="s">
        <v>41</v>
      </c>
      <c r="L751" t="s">
        <v>20</v>
      </c>
      <c r="M751">
        <v>2500</v>
      </c>
      <c r="N751" t="s">
        <v>38</v>
      </c>
    </row>
    <row r="752" spans="1:14" x14ac:dyDescent="0.25">
      <c r="A752" t="s">
        <v>1058</v>
      </c>
      <c r="B752" s="5">
        <v>45069</v>
      </c>
      <c r="C752" t="s">
        <v>587</v>
      </c>
      <c r="D752">
        <v>50</v>
      </c>
      <c r="E752" t="s">
        <v>23</v>
      </c>
      <c r="F752" t="s">
        <v>54</v>
      </c>
      <c r="G752" t="s">
        <v>199</v>
      </c>
      <c r="H752">
        <v>2</v>
      </c>
      <c r="I752">
        <v>62400</v>
      </c>
      <c r="J752">
        <v>25</v>
      </c>
      <c r="K752" t="s">
        <v>64</v>
      </c>
      <c r="L752" t="s">
        <v>56</v>
      </c>
      <c r="M752">
        <v>93600</v>
      </c>
      <c r="N752" t="s">
        <v>375</v>
      </c>
    </row>
    <row r="753" spans="1:14" x14ac:dyDescent="0.25">
      <c r="A753" t="s">
        <v>1059</v>
      </c>
      <c r="B753" s="5">
        <v>45054</v>
      </c>
      <c r="C753" t="s">
        <v>43</v>
      </c>
      <c r="D753">
        <v>65</v>
      </c>
      <c r="E753" t="s">
        <v>16</v>
      </c>
      <c r="F753" t="s">
        <v>30</v>
      </c>
      <c r="G753" t="s">
        <v>67</v>
      </c>
      <c r="H753">
        <v>4</v>
      </c>
      <c r="I753">
        <v>3446</v>
      </c>
      <c r="J753">
        <v>5</v>
      </c>
      <c r="K753" t="s">
        <v>50</v>
      </c>
      <c r="L753" t="s">
        <v>20</v>
      </c>
      <c r="M753">
        <v>52379.199999999997</v>
      </c>
      <c r="N753" t="s">
        <v>38</v>
      </c>
    </row>
    <row r="754" spans="1:14" x14ac:dyDescent="0.25">
      <c r="A754" t="s">
        <v>1060</v>
      </c>
      <c r="B754" s="5">
        <v>45231</v>
      </c>
      <c r="C754" t="s">
        <v>79</v>
      </c>
      <c r="D754">
        <v>60</v>
      </c>
      <c r="E754" t="s">
        <v>16</v>
      </c>
      <c r="F754" t="s">
        <v>35</v>
      </c>
      <c r="G754" t="s">
        <v>147</v>
      </c>
      <c r="H754">
        <v>3</v>
      </c>
      <c r="I754">
        <v>506</v>
      </c>
      <c r="J754">
        <v>0</v>
      </c>
      <c r="K754" t="s">
        <v>25</v>
      </c>
      <c r="L754" t="s">
        <v>56</v>
      </c>
      <c r="M754">
        <v>1518</v>
      </c>
      <c r="N754" t="s">
        <v>295</v>
      </c>
    </row>
    <row r="755" spans="1:14" x14ac:dyDescent="0.25">
      <c r="A755" t="s">
        <v>1061</v>
      </c>
      <c r="B755" s="5" t="s">
        <v>835</v>
      </c>
      <c r="C755" t="s">
        <v>217</v>
      </c>
      <c r="D755">
        <v>32</v>
      </c>
      <c r="E755" t="s">
        <v>23</v>
      </c>
      <c r="F755" t="s">
        <v>54</v>
      </c>
      <c r="G755" t="s">
        <v>282</v>
      </c>
      <c r="H755">
        <v>2</v>
      </c>
      <c r="I755">
        <v>14800</v>
      </c>
      <c r="J755">
        <v>15</v>
      </c>
      <c r="K755" t="s">
        <v>19</v>
      </c>
      <c r="L755" t="s">
        <v>51</v>
      </c>
      <c r="M755">
        <v>25160</v>
      </c>
      <c r="N755" t="s">
        <v>21</v>
      </c>
    </row>
    <row r="756" spans="1:14" x14ac:dyDescent="0.25">
      <c r="A756" t="s">
        <v>1062</v>
      </c>
      <c r="B756" s="5">
        <v>44989</v>
      </c>
      <c r="C756" t="s">
        <v>358</v>
      </c>
      <c r="D756">
        <v>33</v>
      </c>
      <c r="E756" t="s">
        <v>23</v>
      </c>
      <c r="F756" t="s">
        <v>54</v>
      </c>
      <c r="G756" t="s">
        <v>144</v>
      </c>
      <c r="H756">
        <v>2</v>
      </c>
      <c r="I756">
        <v>73700</v>
      </c>
      <c r="J756">
        <v>0</v>
      </c>
      <c r="K756" t="s">
        <v>487</v>
      </c>
      <c r="L756" t="s">
        <v>20</v>
      </c>
      <c r="M756">
        <v>147400</v>
      </c>
      <c r="N756" t="s">
        <v>349</v>
      </c>
    </row>
    <row r="757" spans="1:14" x14ac:dyDescent="0.25">
      <c r="A757" t="s">
        <v>1063</v>
      </c>
      <c r="B757" s="5">
        <v>45035</v>
      </c>
      <c r="C757" t="s">
        <v>241</v>
      </c>
      <c r="D757">
        <v>54</v>
      </c>
      <c r="E757" t="s">
        <v>16</v>
      </c>
      <c r="F757" t="s">
        <v>54</v>
      </c>
      <c r="G757" t="s">
        <v>92</v>
      </c>
      <c r="H757">
        <v>1</v>
      </c>
      <c r="I757">
        <v>14700</v>
      </c>
      <c r="J757">
        <v>0</v>
      </c>
      <c r="K757" t="s">
        <v>19</v>
      </c>
      <c r="L757" t="s">
        <v>20</v>
      </c>
      <c r="M757">
        <v>14700</v>
      </c>
      <c r="N757" t="s">
        <v>45</v>
      </c>
    </row>
    <row r="758" spans="1:14" x14ac:dyDescent="0.25">
      <c r="A758" t="s">
        <v>1064</v>
      </c>
      <c r="B758" s="5">
        <v>45148</v>
      </c>
      <c r="D758">
        <v>60</v>
      </c>
      <c r="E758" t="s">
        <v>73</v>
      </c>
      <c r="F758" t="s">
        <v>17</v>
      </c>
      <c r="G758" t="s">
        <v>94</v>
      </c>
      <c r="H758">
        <v>1</v>
      </c>
      <c r="I758">
        <v>3100</v>
      </c>
      <c r="J758">
        <v>10</v>
      </c>
      <c r="K758" t="s">
        <v>19</v>
      </c>
      <c r="L758" t="s">
        <v>20</v>
      </c>
      <c r="M758">
        <v>2790</v>
      </c>
      <c r="N758" t="s">
        <v>45</v>
      </c>
    </row>
    <row r="759" spans="1:14" x14ac:dyDescent="0.25">
      <c r="A759" t="s">
        <v>1065</v>
      </c>
      <c r="B759" s="5" t="s">
        <v>1066</v>
      </c>
      <c r="D759">
        <v>49</v>
      </c>
      <c r="E759" t="s">
        <v>16</v>
      </c>
      <c r="F759" t="s">
        <v>345</v>
      </c>
      <c r="G759" t="s">
        <v>126</v>
      </c>
      <c r="H759">
        <v>3</v>
      </c>
      <c r="I759">
        <v>581</v>
      </c>
      <c r="J759">
        <v>0</v>
      </c>
      <c r="K759" t="s">
        <v>19</v>
      </c>
      <c r="L759" t="s">
        <v>37</v>
      </c>
      <c r="M759">
        <v>1743</v>
      </c>
      <c r="N759" t="s">
        <v>26</v>
      </c>
    </row>
    <row r="760" spans="1:14" x14ac:dyDescent="0.25">
      <c r="A760" t="s">
        <v>1067</v>
      </c>
      <c r="B760" s="5">
        <v>44935</v>
      </c>
      <c r="C760" t="s">
        <v>393</v>
      </c>
      <c r="D760">
        <v>46</v>
      </c>
      <c r="E760" t="s">
        <v>23</v>
      </c>
      <c r="F760" t="s">
        <v>54</v>
      </c>
      <c r="G760" t="s">
        <v>88</v>
      </c>
      <c r="H760">
        <v>1</v>
      </c>
      <c r="I760">
        <v>38900</v>
      </c>
      <c r="J760">
        <v>10</v>
      </c>
      <c r="K760" t="s">
        <v>50</v>
      </c>
      <c r="L760" t="s">
        <v>20</v>
      </c>
      <c r="M760">
        <v>35010</v>
      </c>
      <c r="N760" t="s">
        <v>38</v>
      </c>
    </row>
    <row r="761" spans="1:14" x14ac:dyDescent="0.25">
      <c r="A761" t="s">
        <v>1068</v>
      </c>
      <c r="B761" s="5">
        <v>45210</v>
      </c>
      <c r="C761" t="s">
        <v>87</v>
      </c>
      <c r="D761">
        <v>32</v>
      </c>
      <c r="E761" t="s">
        <v>23</v>
      </c>
      <c r="F761" t="s">
        <v>17</v>
      </c>
      <c r="G761" t="s">
        <v>124</v>
      </c>
      <c r="H761">
        <v>1</v>
      </c>
      <c r="I761">
        <v>6150</v>
      </c>
      <c r="J761">
        <v>40</v>
      </c>
      <c r="K761" t="s">
        <v>19</v>
      </c>
      <c r="L761" t="s">
        <v>20</v>
      </c>
      <c r="M761">
        <v>14760</v>
      </c>
      <c r="N761" t="s">
        <v>167</v>
      </c>
    </row>
    <row r="762" spans="1:14" x14ac:dyDescent="0.25">
      <c r="A762" t="s">
        <v>1069</v>
      </c>
      <c r="B762" s="5">
        <v>44984</v>
      </c>
      <c r="C762" t="s">
        <v>28</v>
      </c>
      <c r="D762">
        <v>62</v>
      </c>
      <c r="E762" t="s">
        <v>16</v>
      </c>
      <c r="F762" t="s">
        <v>35</v>
      </c>
      <c r="G762" t="s">
        <v>147</v>
      </c>
      <c r="H762">
        <v>5</v>
      </c>
      <c r="I762">
        <v>427</v>
      </c>
      <c r="J762">
        <v>0</v>
      </c>
      <c r="K762" t="s">
        <v>19</v>
      </c>
      <c r="L762" t="s">
        <v>56</v>
      </c>
      <c r="M762">
        <v>2135</v>
      </c>
      <c r="N762" t="s">
        <v>38</v>
      </c>
    </row>
    <row r="763" spans="1:14" x14ac:dyDescent="0.25">
      <c r="A763" t="s">
        <v>1070</v>
      </c>
      <c r="B763" s="5" t="s">
        <v>1356</v>
      </c>
      <c r="C763" t="s">
        <v>160</v>
      </c>
      <c r="D763">
        <v>21</v>
      </c>
      <c r="E763" t="s">
        <v>16</v>
      </c>
      <c r="F763" t="s">
        <v>30</v>
      </c>
      <c r="G763" t="s">
        <v>130</v>
      </c>
      <c r="H763">
        <v>7</v>
      </c>
      <c r="J763">
        <v>0</v>
      </c>
      <c r="K763" t="s">
        <v>19</v>
      </c>
      <c r="L763" t="s">
        <v>20</v>
      </c>
      <c r="N763" t="s">
        <v>45</v>
      </c>
    </row>
    <row r="764" spans="1:14" x14ac:dyDescent="0.25">
      <c r="A764" t="s">
        <v>1071</v>
      </c>
      <c r="B764" s="5" t="s">
        <v>1072</v>
      </c>
      <c r="C764" t="s">
        <v>358</v>
      </c>
      <c r="D764">
        <v>50</v>
      </c>
      <c r="E764" t="s">
        <v>146</v>
      </c>
      <c r="F764" t="s">
        <v>54</v>
      </c>
      <c r="G764" t="s">
        <v>237</v>
      </c>
      <c r="H764">
        <v>1</v>
      </c>
      <c r="I764">
        <v>34000</v>
      </c>
      <c r="J764">
        <v>50</v>
      </c>
      <c r="K764" t="s">
        <v>41</v>
      </c>
      <c r="L764" t="s">
        <v>107</v>
      </c>
      <c r="M764">
        <v>17000</v>
      </c>
      <c r="N764" t="s">
        <v>26</v>
      </c>
    </row>
    <row r="765" spans="1:14" x14ac:dyDescent="0.25">
      <c r="A765" t="s">
        <v>1073</v>
      </c>
      <c r="B765" s="5">
        <v>45034</v>
      </c>
      <c r="C765" t="s">
        <v>48</v>
      </c>
      <c r="D765">
        <v>58</v>
      </c>
      <c r="E765" t="s">
        <v>16</v>
      </c>
      <c r="F765" t="s">
        <v>30</v>
      </c>
      <c r="G765" t="s">
        <v>540</v>
      </c>
      <c r="H765">
        <v>2</v>
      </c>
      <c r="I765">
        <v>3338</v>
      </c>
      <c r="J765">
        <v>50</v>
      </c>
      <c r="K765" t="s">
        <v>50</v>
      </c>
      <c r="L765" t="s">
        <v>51</v>
      </c>
      <c r="M765">
        <v>3338</v>
      </c>
      <c r="N765" t="s">
        <v>352</v>
      </c>
    </row>
    <row r="766" spans="1:14" x14ac:dyDescent="0.25">
      <c r="A766" t="s">
        <v>1074</v>
      </c>
      <c r="B766" s="5">
        <v>45265</v>
      </c>
      <c r="C766" t="s">
        <v>48</v>
      </c>
      <c r="D766">
        <v>47</v>
      </c>
      <c r="E766" t="s">
        <v>16</v>
      </c>
      <c r="F766" t="s">
        <v>254</v>
      </c>
      <c r="G766" t="s">
        <v>104</v>
      </c>
      <c r="H766">
        <v>1</v>
      </c>
      <c r="I766">
        <v>13300</v>
      </c>
      <c r="J766">
        <v>0</v>
      </c>
      <c r="K766" t="s">
        <v>25</v>
      </c>
      <c r="L766" t="s">
        <v>56</v>
      </c>
      <c r="M766">
        <v>13300</v>
      </c>
      <c r="N766" t="s">
        <v>26</v>
      </c>
    </row>
    <row r="767" spans="1:14" x14ac:dyDescent="0.25">
      <c r="A767" t="s">
        <v>1075</v>
      </c>
      <c r="B767" s="5" t="s">
        <v>1076</v>
      </c>
      <c r="C767" t="s">
        <v>66</v>
      </c>
      <c r="D767">
        <v>41</v>
      </c>
      <c r="E767" t="s">
        <v>138</v>
      </c>
      <c r="F767" t="s">
        <v>30</v>
      </c>
      <c r="G767" t="s">
        <v>195</v>
      </c>
      <c r="H767">
        <v>9</v>
      </c>
      <c r="I767">
        <v>3936</v>
      </c>
      <c r="J767">
        <v>25</v>
      </c>
      <c r="K767" t="s">
        <v>19</v>
      </c>
      <c r="L767" t="s">
        <v>20</v>
      </c>
      <c r="M767">
        <v>26568</v>
      </c>
      <c r="N767" t="s">
        <v>26</v>
      </c>
    </row>
    <row r="768" spans="1:14" x14ac:dyDescent="0.25">
      <c r="A768" t="s">
        <v>1077</v>
      </c>
      <c r="B768" s="5">
        <v>45074</v>
      </c>
      <c r="C768" t="s">
        <v>1078</v>
      </c>
      <c r="D768">
        <v>22</v>
      </c>
      <c r="E768" t="s">
        <v>73</v>
      </c>
      <c r="F768" t="s">
        <v>30</v>
      </c>
      <c r="G768" t="s">
        <v>294</v>
      </c>
      <c r="H768">
        <v>6</v>
      </c>
      <c r="I768">
        <v>324</v>
      </c>
      <c r="J768">
        <v>15</v>
      </c>
      <c r="K768" t="s">
        <v>50</v>
      </c>
      <c r="L768" t="s">
        <v>56</v>
      </c>
      <c r="M768">
        <v>1652.4</v>
      </c>
      <c r="N768" t="s">
        <v>45</v>
      </c>
    </row>
    <row r="769" spans="1:14" x14ac:dyDescent="0.25">
      <c r="A769" t="s">
        <v>1079</v>
      </c>
      <c r="B769" s="5">
        <v>45276</v>
      </c>
      <c r="C769" t="s">
        <v>79</v>
      </c>
      <c r="D769">
        <v>36</v>
      </c>
      <c r="E769" t="s">
        <v>16</v>
      </c>
      <c r="F769" t="s">
        <v>30</v>
      </c>
      <c r="G769" t="s">
        <v>67</v>
      </c>
      <c r="H769">
        <v>6</v>
      </c>
      <c r="I769">
        <v>2329</v>
      </c>
      <c r="J769">
        <v>25</v>
      </c>
      <c r="K769" t="s">
        <v>19</v>
      </c>
      <c r="L769" t="s">
        <v>20</v>
      </c>
      <c r="M769">
        <v>10480.5</v>
      </c>
      <c r="N769" t="s">
        <v>45</v>
      </c>
    </row>
    <row r="770" spans="1:14" x14ac:dyDescent="0.25">
      <c r="A770" t="s">
        <v>1080</v>
      </c>
      <c r="B770" s="5" t="s">
        <v>1081</v>
      </c>
      <c r="C770" t="s">
        <v>66</v>
      </c>
      <c r="D770">
        <v>20</v>
      </c>
      <c r="E770" t="s">
        <v>16</v>
      </c>
      <c r="F770" t="s">
        <v>17</v>
      </c>
      <c r="G770" t="s">
        <v>49</v>
      </c>
      <c r="H770">
        <v>3</v>
      </c>
      <c r="I770">
        <v>1850</v>
      </c>
      <c r="J770">
        <v>25</v>
      </c>
      <c r="K770" t="s">
        <v>25</v>
      </c>
      <c r="L770" t="s">
        <v>20</v>
      </c>
      <c r="M770">
        <v>4162.5</v>
      </c>
      <c r="N770" t="s">
        <v>45</v>
      </c>
    </row>
    <row r="771" spans="1:14" x14ac:dyDescent="0.25">
      <c r="A771" t="s">
        <v>1082</v>
      </c>
      <c r="B771" s="5">
        <v>45069</v>
      </c>
      <c r="D771">
        <v>27</v>
      </c>
      <c r="E771" t="s">
        <v>23</v>
      </c>
      <c r="F771" t="s">
        <v>30</v>
      </c>
      <c r="G771" t="s">
        <v>235</v>
      </c>
      <c r="H771">
        <v>6</v>
      </c>
      <c r="I771">
        <v>2624</v>
      </c>
      <c r="J771">
        <v>25</v>
      </c>
      <c r="K771" t="s">
        <v>50</v>
      </c>
      <c r="L771" t="s">
        <v>493</v>
      </c>
      <c r="M771">
        <v>11808</v>
      </c>
      <c r="N771" t="s">
        <v>26</v>
      </c>
    </row>
    <row r="772" spans="1:14" x14ac:dyDescent="0.25">
      <c r="A772" t="s">
        <v>1083</v>
      </c>
      <c r="B772" s="5" t="s">
        <v>1084</v>
      </c>
      <c r="C772" t="s">
        <v>28</v>
      </c>
      <c r="D772">
        <v>36</v>
      </c>
      <c r="E772" t="s">
        <v>44</v>
      </c>
      <c r="F772" t="s">
        <v>30</v>
      </c>
      <c r="G772" t="s">
        <v>153</v>
      </c>
      <c r="H772">
        <v>2</v>
      </c>
      <c r="I772">
        <v>1945</v>
      </c>
      <c r="J772">
        <v>5</v>
      </c>
      <c r="K772" t="s">
        <v>50</v>
      </c>
      <c r="L772" t="s">
        <v>20</v>
      </c>
      <c r="M772">
        <v>3695.5</v>
      </c>
      <c r="N772" t="s">
        <v>375</v>
      </c>
    </row>
    <row r="773" spans="1:14" x14ac:dyDescent="0.25">
      <c r="A773" t="s">
        <v>1085</v>
      </c>
      <c r="B773" s="5" t="s">
        <v>481</v>
      </c>
      <c r="C773" t="s">
        <v>217</v>
      </c>
      <c r="E773" t="s">
        <v>29</v>
      </c>
      <c r="F773" t="s">
        <v>17</v>
      </c>
      <c r="G773" t="s">
        <v>117</v>
      </c>
      <c r="H773">
        <v>2</v>
      </c>
      <c r="I773">
        <v>5700</v>
      </c>
      <c r="J773">
        <v>0</v>
      </c>
      <c r="K773" t="s">
        <v>50</v>
      </c>
      <c r="L773" t="s">
        <v>20</v>
      </c>
      <c r="M773">
        <v>11400</v>
      </c>
      <c r="N773" t="s">
        <v>26</v>
      </c>
    </row>
    <row r="774" spans="1:14" x14ac:dyDescent="0.25">
      <c r="A774" t="s">
        <v>1086</v>
      </c>
      <c r="B774" s="5">
        <v>45100</v>
      </c>
      <c r="C774" t="s">
        <v>452</v>
      </c>
      <c r="D774">
        <v>38</v>
      </c>
      <c r="E774" t="s">
        <v>16</v>
      </c>
      <c r="F774" t="s">
        <v>30</v>
      </c>
      <c r="G774" t="s">
        <v>294</v>
      </c>
      <c r="H774">
        <v>1</v>
      </c>
      <c r="I774">
        <v>498</v>
      </c>
      <c r="J774">
        <v>30</v>
      </c>
      <c r="K774" t="s">
        <v>50</v>
      </c>
      <c r="L774" t="s">
        <v>51</v>
      </c>
      <c r="M774">
        <v>348.6</v>
      </c>
      <c r="N774" t="s">
        <v>45</v>
      </c>
    </row>
    <row r="775" spans="1:14" x14ac:dyDescent="0.25">
      <c r="A775" t="s">
        <v>1087</v>
      </c>
      <c r="B775" s="5">
        <v>44969</v>
      </c>
      <c r="C775" t="s">
        <v>87</v>
      </c>
      <c r="D775">
        <v>999</v>
      </c>
      <c r="E775" t="s">
        <v>16</v>
      </c>
      <c r="F775" t="s">
        <v>30</v>
      </c>
      <c r="G775" t="s">
        <v>135</v>
      </c>
      <c r="H775">
        <v>10</v>
      </c>
      <c r="I775">
        <v>11496</v>
      </c>
      <c r="J775">
        <v>10</v>
      </c>
      <c r="K775" t="s">
        <v>41</v>
      </c>
      <c r="L775" t="s">
        <v>20</v>
      </c>
      <c r="M775">
        <v>103464</v>
      </c>
      <c r="N775" t="s">
        <v>26</v>
      </c>
    </row>
    <row r="776" spans="1:14" x14ac:dyDescent="0.25">
      <c r="A776" t="s">
        <v>1088</v>
      </c>
      <c r="B776" s="5">
        <v>45139</v>
      </c>
      <c r="C776" t="s">
        <v>207</v>
      </c>
      <c r="D776">
        <v>60</v>
      </c>
      <c r="E776" t="s">
        <v>138</v>
      </c>
      <c r="F776" t="s">
        <v>30</v>
      </c>
      <c r="G776" t="s">
        <v>218</v>
      </c>
      <c r="H776">
        <v>9</v>
      </c>
      <c r="I776">
        <v>3028</v>
      </c>
      <c r="J776">
        <v>20</v>
      </c>
      <c r="K776" t="s">
        <v>381</v>
      </c>
      <c r="L776" t="s">
        <v>363</v>
      </c>
      <c r="M776">
        <v>21801.599999999999</v>
      </c>
      <c r="N776" t="s">
        <v>21</v>
      </c>
    </row>
    <row r="777" spans="1:14" x14ac:dyDescent="0.25">
      <c r="A777" t="s">
        <v>1089</v>
      </c>
      <c r="B777" s="5">
        <v>45280</v>
      </c>
      <c r="C777" t="s">
        <v>43</v>
      </c>
      <c r="D777">
        <v>24</v>
      </c>
      <c r="E777" t="s">
        <v>16</v>
      </c>
      <c r="F777" t="s">
        <v>17</v>
      </c>
      <c r="G777" t="s">
        <v>49</v>
      </c>
      <c r="H777">
        <v>3</v>
      </c>
      <c r="I777">
        <v>800</v>
      </c>
      <c r="J777">
        <v>15</v>
      </c>
      <c r="K777" t="s">
        <v>41</v>
      </c>
      <c r="L777" t="s">
        <v>20</v>
      </c>
      <c r="M777">
        <v>8160</v>
      </c>
      <c r="N777" t="s">
        <v>38</v>
      </c>
    </row>
    <row r="778" spans="1:14" x14ac:dyDescent="0.25">
      <c r="A778" t="s">
        <v>1090</v>
      </c>
      <c r="B778" s="5">
        <v>44958</v>
      </c>
      <c r="C778" t="s">
        <v>160</v>
      </c>
      <c r="D778">
        <v>29</v>
      </c>
      <c r="E778" t="s">
        <v>16</v>
      </c>
      <c r="F778" t="s">
        <v>17</v>
      </c>
      <c r="G778" t="s">
        <v>80</v>
      </c>
      <c r="H778">
        <v>2</v>
      </c>
      <c r="I778">
        <v>5100</v>
      </c>
      <c r="J778">
        <v>10</v>
      </c>
      <c r="K778" t="s">
        <v>50</v>
      </c>
      <c r="L778" t="s">
        <v>20</v>
      </c>
      <c r="M778">
        <v>9180</v>
      </c>
      <c r="N778" t="s">
        <v>38</v>
      </c>
    </row>
    <row r="779" spans="1:14" x14ac:dyDescent="0.25">
      <c r="A779" t="s">
        <v>1091</v>
      </c>
      <c r="B779" s="5">
        <v>45001</v>
      </c>
      <c r="C779" t="s">
        <v>170</v>
      </c>
      <c r="D779">
        <v>19</v>
      </c>
      <c r="E779" t="s">
        <v>16</v>
      </c>
      <c r="F779" t="s">
        <v>17</v>
      </c>
      <c r="G779" t="s">
        <v>18</v>
      </c>
      <c r="H779">
        <v>3</v>
      </c>
      <c r="I779">
        <v>2500</v>
      </c>
      <c r="J779">
        <v>10</v>
      </c>
      <c r="K779" t="s">
        <v>41</v>
      </c>
      <c r="L779" t="s">
        <v>56</v>
      </c>
      <c r="M779">
        <v>6750</v>
      </c>
      <c r="N779" t="s">
        <v>225</v>
      </c>
    </row>
    <row r="780" spans="1:14" x14ac:dyDescent="0.25">
      <c r="A780" t="s">
        <v>1092</v>
      </c>
      <c r="B780" s="5">
        <v>45147</v>
      </c>
      <c r="C780" t="s">
        <v>165</v>
      </c>
      <c r="D780">
        <v>54</v>
      </c>
      <c r="E780" t="s">
        <v>16</v>
      </c>
      <c r="F780" t="s">
        <v>17</v>
      </c>
      <c r="G780" t="s">
        <v>274</v>
      </c>
      <c r="H780">
        <v>1</v>
      </c>
      <c r="I780">
        <v>3700</v>
      </c>
      <c r="J780">
        <v>-10</v>
      </c>
      <c r="K780" t="s">
        <v>41</v>
      </c>
      <c r="L780" t="s">
        <v>20</v>
      </c>
      <c r="M780">
        <v>3700</v>
      </c>
      <c r="N780" t="s">
        <v>26</v>
      </c>
    </row>
    <row r="781" spans="1:14" x14ac:dyDescent="0.25">
      <c r="A781" t="s">
        <v>1093</v>
      </c>
      <c r="B781" s="5" t="s">
        <v>512</v>
      </c>
      <c r="C781" t="s">
        <v>1094</v>
      </c>
      <c r="D781">
        <v>49</v>
      </c>
      <c r="E781" t="s">
        <v>475</v>
      </c>
      <c r="F781" t="s">
        <v>17</v>
      </c>
      <c r="G781" t="s">
        <v>94</v>
      </c>
      <c r="H781">
        <v>2</v>
      </c>
      <c r="I781">
        <v>3800</v>
      </c>
      <c r="J781">
        <v>25</v>
      </c>
      <c r="K781" t="s">
        <v>25</v>
      </c>
      <c r="L781" t="s">
        <v>20</v>
      </c>
      <c r="M781">
        <v>5700</v>
      </c>
      <c r="N781" t="s">
        <v>38</v>
      </c>
    </row>
    <row r="782" spans="1:14" x14ac:dyDescent="0.25">
      <c r="A782" t="s">
        <v>1095</v>
      </c>
      <c r="B782" s="5">
        <v>45137</v>
      </c>
      <c r="C782" t="s">
        <v>179</v>
      </c>
      <c r="D782">
        <v>62</v>
      </c>
      <c r="E782" t="s">
        <v>73</v>
      </c>
      <c r="F782" t="s">
        <v>30</v>
      </c>
      <c r="G782" t="s">
        <v>224</v>
      </c>
      <c r="H782">
        <v>6</v>
      </c>
      <c r="I782">
        <v>1442</v>
      </c>
      <c r="J782">
        <v>0</v>
      </c>
      <c r="K782" t="s">
        <v>19</v>
      </c>
      <c r="L782" t="s">
        <v>37</v>
      </c>
      <c r="M782">
        <v>8652</v>
      </c>
      <c r="N782" t="s">
        <v>356</v>
      </c>
    </row>
    <row r="783" spans="1:14" x14ac:dyDescent="0.25">
      <c r="A783" t="s">
        <v>1096</v>
      </c>
      <c r="B783" s="5" t="s">
        <v>466</v>
      </c>
      <c r="E783" t="s">
        <v>23</v>
      </c>
      <c r="F783" t="s">
        <v>438</v>
      </c>
      <c r="G783" t="s">
        <v>18</v>
      </c>
      <c r="H783">
        <v>2</v>
      </c>
      <c r="I783">
        <v>3450</v>
      </c>
      <c r="J783">
        <v>5</v>
      </c>
      <c r="K783" t="s">
        <v>50</v>
      </c>
      <c r="L783" t="s">
        <v>20</v>
      </c>
      <c r="M783">
        <v>6555</v>
      </c>
      <c r="N783" t="s">
        <v>45</v>
      </c>
    </row>
    <row r="784" spans="1:14" x14ac:dyDescent="0.25">
      <c r="A784" t="s">
        <v>1097</v>
      </c>
      <c r="B784" s="5" t="s">
        <v>1377</v>
      </c>
      <c r="C784" t="s">
        <v>15</v>
      </c>
      <c r="D784">
        <v>65</v>
      </c>
      <c r="E784" t="s">
        <v>16</v>
      </c>
      <c r="F784" t="s">
        <v>17</v>
      </c>
      <c r="G784" t="s">
        <v>274</v>
      </c>
      <c r="H784">
        <v>2</v>
      </c>
      <c r="I784">
        <v>2000</v>
      </c>
      <c r="J784">
        <v>5</v>
      </c>
      <c r="K784" t="s">
        <v>41</v>
      </c>
      <c r="L784" t="s">
        <v>51</v>
      </c>
      <c r="M784">
        <v>2000</v>
      </c>
      <c r="N784" t="s">
        <v>33</v>
      </c>
    </row>
    <row r="785" spans="1:14" x14ac:dyDescent="0.25">
      <c r="A785" t="s">
        <v>1098</v>
      </c>
      <c r="B785" s="5">
        <v>45047</v>
      </c>
      <c r="C785" t="s">
        <v>179</v>
      </c>
      <c r="D785">
        <v>27</v>
      </c>
      <c r="E785" t="s">
        <v>16</v>
      </c>
      <c r="F785" t="s">
        <v>438</v>
      </c>
      <c r="G785" t="s">
        <v>186</v>
      </c>
      <c r="H785">
        <v>3</v>
      </c>
      <c r="I785">
        <v>2550</v>
      </c>
      <c r="J785">
        <v>50</v>
      </c>
      <c r="K785" t="s">
        <v>41</v>
      </c>
      <c r="L785" t="s">
        <v>20</v>
      </c>
      <c r="M785">
        <v>3825</v>
      </c>
      <c r="N785" t="s">
        <v>38</v>
      </c>
    </row>
    <row r="786" spans="1:14" x14ac:dyDescent="0.25">
      <c r="A786" t="s">
        <v>1099</v>
      </c>
      <c r="B786" s="5" t="s">
        <v>47</v>
      </c>
      <c r="D786">
        <v>54</v>
      </c>
      <c r="E786" t="s">
        <v>23</v>
      </c>
      <c r="F786" t="s">
        <v>30</v>
      </c>
      <c r="G786" t="s">
        <v>235</v>
      </c>
      <c r="H786">
        <v>5</v>
      </c>
      <c r="I786">
        <v>2697</v>
      </c>
      <c r="K786" t="s">
        <v>19</v>
      </c>
      <c r="L786" t="s">
        <v>20</v>
      </c>
      <c r="M786">
        <v>13485</v>
      </c>
      <c r="N786" t="s">
        <v>45</v>
      </c>
    </row>
    <row r="787" spans="1:14" x14ac:dyDescent="0.25">
      <c r="A787" t="s">
        <v>1100</v>
      </c>
      <c r="B787" s="5">
        <v>45235</v>
      </c>
      <c r="D787">
        <v>60</v>
      </c>
      <c r="E787" t="s">
        <v>23</v>
      </c>
      <c r="F787" t="s">
        <v>129</v>
      </c>
      <c r="G787" t="s">
        <v>130</v>
      </c>
      <c r="H787">
        <v>3</v>
      </c>
      <c r="I787">
        <v>2405</v>
      </c>
      <c r="J787">
        <v>0</v>
      </c>
      <c r="K787" t="s">
        <v>41</v>
      </c>
      <c r="L787" t="s">
        <v>20</v>
      </c>
      <c r="M787">
        <v>7215</v>
      </c>
      <c r="N787" t="s">
        <v>26</v>
      </c>
    </row>
    <row r="788" spans="1:14" x14ac:dyDescent="0.25">
      <c r="A788" t="s">
        <v>1101</v>
      </c>
      <c r="B788" s="5">
        <v>45118</v>
      </c>
      <c r="C788" t="s">
        <v>102</v>
      </c>
      <c r="D788">
        <v>23</v>
      </c>
      <c r="E788" t="s">
        <v>16</v>
      </c>
      <c r="F788" t="s">
        <v>177</v>
      </c>
      <c r="G788" t="s">
        <v>271</v>
      </c>
      <c r="H788">
        <v>6</v>
      </c>
      <c r="I788">
        <v>431</v>
      </c>
      <c r="J788">
        <v>5</v>
      </c>
      <c r="K788" t="s">
        <v>19</v>
      </c>
      <c r="L788" t="s">
        <v>20</v>
      </c>
      <c r="M788">
        <v>2456.6999999999998</v>
      </c>
      <c r="N788" t="s">
        <v>26</v>
      </c>
    </row>
    <row r="789" spans="1:14" x14ac:dyDescent="0.25">
      <c r="A789" t="s">
        <v>1102</v>
      </c>
      <c r="B789" s="5">
        <v>45028</v>
      </c>
      <c r="D789">
        <v>21</v>
      </c>
      <c r="E789" t="s">
        <v>16</v>
      </c>
      <c r="F789" t="s">
        <v>35</v>
      </c>
      <c r="G789" t="s">
        <v>166</v>
      </c>
      <c r="H789">
        <v>3</v>
      </c>
      <c r="I789">
        <v>9</v>
      </c>
      <c r="J789">
        <v>50</v>
      </c>
      <c r="K789" t="s">
        <v>19</v>
      </c>
      <c r="L789" t="s">
        <v>20</v>
      </c>
      <c r="M789">
        <v>13.5</v>
      </c>
      <c r="N789" t="s">
        <v>45</v>
      </c>
    </row>
    <row r="790" spans="1:14" x14ac:dyDescent="0.25">
      <c r="A790" t="s">
        <v>1103</v>
      </c>
      <c r="B790" s="5">
        <v>45086</v>
      </c>
      <c r="C790" t="s">
        <v>110</v>
      </c>
      <c r="D790">
        <v>25</v>
      </c>
      <c r="E790" t="s">
        <v>16</v>
      </c>
      <c r="F790" t="s">
        <v>30</v>
      </c>
      <c r="G790" t="s">
        <v>294</v>
      </c>
      <c r="H790">
        <v>3</v>
      </c>
      <c r="I790">
        <v>744</v>
      </c>
      <c r="J790">
        <v>0</v>
      </c>
      <c r="K790" t="s">
        <v>19</v>
      </c>
      <c r="L790" t="s">
        <v>417</v>
      </c>
      <c r="M790">
        <v>2232</v>
      </c>
      <c r="N790" t="s">
        <v>21</v>
      </c>
    </row>
    <row r="791" spans="1:14" x14ac:dyDescent="0.25">
      <c r="A791" t="s">
        <v>1104</v>
      </c>
      <c r="B791" s="5">
        <v>45241</v>
      </c>
      <c r="C791" t="s">
        <v>245</v>
      </c>
      <c r="D791">
        <v>28</v>
      </c>
      <c r="E791" t="s">
        <v>23</v>
      </c>
      <c r="F791" t="s">
        <v>30</v>
      </c>
      <c r="G791" t="s">
        <v>540</v>
      </c>
      <c r="H791">
        <v>99</v>
      </c>
      <c r="I791">
        <v>3814</v>
      </c>
      <c r="J791">
        <v>50</v>
      </c>
      <c r="K791" t="s">
        <v>19</v>
      </c>
      <c r="L791" t="s">
        <v>20</v>
      </c>
      <c r="M791">
        <v>188793</v>
      </c>
      <c r="N791" t="s">
        <v>21</v>
      </c>
    </row>
    <row r="792" spans="1:14" x14ac:dyDescent="0.25">
      <c r="A792" t="s">
        <v>1105</v>
      </c>
      <c r="B792" s="5" t="s">
        <v>424</v>
      </c>
      <c r="C792" t="s">
        <v>62</v>
      </c>
      <c r="D792">
        <v>54</v>
      </c>
      <c r="E792" t="s">
        <v>23</v>
      </c>
      <c r="F792" t="s">
        <v>30</v>
      </c>
      <c r="G792" t="s">
        <v>67</v>
      </c>
      <c r="H792">
        <v>6</v>
      </c>
      <c r="I792">
        <v>4358</v>
      </c>
      <c r="J792">
        <v>20</v>
      </c>
      <c r="K792" t="s">
        <v>41</v>
      </c>
      <c r="L792" t="s">
        <v>20</v>
      </c>
      <c r="M792">
        <v>20918.400000000001</v>
      </c>
      <c r="N792" t="s">
        <v>21</v>
      </c>
    </row>
    <row r="793" spans="1:14" x14ac:dyDescent="0.25">
      <c r="A793" t="s">
        <v>1106</v>
      </c>
      <c r="B793" s="5" t="s">
        <v>1107</v>
      </c>
      <c r="D793">
        <v>22</v>
      </c>
      <c r="E793" t="s">
        <v>16</v>
      </c>
      <c r="F793" t="s">
        <v>54</v>
      </c>
      <c r="G793" t="s">
        <v>55</v>
      </c>
      <c r="H793">
        <v>0</v>
      </c>
      <c r="I793">
        <v>40900</v>
      </c>
      <c r="J793">
        <v>10</v>
      </c>
      <c r="K793" t="s">
        <v>25</v>
      </c>
      <c r="L793" t="s">
        <v>20</v>
      </c>
      <c r="M793">
        <v>0</v>
      </c>
      <c r="N793" t="s">
        <v>38</v>
      </c>
    </row>
    <row r="794" spans="1:14" x14ac:dyDescent="0.25">
      <c r="A794" t="s">
        <v>1108</v>
      </c>
      <c r="B794" s="5">
        <v>45258</v>
      </c>
      <c r="C794" t="s">
        <v>188</v>
      </c>
      <c r="D794">
        <v>51</v>
      </c>
      <c r="E794" t="s">
        <v>23</v>
      </c>
      <c r="F794" t="s">
        <v>30</v>
      </c>
      <c r="G794" t="s">
        <v>224</v>
      </c>
      <c r="H794">
        <v>10</v>
      </c>
      <c r="I794">
        <v>7</v>
      </c>
      <c r="J794">
        <v>5</v>
      </c>
      <c r="K794" t="s">
        <v>25</v>
      </c>
      <c r="L794" t="s">
        <v>20</v>
      </c>
      <c r="M794">
        <v>66.5</v>
      </c>
      <c r="N794" t="s">
        <v>45</v>
      </c>
    </row>
    <row r="795" spans="1:14" x14ac:dyDescent="0.25">
      <c r="A795" t="s">
        <v>1109</v>
      </c>
      <c r="B795" s="5" t="s">
        <v>565</v>
      </c>
      <c r="D795">
        <v>35</v>
      </c>
      <c r="E795" t="s">
        <v>23</v>
      </c>
      <c r="F795" t="s">
        <v>17</v>
      </c>
      <c r="G795" t="s">
        <v>189</v>
      </c>
      <c r="H795">
        <v>1</v>
      </c>
      <c r="I795">
        <v>2400</v>
      </c>
      <c r="J795">
        <v>10</v>
      </c>
      <c r="K795" t="s">
        <v>222</v>
      </c>
      <c r="L795" t="s">
        <v>56</v>
      </c>
      <c r="M795">
        <v>2160</v>
      </c>
      <c r="N795" t="s">
        <v>45</v>
      </c>
    </row>
    <row r="796" spans="1:14" x14ac:dyDescent="0.25">
      <c r="A796" t="s">
        <v>1110</v>
      </c>
      <c r="B796" s="5">
        <v>45203</v>
      </c>
      <c r="C796" t="s">
        <v>211</v>
      </c>
      <c r="D796">
        <v>44</v>
      </c>
      <c r="E796" t="s">
        <v>23</v>
      </c>
      <c r="F796" t="s">
        <v>35</v>
      </c>
      <c r="G796" t="s">
        <v>271</v>
      </c>
      <c r="H796">
        <v>1</v>
      </c>
      <c r="I796">
        <v>536</v>
      </c>
      <c r="J796">
        <v>0</v>
      </c>
      <c r="K796" t="s">
        <v>41</v>
      </c>
      <c r="L796" t="s">
        <v>56</v>
      </c>
      <c r="M796">
        <v>536</v>
      </c>
      <c r="N796" t="s">
        <v>38</v>
      </c>
    </row>
    <row r="797" spans="1:14" x14ac:dyDescent="0.25">
      <c r="A797" t="s">
        <v>1111</v>
      </c>
      <c r="B797" s="5">
        <v>45280</v>
      </c>
      <c r="C797" t="s">
        <v>28</v>
      </c>
      <c r="D797">
        <v>46</v>
      </c>
      <c r="E797" t="s">
        <v>23</v>
      </c>
      <c r="F797" t="s">
        <v>30</v>
      </c>
      <c r="G797" t="s">
        <v>153</v>
      </c>
      <c r="H797">
        <v>7</v>
      </c>
      <c r="I797">
        <v>1737</v>
      </c>
      <c r="J797">
        <v>15</v>
      </c>
      <c r="K797" t="s">
        <v>32</v>
      </c>
      <c r="L797" t="s">
        <v>56</v>
      </c>
      <c r="M797">
        <v>10335.15</v>
      </c>
      <c r="N797" t="s">
        <v>38</v>
      </c>
    </row>
    <row r="798" spans="1:14" x14ac:dyDescent="0.25">
      <c r="A798" t="s">
        <v>1112</v>
      </c>
      <c r="B798" s="5">
        <v>44950</v>
      </c>
      <c r="C798" t="s">
        <v>48</v>
      </c>
      <c r="D798">
        <v>45</v>
      </c>
      <c r="E798" t="s">
        <v>16</v>
      </c>
      <c r="F798" t="s">
        <v>17</v>
      </c>
      <c r="G798" t="s">
        <v>186</v>
      </c>
      <c r="H798">
        <v>1</v>
      </c>
      <c r="I798">
        <v>1650</v>
      </c>
      <c r="J798">
        <v>0</v>
      </c>
      <c r="K798" t="s">
        <v>50</v>
      </c>
      <c r="L798" t="s">
        <v>20</v>
      </c>
      <c r="M798">
        <v>1650</v>
      </c>
      <c r="N798" t="s">
        <v>45</v>
      </c>
    </row>
    <row r="799" spans="1:14" x14ac:dyDescent="0.25">
      <c r="A799" t="s">
        <v>1113</v>
      </c>
      <c r="B799" s="5" t="s">
        <v>389</v>
      </c>
      <c r="C799" t="s">
        <v>152</v>
      </c>
      <c r="E799" t="s">
        <v>16</v>
      </c>
      <c r="F799" t="s">
        <v>54</v>
      </c>
      <c r="G799" t="s">
        <v>114</v>
      </c>
      <c r="H799">
        <v>2</v>
      </c>
      <c r="I799">
        <v>90700</v>
      </c>
      <c r="J799">
        <v>-10</v>
      </c>
      <c r="K799" t="s">
        <v>50</v>
      </c>
      <c r="L799" t="s">
        <v>20</v>
      </c>
      <c r="M799">
        <v>199540</v>
      </c>
      <c r="N799" t="s">
        <v>26</v>
      </c>
    </row>
    <row r="800" spans="1:14" x14ac:dyDescent="0.25">
      <c r="A800" t="s">
        <v>1114</v>
      </c>
      <c r="B800" s="5">
        <v>45066</v>
      </c>
      <c r="C800" t="s">
        <v>337</v>
      </c>
      <c r="D800">
        <v>33</v>
      </c>
      <c r="E800" t="s">
        <v>23</v>
      </c>
      <c r="F800" t="s">
        <v>17</v>
      </c>
      <c r="G800" t="s">
        <v>492</v>
      </c>
      <c r="H800">
        <v>3</v>
      </c>
      <c r="I800">
        <v>3050</v>
      </c>
      <c r="J800">
        <v>15</v>
      </c>
      <c r="K800" t="s">
        <v>50</v>
      </c>
      <c r="L800" t="s">
        <v>20</v>
      </c>
      <c r="M800">
        <v>7777.5</v>
      </c>
      <c r="N800" t="s">
        <v>26</v>
      </c>
    </row>
    <row r="801" spans="1:14" x14ac:dyDescent="0.25">
      <c r="A801" t="s">
        <v>1115</v>
      </c>
      <c r="B801" s="5">
        <v>44962</v>
      </c>
      <c r="C801" t="s">
        <v>62</v>
      </c>
      <c r="D801">
        <v>31</v>
      </c>
      <c r="E801" t="s">
        <v>23</v>
      </c>
      <c r="F801" t="s">
        <v>30</v>
      </c>
      <c r="G801" t="s">
        <v>130</v>
      </c>
      <c r="H801">
        <v>4</v>
      </c>
      <c r="I801">
        <v>2430</v>
      </c>
      <c r="J801">
        <v>50</v>
      </c>
      <c r="K801" t="s">
        <v>487</v>
      </c>
      <c r="L801" t="s">
        <v>20</v>
      </c>
      <c r="M801">
        <v>4860</v>
      </c>
      <c r="N801" t="s">
        <v>21</v>
      </c>
    </row>
    <row r="802" spans="1:14" x14ac:dyDescent="0.25">
      <c r="A802" t="s">
        <v>1116</v>
      </c>
      <c r="B802" s="5">
        <v>45084</v>
      </c>
      <c r="C802" t="s">
        <v>265</v>
      </c>
      <c r="D802">
        <v>60</v>
      </c>
      <c r="E802" t="s">
        <v>16</v>
      </c>
      <c r="F802" t="s">
        <v>17</v>
      </c>
      <c r="G802" t="s">
        <v>297</v>
      </c>
      <c r="H802">
        <v>3</v>
      </c>
      <c r="I802">
        <v>5900</v>
      </c>
      <c r="J802">
        <v>0</v>
      </c>
      <c r="K802" t="s">
        <v>50</v>
      </c>
      <c r="L802" t="s">
        <v>20</v>
      </c>
      <c r="M802">
        <v>17700</v>
      </c>
      <c r="N802" t="s">
        <v>21</v>
      </c>
    </row>
    <row r="803" spans="1:14" x14ac:dyDescent="0.25">
      <c r="A803" t="s">
        <v>1117</v>
      </c>
      <c r="B803" s="5" t="s">
        <v>1118</v>
      </c>
      <c r="C803" t="s">
        <v>128</v>
      </c>
      <c r="D803">
        <v>58</v>
      </c>
      <c r="E803" t="s">
        <v>16</v>
      </c>
      <c r="F803" t="s">
        <v>30</v>
      </c>
      <c r="G803" t="s">
        <v>224</v>
      </c>
      <c r="H803">
        <v>7</v>
      </c>
      <c r="I803">
        <v>1302</v>
      </c>
      <c r="J803">
        <v>50</v>
      </c>
      <c r="K803" t="s">
        <v>41</v>
      </c>
      <c r="L803" t="s">
        <v>51</v>
      </c>
      <c r="M803">
        <v>4557</v>
      </c>
      <c r="N803" t="s">
        <v>45</v>
      </c>
    </row>
    <row r="804" spans="1:14" x14ac:dyDescent="0.25">
      <c r="A804" t="s">
        <v>1119</v>
      </c>
      <c r="B804" s="5">
        <v>45048</v>
      </c>
      <c r="D804">
        <v>22</v>
      </c>
      <c r="E804" t="s">
        <v>16</v>
      </c>
      <c r="F804" t="s">
        <v>54</v>
      </c>
      <c r="G804" t="s">
        <v>348</v>
      </c>
      <c r="H804">
        <v>2</v>
      </c>
      <c r="I804">
        <v>2300</v>
      </c>
      <c r="J804">
        <v>0</v>
      </c>
      <c r="K804" t="s">
        <v>50</v>
      </c>
      <c r="L804" t="s">
        <v>51</v>
      </c>
      <c r="M804">
        <v>4600</v>
      </c>
      <c r="N804" t="s">
        <v>26</v>
      </c>
    </row>
    <row r="805" spans="1:14" x14ac:dyDescent="0.25">
      <c r="A805" t="s">
        <v>1120</v>
      </c>
      <c r="B805" s="5">
        <v>44928</v>
      </c>
      <c r="C805" t="s">
        <v>217</v>
      </c>
      <c r="D805">
        <v>33</v>
      </c>
      <c r="E805" t="s">
        <v>23</v>
      </c>
      <c r="F805" t="s">
        <v>30</v>
      </c>
      <c r="G805" t="s">
        <v>67</v>
      </c>
      <c r="H805">
        <v>4</v>
      </c>
      <c r="J805">
        <v>10</v>
      </c>
      <c r="K805" t="s">
        <v>19</v>
      </c>
      <c r="L805" t="s">
        <v>56</v>
      </c>
      <c r="N805" t="s">
        <v>45</v>
      </c>
    </row>
    <row r="806" spans="1:14" x14ac:dyDescent="0.25">
      <c r="A806" t="s">
        <v>1121</v>
      </c>
      <c r="B806" s="5">
        <v>45038</v>
      </c>
      <c r="C806" t="s">
        <v>152</v>
      </c>
      <c r="D806">
        <v>26</v>
      </c>
      <c r="E806" t="s">
        <v>73</v>
      </c>
      <c r="F806" t="s">
        <v>54</v>
      </c>
      <c r="G806" t="s">
        <v>282</v>
      </c>
      <c r="H806">
        <v>2</v>
      </c>
      <c r="I806">
        <v>14500</v>
      </c>
      <c r="J806">
        <v>15</v>
      </c>
      <c r="K806" t="s">
        <v>41</v>
      </c>
      <c r="L806" t="s">
        <v>51</v>
      </c>
      <c r="M806">
        <v>24650</v>
      </c>
      <c r="N806" t="s">
        <v>26</v>
      </c>
    </row>
    <row r="807" spans="1:14" x14ac:dyDescent="0.25">
      <c r="A807" t="s">
        <v>1122</v>
      </c>
      <c r="B807" s="5">
        <v>45288</v>
      </c>
      <c r="C807" t="s">
        <v>211</v>
      </c>
      <c r="D807">
        <v>42</v>
      </c>
      <c r="E807" t="s">
        <v>23</v>
      </c>
      <c r="F807" t="s">
        <v>35</v>
      </c>
      <c r="G807" t="s">
        <v>99</v>
      </c>
      <c r="H807">
        <v>4</v>
      </c>
      <c r="I807">
        <v>1221</v>
      </c>
      <c r="J807">
        <v>50</v>
      </c>
      <c r="K807" t="s">
        <v>41</v>
      </c>
      <c r="L807" t="s">
        <v>100</v>
      </c>
      <c r="M807">
        <v>2442</v>
      </c>
      <c r="N807" t="s">
        <v>409</v>
      </c>
    </row>
    <row r="808" spans="1:14" x14ac:dyDescent="0.25">
      <c r="A808" t="s">
        <v>1123</v>
      </c>
      <c r="B808" s="5">
        <v>45054</v>
      </c>
      <c r="D808">
        <v>43</v>
      </c>
      <c r="E808" t="s">
        <v>23</v>
      </c>
      <c r="F808" t="s">
        <v>35</v>
      </c>
      <c r="G808" t="s">
        <v>139</v>
      </c>
      <c r="H808">
        <v>6</v>
      </c>
      <c r="I808">
        <v>803</v>
      </c>
      <c r="J808">
        <v>10</v>
      </c>
      <c r="K808" t="s">
        <v>19</v>
      </c>
      <c r="L808" t="s">
        <v>20</v>
      </c>
      <c r="M808">
        <v>4336.2</v>
      </c>
      <c r="N808" t="s">
        <v>45</v>
      </c>
    </row>
    <row r="809" spans="1:14" x14ac:dyDescent="0.25">
      <c r="A809" t="s">
        <v>1124</v>
      </c>
      <c r="B809" s="5">
        <v>45125</v>
      </c>
      <c r="D809">
        <v>47</v>
      </c>
      <c r="E809" t="s">
        <v>23</v>
      </c>
      <c r="F809" t="s">
        <v>30</v>
      </c>
      <c r="G809" t="s">
        <v>195</v>
      </c>
      <c r="H809">
        <v>7</v>
      </c>
      <c r="I809">
        <v>2942</v>
      </c>
      <c r="J809">
        <v>30</v>
      </c>
      <c r="K809" t="s">
        <v>19</v>
      </c>
      <c r="L809" t="s">
        <v>20</v>
      </c>
      <c r="M809">
        <v>14415.8</v>
      </c>
      <c r="N809" t="s">
        <v>38</v>
      </c>
    </row>
    <row r="810" spans="1:14" x14ac:dyDescent="0.25">
      <c r="A810" t="s">
        <v>1125</v>
      </c>
      <c r="B810" s="5">
        <v>45211</v>
      </c>
      <c r="D810">
        <v>23</v>
      </c>
      <c r="E810" t="s">
        <v>16</v>
      </c>
      <c r="F810" t="s">
        <v>17</v>
      </c>
      <c r="G810" t="s">
        <v>124</v>
      </c>
      <c r="H810">
        <v>3</v>
      </c>
      <c r="I810">
        <v>6450</v>
      </c>
      <c r="J810">
        <v>20</v>
      </c>
      <c r="K810" t="s">
        <v>41</v>
      </c>
      <c r="L810" t="s">
        <v>51</v>
      </c>
      <c r="M810">
        <v>6450</v>
      </c>
      <c r="N810" t="s">
        <v>38</v>
      </c>
    </row>
    <row r="811" spans="1:14" x14ac:dyDescent="0.25">
      <c r="A811" t="s">
        <v>1126</v>
      </c>
      <c r="B811" s="5" t="s">
        <v>506</v>
      </c>
      <c r="C811" t="s">
        <v>217</v>
      </c>
      <c r="D811">
        <v>51</v>
      </c>
      <c r="E811" t="s">
        <v>16</v>
      </c>
      <c r="F811" t="s">
        <v>35</v>
      </c>
      <c r="G811" t="s">
        <v>126</v>
      </c>
      <c r="H811">
        <v>8</v>
      </c>
      <c r="I811">
        <v>464</v>
      </c>
      <c r="J811">
        <v>50</v>
      </c>
      <c r="K811" t="s">
        <v>19</v>
      </c>
      <c r="L811" t="s">
        <v>56</v>
      </c>
      <c r="M811">
        <v>1856</v>
      </c>
      <c r="N811" t="s">
        <v>38</v>
      </c>
    </row>
    <row r="812" spans="1:14" x14ac:dyDescent="0.25">
      <c r="A812" t="s">
        <v>1127</v>
      </c>
      <c r="B812" s="5">
        <v>45284</v>
      </c>
      <c r="C812" t="s">
        <v>128</v>
      </c>
      <c r="D812">
        <v>35</v>
      </c>
      <c r="E812" t="s">
        <v>16</v>
      </c>
      <c r="F812" t="s">
        <v>30</v>
      </c>
      <c r="G812" t="s">
        <v>224</v>
      </c>
      <c r="H812">
        <v>5</v>
      </c>
      <c r="I812">
        <v>1392</v>
      </c>
      <c r="J812">
        <v>0</v>
      </c>
      <c r="K812" t="s">
        <v>50</v>
      </c>
      <c r="L812" t="s">
        <v>20</v>
      </c>
      <c r="M812">
        <v>6960</v>
      </c>
      <c r="N812" t="s">
        <v>225</v>
      </c>
    </row>
    <row r="813" spans="1:14" x14ac:dyDescent="0.25">
      <c r="A813" t="s">
        <v>1128</v>
      </c>
      <c r="B813" s="5" t="s">
        <v>730</v>
      </c>
      <c r="C813" t="s">
        <v>176</v>
      </c>
      <c r="D813">
        <v>18</v>
      </c>
      <c r="E813" t="s">
        <v>23</v>
      </c>
      <c r="F813" t="s">
        <v>30</v>
      </c>
      <c r="G813" t="s">
        <v>60</v>
      </c>
      <c r="H813">
        <v>4</v>
      </c>
      <c r="J813">
        <v>30</v>
      </c>
      <c r="K813" t="s">
        <v>50</v>
      </c>
      <c r="L813" t="s">
        <v>20</v>
      </c>
      <c r="N813" t="s">
        <v>74</v>
      </c>
    </row>
    <row r="814" spans="1:14" x14ac:dyDescent="0.25">
      <c r="A814" t="s">
        <v>1129</v>
      </c>
      <c r="B814" s="5">
        <v>44992</v>
      </c>
      <c r="C814" t="s">
        <v>53</v>
      </c>
      <c r="D814">
        <v>58</v>
      </c>
      <c r="E814" t="s">
        <v>23</v>
      </c>
      <c r="F814" t="s">
        <v>54</v>
      </c>
      <c r="G814" t="s">
        <v>114</v>
      </c>
      <c r="H814">
        <v>1</v>
      </c>
      <c r="I814">
        <v>84900</v>
      </c>
      <c r="J814">
        <v>10</v>
      </c>
      <c r="K814" t="s">
        <v>50</v>
      </c>
      <c r="L814" t="s">
        <v>20</v>
      </c>
      <c r="M814">
        <v>76410</v>
      </c>
      <c r="N814" t="s">
        <v>21</v>
      </c>
    </row>
    <row r="815" spans="1:14" x14ac:dyDescent="0.25">
      <c r="A815" t="s">
        <v>1130</v>
      </c>
      <c r="B815" s="5">
        <v>45264</v>
      </c>
      <c r="C815" t="s">
        <v>128</v>
      </c>
      <c r="D815">
        <v>45</v>
      </c>
      <c r="E815" t="s">
        <v>16</v>
      </c>
      <c r="F815" t="s">
        <v>17</v>
      </c>
      <c r="G815" t="s">
        <v>24</v>
      </c>
      <c r="H815">
        <v>3</v>
      </c>
      <c r="I815">
        <v>3400</v>
      </c>
      <c r="J815">
        <v>20</v>
      </c>
      <c r="K815" t="s">
        <v>19</v>
      </c>
      <c r="L815" t="s">
        <v>20</v>
      </c>
      <c r="M815">
        <v>8160</v>
      </c>
      <c r="N815" t="s">
        <v>38</v>
      </c>
    </row>
    <row r="816" spans="1:14" x14ac:dyDescent="0.25">
      <c r="A816" t="s">
        <v>1131</v>
      </c>
      <c r="B816" s="5">
        <v>45000</v>
      </c>
      <c r="C816" t="s">
        <v>165</v>
      </c>
      <c r="D816">
        <v>53</v>
      </c>
      <c r="E816" t="s">
        <v>23</v>
      </c>
      <c r="F816" t="s">
        <v>17</v>
      </c>
      <c r="G816" t="s">
        <v>117</v>
      </c>
      <c r="H816">
        <v>2</v>
      </c>
      <c r="I816">
        <v>6150</v>
      </c>
      <c r="J816">
        <v>15</v>
      </c>
      <c r="K816" t="s">
        <v>369</v>
      </c>
      <c r="L816" t="s">
        <v>20</v>
      </c>
      <c r="M816">
        <v>10455</v>
      </c>
      <c r="N816" t="s">
        <v>38</v>
      </c>
    </row>
    <row r="817" spans="1:14" x14ac:dyDescent="0.25">
      <c r="A817" t="s">
        <v>1132</v>
      </c>
      <c r="B817" s="5">
        <v>45060</v>
      </c>
      <c r="C817" t="s">
        <v>152</v>
      </c>
      <c r="D817">
        <v>42</v>
      </c>
      <c r="E817" t="s">
        <v>16</v>
      </c>
      <c r="F817" t="s">
        <v>54</v>
      </c>
      <c r="G817" t="s">
        <v>77</v>
      </c>
      <c r="H817">
        <v>2</v>
      </c>
      <c r="I817">
        <v>18400</v>
      </c>
      <c r="J817">
        <v>10</v>
      </c>
      <c r="K817" t="s">
        <v>32</v>
      </c>
      <c r="L817" t="s">
        <v>20</v>
      </c>
      <c r="M817">
        <v>132480</v>
      </c>
      <c r="N817" t="s">
        <v>45</v>
      </c>
    </row>
    <row r="818" spans="1:14" x14ac:dyDescent="0.25">
      <c r="A818" t="s">
        <v>1133</v>
      </c>
      <c r="B818" s="5">
        <v>45004</v>
      </c>
      <c r="C818" t="s">
        <v>76</v>
      </c>
      <c r="D818">
        <v>52</v>
      </c>
      <c r="E818" t="s">
        <v>16</v>
      </c>
      <c r="F818" t="s">
        <v>54</v>
      </c>
      <c r="G818" t="s">
        <v>104</v>
      </c>
      <c r="H818">
        <v>1</v>
      </c>
      <c r="I818">
        <v>11700</v>
      </c>
      <c r="J818">
        <v>20</v>
      </c>
      <c r="K818" t="s">
        <v>41</v>
      </c>
      <c r="L818" t="s">
        <v>20</v>
      </c>
      <c r="M818">
        <v>9360</v>
      </c>
      <c r="N818" t="s">
        <v>21</v>
      </c>
    </row>
    <row r="819" spans="1:14" x14ac:dyDescent="0.25">
      <c r="A819" t="s">
        <v>1134</v>
      </c>
      <c r="B819" s="5">
        <v>45089</v>
      </c>
      <c r="C819" t="s">
        <v>156</v>
      </c>
      <c r="D819">
        <v>48</v>
      </c>
      <c r="E819" t="s">
        <v>16</v>
      </c>
      <c r="F819" t="s">
        <v>30</v>
      </c>
      <c r="G819" t="s">
        <v>121</v>
      </c>
      <c r="H819">
        <v>9</v>
      </c>
      <c r="I819">
        <v>7311</v>
      </c>
      <c r="J819">
        <v>15</v>
      </c>
      <c r="K819" t="s">
        <v>50</v>
      </c>
      <c r="L819" t="s">
        <v>20</v>
      </c>
      <c r="M819">
        <v>55929.15</v>
      </c>
      <c r="N819" t="s">
        <v>38</v>
      </c>
    </row>
    <row r="820" spans="1:14" x14ac:dyDescent="0.25">
      <c r="A820" t="s">
        <v>1135</v>
      </c>
      <c r="B820" s="5">
        <v>45237</v>
      </c>
      <c r="C820" t="s">
        <v>156</v>
      </c>
      <c r="D820">
        <v>52</v>
      </c>
      <c r="E820" t="s">
        <v>16</v>
      </c>
      <c r="F820" t="s">
        <v>30</v>
      </c>
      <c r="G820" t="s">
        <v>224</v>
      </c>
      <c r="H820">
        <v>1</v>
      </c>
      <c r="I820">
        <v>983</v>
      </c>
      <c r="J820">
        <v>0</v>
      </c>
      <c r="K820" t="s">
        <v>50</v>
      </c>
      <c r="L820" t="s">
        <v>20</v>
      </c>
      <c r="M820">
        <v>983</v>
      </c>
      <c r="N820" t="s">
        <v>26</v>
      </c>
    </row>
    <row r="821" spans="1:14" x14ac:dyDescent="0.25">
      <c r="A821" t="s">
        <v>1136</v>
      </c>
      <c r="B821" s="5">
        <v>44939</v>
      </c>
      <c r="C821" t="s">
        <v>156</v>
      </c>
      <c r="D821">
        <v>38</v>
      </c>
      <c r="E821" t="s">
        <v>143</v>
      </c>
      <c r="F821" t="s">
        <v>30</v>
      </c>
      <c r="G821" t="s">
        <v>31</v>
      </c>
      <c r="H821">
        <v>9</v>
      </c>
      <c r="I821">
        <v>2040</v>
      </c>
      <c r="J821">
        <v>0</v>
      </c>
      <c r="K821" t="s">
        <v>19</v>
      </c>
      <c r="L821" t="s">
        <v>20</v>
      </c>
      <c r="M821">
        <v>18360</v>
      </c>
      <c r="N821" t="s">
        <v>45</v>
      </c>
    </row>
    <row r="822" spans="1:14" x14ac:dyDescent="0.25">
      <c r="A822" t="s">
        <v>1137</v>
      </c>
      <c r="B822" s="5" t="s">
        <v>751</v>
      </c>
      <c r="D822">
        <v>30</v>
      </c>
      <c r="E822" t="s">
        <v>16</v>
      </c>
      <c r="F822" t="s">
        <v>433</v>
      </c>
      <c r="G822" t="s">
        <v>492</v>
      </c>
      <c r="H822">
        <v>3</v>
      </c>
      <c r="I822">
        <v>3750</v>
      </c>
      <c r="J822">
        <v>-10</v>
      </c>
      <c r="K822" t="s">
        <v>115</v>
      </c>
      <c r="L822" t="s">
        <v>204</v>
      </c>
      <c r="M822">
        <v>-12375</v>
      </c>
      <c r="N822" t="s">
        <v>38</v>
      </c>
    </row>
    <row r="823" spans="1:14" x14ac:dyDescent="0.25">
      <c r="A823" t="s">
        <v>1138</v>
      </c>
      <c r="B823" s="5" t="s">
        <v>1223</v>
      </c>
      <c r="C823" t="s">
        <v>587</v>
      </c>
      <c r="D823">
        <v>53</v>
      </c>
      <c r="E823" t="s">
        <v>23</v>
      </c>
      <c r="F823" t="s">
        <v>569</v>
      </c>
      <c r="G823" t="s">
        <v>257</v>
      </c>
      <c r="H823">
        <v>4</v>
      </c>
      <c r="I823">
        <v>1186</v>
      </c>
      <c r="K823" t="s">
        <v>41</v>
      </c>
      <c r="L823" t="s">
        <v>20</v>
      </c>
      <c r="M823">
        <v>4744</v>
      </c>
      <c r="N823" t="s">
        <v>38</v>
      </c>
    </row>
    <row r="824" spans="1:14" x14ac:dyDescent="0.25">
      <c r="A824" t="s">
        <v>1139</v>
      </c>
      <c r="B824" s="5">
        <v>45084</v>
      </c>
      <c r="C824" t="s">
        <v>82</v>
      </c>
      <c r="D824">
        <v>34</v>
      </c>
      <c r="E824" t="s">
        <v>23</v>
      </c>
      <c r="F824" t="s">
        <v>347</v>
      </c>
      <c r="G824" t="s">
        <v>280</v>
      </c>
      <c r="H824">
        <v>2</v>
      </c>
      <c r="I824">
        <v>77100</v>
      </c>
      <c r="J824">
        <v>5</v>
      </c>
      <c r="K824" t="s">
        <v>19</v>
      </c>
      <c r="L824" t="s">
        <v>51</v>
      </c>
      <c r="M824">
        <v>146490</v>
      </c>
      <c r="N824" t="s">
        <v>26</v>
      </c>
    </row>
    <row r="825" spans="1:14" x14ac:dyDescent="0.25">
      <c r="A825" t="s">
        <v>1140</v>
      </c>
      <c r="B825" s="5" t="s">
        <v>1141</v>
      </c>
      <c r="C825" t="s">
        <v>884</v>
      </c>
      <c r="D825">
        <v>44</v>
      </c>
      <c r="E825" t="s">
        <v>490</v>
      </c>
      <c r="F825" t="s">
        <v>17</v>
      </c>
      <c r="G825" t="s">
        <v>117</v>
      </c>
      <c r="H825">
        <v>1</v>
      </c>
      <c r="I825">
        <v>7000</v>
      </c>
      <c r="J825">
        <v>40</v>
      </c>
      <c r="K825" t="s">
        <v>41</v>
      </c>
      <c r="L825" t="s">
        <v>20</v>
      </c>
      <c r="M825">
        <v>4200</v>
      </c>
      <c r="N825" t="s">
        <v>409</v>
      </c>
    </row>
    <row r="826" spans="1:14" x14ac:dyDescent="0.25">
      <c r="A826" t="s">
        <v>1142</v>
      </c>
      <c r="B826" s="5">
        <v>44978</v>
      </c>
      <c r="C826" t="s">
        <v>165</v>
      </c>
      <c r="D826">
        <v>27</v>
      </c>
      <c r="E826" t="s">
        <v>23</v>
      </c>
      <c r="F826" t="s">
        <v>433</v>
      </c>
      <c r="G826" t="s">
        <v>24</v>
      </c>
      <c r="H826">
        <v>1</v>
      </c>
      <c r="I826">
        <v>3000</v>
      </c>
      <c r="J826">
        <v>10</v>
      </c>
      <c r="K826" t="s">
        <v>41</v>
      </c>
      <c r="L826" t="s">
        <v>20</v>
      </c>
      <c r="M826">
        <v>2700</v>
      </c>
      <c r="N826" t="s">
        <v>21</v>
      </c>
    </row>
    <row r="827" spans="1:14" x14ac:dyDescent="0.25">
      <c r="A827" t="s">
        <v>1143</v>
      </c>
      <c r="B827" s="5" t="s">
        <v>229</v>
      </c>
      <c r="C827" t="s">
        <v>160</v>
      </c>
      <c r="D827">
        <v>43</v>
      </c>
      <c r="E827" t="s">
        <v>23</v>
      </c>
      <c r="F827" t="s">
        <v>347</v>
      </c>
      <c r="G827" t="s">
        <v>348</v>
      </c>
      <c r="H827">
        <v>2</v>
      </c>
      <c r="I827">
        <v>1900</v>
      </c>
      <c r="J827">
        <v>40</v>
      </c>
      <c r="K827" t="s">
        <v>19</v>
      </c>
      <c r="L827" t="s">
        <v>20</v>
      </c>
      <c r="M827">
        <v>2280</v>
      </c>
      <c r="N827" t="s">
        <v>38</v>
      </c>
    </row>
    <row r="828" spans="1:14" x14ac:dyDescent="0.25">
      <c r="A828" t="s">
        <v>1144</v>
      </c>
      <c r="B828" s="5" t="s">
        <v>47</v>
      </c>
      <c r="D828">
        <v>26</v>
      </c>
      <c r="E828" t="s">
        <v>23</v>
      </c>
      <c r="F828" t="s">
        <v>54</v>
      </c>
      <c r="G828" t="s">
        <v>88</v>
      </c>
      <c r="H828">
        <v>1</v>
      </c>
      <c r="I828">
        <v>38700</v>
      </c>
      <c r="J828">
        <v>30</v>
      </c>
      <c r="K828" t="s">
        <v>25</v>
      </c>
      <c r="L828" t="s">
        <v>20</v>
      </c>
      <c r="M828">
        <v>27090</v>
      </c>
      <c r="N828" t="s">
        <v>21</v>
      </c>
    </row>
    <row r="829" spans="1:14" x14ac:dyDescent="0.25">
      <c r="A829" t="s">
        <v>1145</v>
      </c>
      <c r="B829" s="5" t="s">
        <v>1146</v>
      </c>
      <c r="C829" t="s">
        <v>43</v>
      </c>
      <c r="D829">
        <v>52</v>
      </c>
      <c r="E829" t="s">
        <v>23</v>
      </c>
      <c r="F829" t="s">
        <v>30</v>
      </c>
      <c r="G829" t="s">
        <v>294</v>
      </c>
      <c r="H829">
        <v>10</v>
      </c>
      <c r="I829">
        <v>529</v>
      </c>
      <c r="J829">
        <v>30</v>
      </c>
      <c r="K829" t="s">
        <v>41</v>
      </c>
      <c r="L829" t="s">
        <v>51</v>
      </c>
      <c r="M829">
        <v>3703</v>
      </c>
      <c r="N829" t="s">
        <v>38</v>
      </c>
    </row>
    <row r="830" spans="1:14" x14ac:dyDescent="0.25">
      <c r="A830" t="s">
        <v>1147</v>
      </c>
      <c r="B830" s="5">
        <v>44997</v>
      </c>
      <c r="C830" t="s">
        <v>156</v>
      </c>
      <c r="D830">
        <v>31</v>
      </c>
      <c r="E830" t="s">
        <v>23</v>
      </c>
      <c r="F830" t="s">
        <v>35</v>
      </c>
      <c r="G830" t="s">
        <v>331</v>
      </c>
      <c r="H830">
        <v>8</v>
      </c>
      <c r="I830">
        <v>380</v>
      </c>
      <c r="J830">
        <v>50</v>
      </c>
      <c r="K830" t="s">
        <v>41</v>
      </c>
      <c r="L830" t="s">
        <v>20</v>
      </c>
      <c r="M830">
        <v>1520</v>
      </c>
      <c r="N830" t="s">
        <v>45</v>
      </c>
    </row>
    <row r="831" spans="1:14" x14ac:dyDescent="0.25">
      <c r="A831" t="s">
        <v>1148</v>
      </c>
      <c r="B831" s="5">
        <v>45279</v>
      </c>
      <c r="C831" t="s">
        <v>587</v>
      </c>
      <c r="D831">
        <v>47</v>
      </c>
      <c r="E831" t="s">
        <v>16</v>
      </c>
      <c r="F831" t="s">
        <v>17</v>
      </c>
      <c r="G831" t="s">
        <v>186</v>
      </c>
      <c r="H831">
        <v>2</v>
      </c>
      <c r="I831">
        <v>2500</v>
      </c>
      <c r="J831">
        <v>15</v>
      </c>
      <c r="K831" t="s">
        <v>50</v>
      </c>
      <c r="L831" t="s">
        <v>20</v>
      </c>
      <c r="M831">
        <v>4250</v>
      </c>
      <c r="N831" t="s">
        <v>21</v>
      </c>
    </row>
    <row r="832" spans="1:14" x14ac:dyDescent="0.25">
      <c r="A832" t="s">
        <v>1149</v>
      </c>
      <c r="B832" s="5">
        <v>45062</v>
      </c>
      <c r="C832" t="s">
        <v>76</v>
      </c>
      <c r="D832">
        <v>20</v>
      </c>
      <c r="E832" t="s">
        <v>23</v>
      </c>
      <c r="F832" t="s">
        <v>17</v>
      </c>
      <c r="G832" t="s">
        <v>297</v>
      </c>
      <c r="H832">
        <v>3</v>
      </c>
      <c r="I832">
        <v>7550</v>
      </c>
      <c r="J832">
        <v>50</v>
      </c>
      <c r="K832" t="s">
        <v>19</v>
      </c>
      <c r="L832" t="s">
        <v>20</v>
      </c>
      <c r="M832">
        <v>11325</v>
      </c>
      <c r="N832" t="s">
        <v>21</v>
      </c>
    </row>
    <row r="833" spans="1:14" x14ac:dyDescent="0.25">
      <c r="A833" t="s">
        <v>1150</v>
      </c>
      <c r="B833" s="5" t="s">
        <v>1386</v>
      </c>
      <c r="C833" t="s">
        <v>152</v>
      </c>
      <c r="D833">
        <v>51</v>
      </c>
      <c r="E833" t="s">
        <v>16</v>
      </c>
      <c r="F833" t="s">
        <v>30</v>
      </c>
      <c r="G833" t="s">
        <v>153</v>
      </c>
      <c r="H833">
        <v>8</v>
      </c>
      <c r="J833">
        <v>40</v>
      </c>
      <c r="K833" t="s">
        <v>25</v>
      </c>
      <c r="L833" t="s">
        <v>20</v>
      </c>
      <c r="N833" t="s">
        <v>21</v>
      </c>
    </row>
    <row r="834" spans="1:14" x14ac:dyDescent="0.25">
      <c r="A834" t="s">
        <v>1151</v>
      </c>
      <c r="B834" s="5">
        <v>45227</v>
      </c>
      <c r="D834">
        <v>45</v>
      </c>
      <c r="E834" t="s">
        <v>16</v>
      </c>
      <c r="F834" t="s">
        <v>35</v>
      </c>
      <c r="G834" t="s">
        <v>147</v>
      </c>
      <c r="H834">
        <v>3</v>
      </c>
      <c r="I834">
        <v>376</v>
      </c>
      <c r="J834">
        <v>30</v>
      </c>
      <c r="K834" t="s">
        <v>50</v>
      </c>
      <c r="L834" t="s">
        <v>20</v>
      </c>
      <c r="M834">
        <v>789.6</v>
      </c>
      <c r="N834" t="s">
        <v>21</v>
      </c>
    </row>
    <row r="835" spans="1:14" x14ac:dyDescent="0.25">
      <c r="A835" t="s">
        <v>1152</v>
      </c>
      <c r="B835" s="5">
        <v>45211</v>
      </c>
      <c r="C835" t="s">
        <v>128</v>
      </c>
      <c r="D835">
        <v>40</v>
      </c>
      <c r="E835" t="s">
        <v>16</v>
      </c>
      <c r="F835" t="s">
        <v>30</v>
      </c>
      <c r="G835" t="s">
        <v>195</v>
      </c>
      <c r="H835">
        <v>8</v>
      </c>
      <c r="J835">
        <v>10</v>
      </c>
      <c r="K835" t="s">
        <v>105</v>
      </c>
      <c r="L835" t="s">
        <v>51</v>
      </c>
      <c r="N835" t="s">
        <v>108</v>
      </c>
    </row>
    <row r="836" spans="1:14" x14ac:dyDescent="0.25">
      <c r="A836" t="s">
        <v>1153</v>
      </c>
      <c r="B836" s="5">
        <v>44963</v>
      </c>
      <c r="D836">
        <v>27</v>
      </c>
      <c r="E836" t="s">
        <v>23</v>
      </c>
      <c r="F836" t="s">
        <v>433</v>
      </c>
      <c r="G836" t="s">
        <v>49</v>
      </c>
      <c r="H836">
        <v>3</v>
      </c>
      <c r="I836">
        <v>800</v>
      </c>
      <c r="J836">
        <v>0</v>
      </c>
      <c r="K836" t="s">
        <v>41</v>
      </c>
      <c r="L836" t="s">
        <v>51</v>
      </c>
      <c r="M836">
        <v>2400</v>
      </c>
      <c r="N836" t="s">
        <v>21</v>
      </c>
    </row>
    <row r="837" spans="1:14" x14ac:dyDescent="0.25">
      <c r="A837" t="s">
        <v>1154</v>
      </c>
      <c r="B837" s="5">
        <v>45054</v>
      </c>
      <c r="C837" t="s">
        <v>79</v>
      </c>
      <c r="D837">
        <v>34</v>
      </c>
      <c r="E837" t="s">
        <v>16</v>
      </c>
      <c r="F837" t="s">
        <v>759</v>
      </c>
      <c r="G837" t="s">
        <v>540</v>
      </c>
      <c r="H837">
        <v>99</v>
      </c>
      <c r="I837">
        <v>4762</v>
      </c>
      <c r="J837">
        <v>0</v>
      </c>
      <c r="K837" t="s">
        <v>41</v>
      </c>
      <c r="L837" t="s">
        <v>20</v>
      </c>
      <c r="M837">
        <v>471438</v>
      </c>
      <c r="N837" t="s">
        <v>38</v>
      </c>
    </row>
    <row r="838" spans="1:14" x14ac:dyDescent="0.25">
      <c r="A838" t="s">
        <v>1155</v>
      </c>
      <c r="B838" s="5">
        <v>44936</v>
      </c>
      <c r="D838">
        <v>21</v>
      </c>
      <c r="E838" t="s">
        <v>29</v>
      </c>
      <c r="F838" t="s">
        <v>30</v>
      </c>
      <c r="G838" t="s">
        <v>130</v>
      </c>
      <c r="H838">
        <v>2</v>
      </c>
      <c r="I838">
        <v>3659</v>
      </c>
      <c r="J838">
        <v>5</v>
      </c>
      <c r="K838" t="s">
        <v>25</v>
      </c>
      <c r="L838" t="s">
        <v>20</v>
      </c>
      <c r="M838">
        <v>6952.1</v>
      </c>
      <c r="N838" t="s">
        <v>38</v>
      </c>
    </row>
    <row r="839" spans="1:14" x14ac:dyDescent="0.25">
      <c r="A839" t="s">
        <v>1156</v>
      </c>
      <c r="B839" s="5">
        <v>45268</v>
      </c>
      <c r="D839">
        <v>44</v>
      </c>
      <c r="E839" t="s">
        <v>23</v>
      </c>
      <c r="F839" t="s">
        <v>54</v>
      </c>
      <c r="G839" t="s">
        <v>55</v>
      </c>
      <c r="H839">
        <v>1</v>
      </c>
      <c r="I839">
        <v>44900</v>
      </c>
      <c r="J839">
        <v>40</v>
      </c>
      <c r="K839" t="s">
        <v>50</v>
      </c>
      <c r="L839" t="s">
        <v>56</v>
      </c>
      <c r="M839">
        <v>26940</v>
      </c>
      <c r="N839" t="s">
        <v>45</v>
      </c>
    </row>
    <row r="840" spans="1:14" x14ac:dyDescent="0.25">
      <c r="A840" t="s">
        <v>1157</v>
      </c>
      <c r="B840" s="5">
        <v>45145</v>
      </c>
      <c r="D840">
        <v>5</v>
      </c>
      <c r="E840" t="s">
        <v>16</v>
      </c>
      <c r="F840" t="s">
        <v>54</v>
      </c>
      <c r="G840" t="s">
        <v>114</v>
      </c>
      <c r="H840">
        <v>2</v>
      </c>
      <c r="I840">
        <v>80800</v>
      </c>
      <c r="J840">
        <v>0</v>
      </c>
      <c r="K840" t="s">
        <v>222</v>
      </c>
      <c r="L840" t="s">
        <v>20</v>
      </c>
      <c r="M840">
        <v>161600</v>
      </c>
      <c r="N840" t="s">
        <v>45</v>
      </c>
    </row>
    <row r="841" spans="1:14" x14ac:dyDescent="0.25">
      <c r="A841" t="s">
        <v>1158</v>
      </c>
      <c r="B841" s="5">
        <v>45204</v>
      </c>
      <c r="C841" t="s">
        <v>160</v>
      </c>
      <c r="D841">
        <v>29</v>
      </c>
      <c r="E841" t="s">
        <v>16</v>
      </c>
      <c r="F841" t="s">
        <v>30</v>
      </c>
      <c r="G841" t="s">
        <v>224</v>
      </c>
      <c r="H841">
        <v>1</v>
      </c>
      <c r="I841">
        <v>1003</v>
      </c>
      <c r="J841">
        <v>25</v>
      </c>
      <c r="K841" t="s">
        <v>50</v>
      </c>
      <c r="L841" t="s">
        <v>56</v>
      </c>
      <c r="M841">
        <v>752.25</v>
      </c>
      <c r="N841" t="s">
        <v>21</v>
      </c>
    </row>
    <row r="842" spans="1:14" x14ac:dyDescent="0.25">
      <c r="A842" t="s">
        <v>1159</v>
      </c>
      <c r="B842" s="5">
        <v>44938</v>
      </c>
      <c r="C842" t="s">
        <v>170</v>
      </c>
      <c r="D842">
        <v>57</v>
      </c>
      <c r="E842" t="s">
        <v>16</v>
      </c>
      <c r="F842" t="s">
        <v>347</v>
      </c>
      <c r="G842" t="s">
        <v>237</v>
      </c>
      <c r="H842">
        <v>0</v>
      </c>
      <c r="I842">
        <v>44300</v>
      </c>
      <c r="J842">
        <v>0</v>
      </c>
      <c r="K842" t="s">
        <v>41</v>
      </c>
      <c r="L842" t="s">
        <v>56</v>
      </c>
      <c r="M842">
        <v>0</v>
      </c>
      <c r="N842" t="s">
        <v>26</v>
      </c>
    </row>
    <row r="843" spans="1:14" x14ac:dyDescent="0.25">
      <c r="A843" t="s">
        <v>1160</v>
      </c>
      <c r="B843" s="5">
        <v>45290</v>
      </c>
      <c r="C843" t="s">
        <v>87</v>
      </c>
      <c r="D843">
        <v>52</v>
      </c>
      <c r="E843" t="s">
        <v>23</v>
      </c>
      <c r="F843" t="s">
        <v>103</v>
      </c>
      <c r="G843" t="s">
        <v>114</v>
      </c>
      <c r="H843">
        <v>2</v>
      </c>
      <c r="I843">
        <v>82200</v>
      </c>
      <c r="J843">
        <v>0</v>
      </c>
      <c r="K843" t="s">
        <v>41</v>
      </c>
      <c r="L843" t="s">
        <v>51</v>
      </c>
      <c r="M843">
        <v>164400</v>
      </c>
      <c r="N843" t="s">
        <v>38</v>
      </c>
    </row>
    <row r="844" spans="1:14" x14ac:dyDescent="0.25">
      <c r="A844" t="s">
        <v>1161</v>
      </c>
      <c r="B844" s="5" t="s">
        <v>901</v>
      </c>
      <c r="C844" t="s">
        <v>211</v>
      </c>
      <c r="D844">
        <v>27</v>
      </c>
      <c r="E844" t="s">
        <v>16</v>
      </c>
      <c r="F844" t="s">
        <v>17</v>
      </c>
      <c r="G844" t="s">
        <v>297</v>
      </c>
      <c r="H844">
        <v>1</v>
      </c>
      <c r="I844">
        <v>7450</v>
      </c>
      <c r="J844">
        <v>0</v>
      </c>
      <c r="K844" t="s">
        <v>50</v>
      </c>
      <c r="L844" t="s">
        <v>51</v>
      </c>
      <c r="M844">
        <v>7450</v>
      </c>
      <c r="N844" t="s">
        <v>26</v>
      </c>
    </row>
    <row r="845" spans="1:14" x14ac:dyDescent="0.25">
      <c r="A845" t="s">
        <v>1162</v>
      </c>
      <c r="B845" s="5" t="s">
        <v>1163</v>
      </c>
      <c r="C845" t="s">
        <v>672</v>
      </c>
      <c r="D845">
        <v>26</v>
      </c>
      <c r="E845" t="s">
        <v>490</v>
      </c>
      <c r="F845" t="s">
        <v>30</v>
      </c>
      <c r="G845" t="s">
        <v>224</v>
      </c>
      <c r="H845">
        <v>9</v>
      </c>
      <c r="I845">
        <v>502590</v>
      </c>
      <c r="J845">
        <v>10</v>
      </c>
      <c r="K845" t="s">
        <v>25</v>
      </c>
      <c r="L845" t="s">
        <v>20</v>
      </c>
      <c r="M845">
        <v>4070979</v>
      </c>
      <c r="N845" t="s">
        <v>894</v>
      </c>
    </row>
    <row r="846" spans="1:14" x14ac:dyDescent="0.25">
      <c r="A846" t="s">
        <v>1164</v>
      </c>
      <c r="B846" s="5">
        <v>45172</v>
      </c>
      <c r="D846">
        <v>46</v>
      </c>
      <c r="E846" t="s">
        <v>23</v>
      </c>
      <c r="F846" t="s">
        <v>17</v>
      </c>
      <c r="G846" t="s">
        <v>94</v>
      </c>
      <c r="H846">
        <v>3</v>
      </c>
      <c r="I846">
        <v>1950</v>
      </c>
      <c r="J846">
        <v>0</v>
      </c>
      <c r="K846" t="s">
        <v>19</v>
      </c>
      <c r="L846" t="s">
        <v>51</v>
      </c>
      <c r="M846">
        <v>5850</v>
      </c>
      <c r="N846" t="s">
        <v>38</v>
      </c>
    </row>
    <row r="847" spans="1:14" x14ac:dyDescent="0.25">
      <c r="A847" t="s">
        <v>1165</v>
      </c>
      <c r="B847" s="5">
        <v>45236</v>
      </c>
      <c r="C847" t="s">
        <v>43</v>
      </c>
      <c r="D847">
        <v>200</v>
      </c>
      <c r="E847" t="s">
        <v>23</v>
      </c>
      <c r="F847" t="s">
        <v>17</v>
      </c>
      <c r="G847" t="s">
        <v>186</v>
      </c>
      <c r="H847">
        <v>1</v>
      </c>
      <c r="I847">
        <v>2850</v>
      </c>
      <c r="J847">
        <v>25</v>
      </c>
      <c r="K847" t="s">
        <v>25</v>
      </c>
      <c r="L847" t="s">
        <v>56</v>
      </c>
      <c r="M847">
        <v>2850</v>
      </c>
      <c r="N847" t="s">
        <v>45</v>
      </c>
    </row>
    <row r="848" spans="1:14" x14ac:dyDescent="0.25">
      <c r="A848" t="s">
        <v>1166</v>
      </c>
      <c r="B848" s="5">
        <v>45224</v>
      </c>
      <c r="C848" t="s">
        <v>165</v>
      </c>
      <c r="D848">
        <v>47</v>
      </c>
      <c r="E848" t="s">
        <v>16</v>
      </c>
      <c r="F848" t="s">
        <v>17</v>
      </c>
      <c r="G848" t="s">
        <v>186</v>
      </c>
      <c r="H848">
        <v>1</v>
      </c>
      <c r="I848">
        <v>1650</v>
      </c>
      <c r="J848">
        <v>25</v>
      </c>
      <c r="K848" t="s">
        <v>531</v>
      </c>
      <c r="L848" t="s">
        <v>51</v>
      </c>
      <c r="M848">
        <v>1237.5</v>
      </c>
      <c r="N848" t="s">
        <v>26</v>
      </c>
    </row>
    <row r="849" spans="1:14" x14ac:dyDescent="0.25">
      <c r="A849" t="s">
        <v>1167</v>
      </c>
      <c r="B849" s="5">
        <v>45083</v>
      </c>
      <c r="C849" t="s">
        <v>128</v>
      </c>
      <c r="D849">
        <v>63</v>
      </c>
      <c r="E849" t="s">
        <v>23</v>
      </c>
      <c r="F849" t="s">
        <v>70</v>
      </c>
      <c r="G849" t="s">
        <v>24</v>
      </c>
      <c r="H849">
        <v>3</v>
      </c>
      <c r="I849">
        <v>3250</v>
      </c>
      <c r="J849">
        <v>0</v>
      </c>
      <c r="K849" t="s">
        <v>41</v>
      </c>
      <c r="L849" t="s">
        <v>20</v>
      </c>
      <c r="M849">
        <v>9750</v>
      </c>
      <c r="N849" t="s">
        <v>26</v>
      </c>
    </row>
    <row r="850" spans="1:14" x14ac:dyDescent="0.25">
      <c r="A850" t="s">
        <v>1168</v>
      </c>
      <c r="B850" s="5">
        <v>45238</v>
      </c>
      <c r="C850" t="s">
        <v>43</v>
      </c>
      <c r="D850">
        <v>59</v>
      </c>
      <c r="E850" t="s">
        <v>23</v>
      </c>
      <c r="F850" t="s">
        <v>30</v>
      </c>
      <c r="G850" t="s">
        <v>60</v>
      </c>
      <c r="H850">
        <v>6</v>
      </c>
      <c r="I850">
        <v>8358</v>
      </c>
      <c r="J850">
        <v>25</v>
      </c>
      <c r="K850" t="s">
        <v>19</v>
      </c>
      <c r="L850" t="s">
        <v>56</v>
      </c>
      <c r="M850">
        <v>75222</v>
      </c>
      <c r="N850" t="s">
        <v>38</v>
      </c>
    </row>
    <row r="851" spans="1:14" x14ac:dyDescent="0.25">
      <c r="A851" t="s">
        <v>1169</v>
      </c>
      <c r="B851" s="5" t="s">
        <v>1170</v>
      </c>
      <c r="C851" t="s">
        <v>366</v>
      </c>
      <c r="D851">
        <v>32</v>
      </c>
      <c r="E851" t="s">
        <v>16</v>
      </c>
      <c r="F851" t="s">
        <v>30</v>
      </c>
      <c r="G851" t="s">
        <v>60</v>
      </c>
      <c r="H851">
        <v>8</v>
      </c>
      <c r="I851">
        <v>5339</v>
      </c>
      <c r="J851">
        <v>25</v>
      </c>
      <c r="K851" t="s">
        <v>50</v>
      </c>
      <c r="L851" t="s">
        <v>56</v>
      </c>
      <c r="M851">
        <v>32034</v>
      </c>
      <c r="N851" t="s">
        <v>21</v>
      </c>
    </row>
    <row r="852" spans="1:14" x14ac:dyDescent="0.25">
      <c r="A852" t="s">
        <v>1171</v>
      </c>
      <c r="B852" s="5">
        <v>45112</v>
      </c>
      <c r="C852" t="s">
        <v>87</v>
      </c>
      <c r="D852">
        <v>64</v>
      </c>
      <c r="E852" t="s">
        <v>16</v>
      </c>
      <c r="F852" t="s">
        <v>54</v>
      </c>
      <c r="G852" t="s">
        <v>114</v>
      </c>
      <c r="H852">
        <v>2</v>
      </c>
      <c r="I852">
        <v>89700</v>
      </c>
      <c r="J852">
        <v>5</v>
      </c>
      <c r="K852" t="s">
        <v>19</v>
      </c>
      <c r="L852" t="s">
        <v>51</v>
      </c>
      <c r="M852">
        <v>170430</v>
      </c>
      <c r="N852" t="s">
        <v>26</v>
      </c>
    </row>
    <row r="853" spans="1:14" x14ac:dyDescent="0.25">
      <c r="A853" t="s">
        <v>1172</v>
      </c>
      <c r="B853" s="5">
        <v>45242</v>
      </c>
      <c r="D853">
        <v>33</v>
      </c>
      <c r="E853" t="s">
        <v>23</v>
      </c>
      <c r="F853" t="s">
        <v>54</v>
      </c>
      <c r="G853" t="s">
        <v>282</v>
      </c>
      <c r="H853">
        <v>2</v>
      </c>
      <c r="I853">
        <v>18000</v>
      </c>
      <c r="J853">
        <v>5</v>
      </c>
      <c r="K853" t="s">
        <v>25</v>
      </c>
      <c r="L853" t="s">
        <v>56</v>
      </c>
      <c r="M853">
        <v>34200</v>
      </c>
      <c r="N853" t="s">
        <v>26</v>
      </c>
    </row>
    <row r="854" spans="1:14" x14ac:dyDescent="0.25">
      <c r="A854" t="s">
        <v>1173</v>
      </c>
      <c r="B854" s="5" t="s">
        <v>1174</v>
      </c>
      <c r="C854" t="s">
        <v>87</v>
      </c>
      <c r="D854">
        <v>58</v>
      </c>
      <c r="E854" t="s">
        <v>171</v>
      </c>
      <c r="F854" t="s">
        <v>35</v>
      </c>
      <c r="G854" t="s">
        <v>139</v>
      </c>
      <c r="H854">
        <v>10</v>
      </c>
      <c r="I854">
        <v>432</v>
      </c>
      <c r="J854">
        <v>0</v>
      </c>
      <c r="K854" t="s">
        <v>19</v>
      </c>
      <c r="L854" t="s">
        <v>20</v>
      </c>
      <c r="M854">
        <v>-4320</v>
      </c>
      <c r="N854" t="s">
        <v>38</v>
      </c>
    </row>
    <row r="855" spans="1:14" x14ac:dyDescent="0.25">
      <c r="A855" t="s">
        <v>1175</v>
      </c>
      <c r="B855" s="5">
        <v>45249</v>
      </c>
      <c r="C855" t="s">
        <v>66</v>
      </c>
      <c r="D855">
        <v>59</v>
      </c>
      <c r="E855" t="s">
        <v>23</v>
      </c>
      <c r="F855" t="s">
        <v>17</v>
      </c>
      <c r="G855" t="s">
        <v>492</v>
      </c>
      <c r="H855">
        <v>2</v>
      </c>
      <c r="I855">
        <v>4900</v>
      </c>
      <c r="J855">
        <v>15</v>
      </c>
      <c r="K855" t="s">
        <v>19</v>
      </c>
      <c r="L855" t="s">
        <v>20</v>
      </c>
      <c r="M855">
        <v>8330</v>
      </c>
      <c r="N855" t="s">
        <v>45</v>
      </c>
    </row>
    <row r="856" spans="1:14" x14ac:dyDescent="0.25">
      <c r="A856" t="s">
        <v>1176</v>
      </c>
      <c r="B856" s="5" t="s">
        <v>1356</v>
      </c>
      <c r="C856" t="s">
        <v>82</v>
      </c>
      <c r="D856">
        <v>54</v>
      </c>
      <c r="E856" t="s">
        <v>44</v>
      </c>
      <c r="F856" t="s">
        <v>35</v>
      </c>
      <c r="G856" t="s">
        <v>111</v>
      </c>
      <c r="H856">
        <v>5</v>
      </c>
      <c r="I856">
        <v>270</v>
      </c>
      <c r="J856">
        <v>25</v>
      </c>
      <c r="K856" t="s">
        <v>19</v>
      </c>
      <c r="L856" t="s">
        <v>915</v>
      </c>
      <c r="M856">
        <v>4050</v>
      </c>
      <c r="N856" t="s">
        <v>26</v>
      </c>
    </row>
    <row r="857" spans="1:14" x14ac:dyDescent="0.25">
      <c r="A857" t="s">
        <v>1177</v>
      </c>
      <c r="B857" s="5" t="s">
        <v>86</v>
      </c>
      <c r="D857">
        <v>60</v>
      </c>
      <c r="E857" t="s">
        <v>16</v>
      </c>
      <c r="F857" t="s">
        <v>17</v>
      </c>
      <c r="G857" t="s">
        <v>40</v>
      </c>
      <c r="H857">
        <v>1</v>
      </c>
      <c r="I857">
        <v>4550</v>
      </c>
      <c r="J857">
        <v>50</v>
      </c>
      <c r="K857" t="s">
        <v>50</v>
      </c>
      <c r="L857" t="s">
        <v>51</v>
      </c>
      <c r="M857">
        <v>2275</v>
      </c>
      <c r="N857" t="s">
        <v>685</v>
      </c>
    </row>
    <row r="858" spans="1:14" x14ac:dyDescent="0.25">
      <c r="A858" t="s">
        <v>1178</v>
      </c>
      <c r="B858" s="5">
        <v>45249</v>
      </c>
      <c r="C858" t="s">
        <v>757</v>
      </c>
      <c r="D858">
        <v>60</v>
      </c>
      <c r="E858" t="s">
        <v>16</v>
      </c>
      <c r="F858" t="s">
        <v>510</v>
      </c>
      <c r="G858" t="s">
        <v>88</v>
      </c>
      <c r="H858">
        <v>1</v>
      </c>
      <c r="I858">
        <v>49700</v>
      </c>
      <c r="J858">
        <v>30</v>
      </c>
      <c r="K858" t="s">
        <v>50</v>
      </c>
      <c r="L858" t="s">
        <v>20</v>
      </c>
      <c r="M858">
        <v>34790</v>
      </c>
      <c r="N858" t="s">
        <v>21</v>
      </c>
    </row>
    <row r="859" spans="1:14" x14ac:dyDescent="0.25">
      <c r="A859" t="s">
        <v>1179</v>
      </c>
      <c r="B859" s="5" t="s">
        <v>1180</v>
      </c>
      <c r="C859" t="s">
        <v>28</v>
      </c>
      <c r="D859">
        <v>42</v>
      </c>
      <c r="E859" t="s">
        <v>16</v>
      </c>
      <c r="F859" t="s">
        <v>35</v>
      </c>
      <c r="G859" t="s">
        <v>139</v>
      </c>
      <c r="H859">
        <v>7</v>
      </c>
      <c r="I859">
        <v>697</v>
      </c>
      <c r="J859">
        <v>5</v>
      </c>
      <c r="K859" t="s">
        <v>25</v>
      </c>
      <c r="L859" t="s">
        <v>20</v>
      </c>
      <c r="M859">
        <v>4635.05</v>
      </c>
      <c r="N859" t="s">
        <v>45</v>
      </c>
    </row>
    <row r="860" spans="1:14" x14ac:dyDescent="0.25">
      <c r="A860" t="s">
        <v>1181</v>
      </c>
      <c r="B860" s="5" t="s">
        <v>1182</v>
      </c>
      <c r="C860" t="s">
        <v>165</v>
      </c>
      <c r="D860">
        <v>47</v>
      </c>
      <c r="E860" t="s">
        <v>16</v>
      </c>
      <c r="F860" t="s">
        <v>30</v>
      </c>
      <c r="G860" t="s">
        <v>130</v>
      </c>
      <c r="H860">
        <v>3</v>
      </c>
      <c r="I860">
        <v>2125</v>
      </c>
      <c r="J860">
        <v>25</v>
      </c>
      <c r="K860" t="s">
        <v>531</v>
      </c>
      <c r="L860" t="s">
        <v>20</v>
      </c>
      <c r="M860">
        <v>4781.25</v>
      </c>
      <c r="N860" t="s">
        <v>379</v>
      </c>
    </row>
    <row r="861" spans="1:14" x14ac:dyDescent="0.25">
      <c r="A861" t="s">
        <v>1183</v>
      </c>
      <c r="B861" s="5">
        <v>45197</v>
      </c>
      <c r="C861" t="s">
        <v>165</v>
      </c>
      <c r="D861">
        <v>26</v>
      </c>
      <c r="E861" t="s">
        <v>16</v>
      </c>
      <c r="F861" t="s">
        <v>54</v>
      </c>
      <c r="G861" t="s">
        <v>114</v>
      </c>
      <c r="H861">
        <v>2</v>
      </c>
      <c r="I861">
        <v>2</v>
      </c>
      <c r="J861">
        <v>30</v>
      </c>
      <c r="K861" t="s">
        <v>19</v>
      </c>
      <c r="L861" t="s">
        <v>20</v>
      </c>
      <c r="M861">
        <v>2.8</v>
      </c>
      <c r="N861" t="s">
        <v>375</v>
      </c>
    </row>
    <row r="862" spans="1:14" x14ac:dyDescent="0.25">
      <c r="A862" t="s">
        <v>1184</v>
      </c>
      <c r="B862" s="5">
        <v>44954</v>
      </c>
      <c r="C862" t="s">
        <v>452</v>
      </c>
      <c r="D862">
        <v>22</v>
      </c>
      <c r="E862" t="s">
        <v>23</v>
      </c>
      <c r="F862" t="s">
        <v>35</v>
      </c>
      <c r="G862" t="s">
        <v>99</v>
      </c>
      <c r="H862">
        <v>10</v>
      </c>
      <c r="I862">
        <v>1001</v>
      </c>
      <c r="J862">
        <v>25</v>
      </c>
      <c r="K862" t="s">
        <v>19</v>
      </c>
      <c r="L862" t="s">
        <v>20</v>
      </c>
      <c r="M862">
        <v>7507.5</v>
      </c>
      <c r="N862" t="s">
        <v>38</v>
      </c>
    </row>
    <row r="863" spans="1:14" x14ac:dyDescent="0.25">
      <c r="A863" t="s">
        <v>1185</v>
      </c>
      <c r="B863" s="5" t="s">
        <v>1186</v>
      </c>
      <c r="C863" t="s">
        <v>87</v>
      </c>
      <c r="E863" t="s">
        <v>16</v>
      </c>
      <c r="F863" t="s">
        <v>438</v>
      </c>
      <c r="G863" t="s">
        <v>94</v>
      </c>
      <c r="H863">
        <v>3</v>
      </c>
      <c r="I863">
        <v>2050</v>
      </c>
      <c r="K863" t="s">
        <v>19</v>
      </c>
      <c r="L863" t="s">
        <v>56</v>
      </c>
      <c r="M863">
        <v>6150</v>
      </c>
      <c r="N863" t="s">
        <v>26</v>
      </c>
    </row>
    <row r="864" spans="1:14" x14ac:dyDescent="0.25">
      <c r="A864" t="s">
        <v>1187</v>
      </c>
      <c r="B864" s="5">
        <v>45207</v>
      </c>
      <c r="C864" t="s">
        <v>165</v>
      </c>
      <c r="D864">
        <v>44</v>
      </c>
      <c r="E864" t="s">
        <v>16</v>
      </c>
      <c r="F864" t="s">
        <v>510</v>
      </c>
      <c r="G864" t="s">
        <v>282</v>
      </c>
      <c r="H864">
        <v>1</v>
      </c>
      <c r="I864">
        <v>16500</v>
      </c>
      <c r="J864">
        <v>30</v>
      </c>
      <c r="K864" t="s">
        <v>25</v>
      </c>
      <c r="L864" t="s">
        <v>51</v>
      </c>
      <c r="M864">
        <v>11550</v>
      </c>
      <c r="N864" t="s">
        <v>38</v>
      </c>
    </row>
    <row r="865" spans="1:14" x14ac:dyDescent="0.25">
      <c r="A865" t="s">
        <v>1188</v>
      </c>
      <c r="B865" s="5">
        <v>45106</v>
      </c>
      <c r="E865" t="s">
        <v>23</v>
      </c>
      <c r="F865" t="s">
        <v>30</v>
      </c>
      <c r="G865" t="s">
        <v>153</v>
      </c>
      <c r="H865">
        <v>7</v>
      </c>
      <c r="I865">
        <v>1165</v>
      </c>
      <c r="J865">
        <v>0</v>
      </c>
      <c r="K865" t="s">
        <v>25</v>
      </c>
      <c r="L865" t="s">
        <v>20</v>
      </c>
      <c r="M865">
        <v>8155</v>
      </c>
      <c r="N865" t="s">
        <v>685</v>
      </c>
    </row>
    <row r="866" spans="1:14" x14ac:dyDescent="0.25">
      <c r="A866" t="s">
        <v>1189</v>
      </c>
      <c r="B866" s="5" t="s">
        <v>1387</v>
      </c>
      <c r="D866">
        <v>18</v>
      </c>
      <c r="E866" t="s">
        <v>16</v>
      </c>
      <c r="F866" t="s">
        <v>35</v>
      </c>
      <c r="G866" t="s">
        <v>99</v>
      </c>
      <c r="H866">
        <v>6</v>
      </c>
      <c r="I866">
        <v>1347</v>
      </c>
      <c r="J866">
        <v>30</v>
      </c>
      <c r="K866" t="s">
        <v>25</v>
      </c>
      <c r="L866" t="s">
        <v>20</v>
      </c>
      <c r="M866">
        <v>5657.4</v>
      </c>
      <c r="N866" t="s">
        <v>26</v>
      </c>
    </row>
    <row r="867" spans="1:14" x14ac:dyDescent="0.25">
      <c r="A867" t="s">
        <v>1190</v>
      </c>
      <c r="B867" s="5">
        <v>45028</v>
      </c>
      <c r="D867">
        <v>20</v>
      </c>
      <c r="E867" t="s">
        <v>16</v>
      </c>
      <c r="F867" t="s">
        <v>54</v>
      </c>
      <c r="G867" t="s">
        <v>282</v>
      </c>
      <c r="H867">
        <v>2</v>
      </c>
      <c r="I867">
        <v>13100</v>
      </c>
      <c r="J867">
        <v>0</v>
      </c>
      <c r="K867" t="s">
        <v>19</v>
      </c>
      <c r="L867" t="s">
        <v>56</v>
      </c>
      <c r="M867">
        <v>26200</v>
      </c>
      <c r="N867" t="s">
        <v>21</v>
      </c>
    </row>
    <row r="868" spans="1:14" x14ac:dyDescent="0.25">
      <c r="A868" t="s">
        <v>1191</v>
      </c>
      <c r="B868" s="5">
        <v>45145</v>
      </c>
      <c r="C868" t="s">
        <v>411</v>
      </c>
      <c r="D868">
        <v>40</v>
      </c>
      <c r="E868" t="s">
        <v>23</v>
      </c>
      <c r="F868" t="s">
        <v>17</v>
      </c>
      <c r="G868" t="s">
        <v>297</v>
      </c>
      <c r="H868">
        <v>1</v>
      </c>
      <c r="I868">
        <v>5650</v>
      </c>
      <c r="J868">
        <v>25</v>
      </c>
      <c r="K868" t="s">
        <v>83</v>
      </c>
      <c r="L868" t="s">
        <v>56</v>
      </c>
      <c r="M868">
        <v>4237.5</v>
      </c>
      <c r="N868" t="s">
        <v>26</v>
      </c>
    </row>
    <row r="869" spans="1:14" x14ac:dyDescent="0.25">
      <c r="A869" t="s">
        <v>1192</v>
      </c>
      <c r="B869" s="5" t="s">
        <v>1357</v>
      </c>
      <c r="C869" t="s">
        <v>265</v>
      </c>
      <c r="D869">
        <v>54</v>
      </c>
      <c r="E869" t="s">
        <v>16</v>
      </c>
      <c r="F869" t="s">
        <v>54</v>
      </c>
      <c r="G869" t="s">
        <v>237</v>
      </c>
      <c r="H869">
        <v>2</v>
      </c>
      <c r="I869">
        <v>5</v>
      </c>
      <c r="J869">
        <v>15</v>
      </c>
      <c r="K869" t="s">
        <v>41</v>
      </c>
      <c r="L869" t="s">
        <v>20</v>
      </c>
      <c r="M869">
        <v>8.5</v>
      </c>
      <c r="N869" t="s">
        <v>38</v>
      </c>
    </row>
    <row r="870" spans="1:14" x14ac:dyDescent="0.25">
      <c r="A870" t="s">
        <v>1193</v>
      </c>
      <c r="B870" s="5">
        <v>45277</v>
      </c>
      <c r="C870" t="s">
        <v>82</v>
      </c>
      <c r="D870">
        <v>200</v>
      </c>
      <c r="E870" t="s">
        <v>23</v>
      </c>
      <c r="F870" t="s">
        <v>324</v>
      </c>
      <c r="G870" t="s">
        <v>331</v>
      </c>
      <c r="H870">
        <v>9</v>
      </c>
      <c r="I870">
        <v>239</v>
      </c>
      <c r="J870">
        <v>15</v>
      </c>
      <c r="K870" t="s">
        <v>19</v>
      </c>
      <c r="L870" t="s">
        <v>56</v>
      </c>
      <c r="M870">
        <v>1828.35</v>
      </c>
      <c r="N870" t="s">
        <v>21</v>
      </c>
    </row>
    <row r="871" spans="1:14" x14ac:dyDescent="0.25">
      <c r="A871" t="s">
        <v>1194</v>
      </c>
      <c r="B871" s="5">
        <v>45064</v>
      </c>
      <c r="C871" t="s">
        <v>198</v>
      </c>
      <c r="D871">
        <v>25</v>
      </c>
      <c r="E871" t="s">
        <v>16</v>
      </c>
      <c r="F871" t="s">
        <v>30</v>
      </c>
      <c r="G871" t="s">
        <v>195</v>
      </c>
      <c r="H871">
        <v>10</v>
      </c>
      <c r="I871">
        <v>2695</v>
      </c>
      <c r="J871">
        <v>5</v>
      </c>
      <c r="K871" t="s">
        <v>25</v>
      </c>
      <c r="L871" t="s">
        <v>100</v>
      </c>
      <c r="M871">
        <v>25602.5</v>
      </c>
      <c r="N871" t="s">
        <v>45</v>
      </c>
    </row>
    <row r="872" spans="1:14" x14ac:dyDescent="0.25">
      <c r="A872" t="s">
        <v>1195</v>
      </c>
      <c r="B872" s="5">
        <v>44932</v>
      </c>
      <c r="D872">
        <v>22</v>
      </c>
      <c r="E872" t="s">
        <v>23</v>
      </c>
      <c r="F872" t="s">
        <v>17</v>
      </c>
      <c r="G872" t="s">
        <v>186</v>
      </c>
      <c r="H872">
        <v>1</v>
      </c>
      <c r="I872">
        <v>2400</v>
      </c>
      <c r="J872">
        <v>0</v>
      </c>
      <c r="K872" t="s">
        <v>50</v>
      </c>
      <c r="L872" t="s">
        <v>20</v>
      </c>
      <c r="M872">
        <v>2400</v>
      </c>
      <c r="N872" t="s">
        <v>21</v>
      </c>
    </row>
    <row r="873" spans="1:14" x14ac:dyDescent="0.25">
      <c r="A873" t="s">
        <v>1196</v>
      </c>
      <c r="B873" s="5">
        <v>45066</v>
      </c>
      <c r="C873" t="s">
        <v>245</v>
      </c>
      <c r="D873">
        <v>32</v>
      </c>
      <c r="E873" t="s">
        <v>16</v>
      </c>
      <c r="F873" t="s">
        <v>54</v>
      </c>
      <c r="G873" t="s">
        <v>338</v>
      </c>
      <c r="H873">
        <v>2</v>
      </c>
      <c r="I873">
        <v>5000</v>
      </c>
      <c r="J873">
        <v>10</v>
      </c>
      <c r="K873" t="s">
        <v>531</v>
      </c>
      <c r="L873" t="s">
        <v>20</v>
      </c>
      <c r="M873">
        <v>9000</v>
      </c>
      <c r="N873" t="s">
        <v>21</v>
      </c>
    </row>
    <row r="874" spans="1:14" x14ac:dyDescent="0.25">
      <c r="A874" t="s">
        <v>1197</v>
      </c>
      <c r="B874" s="5">
        <v>44960</v>
      </c>
      <c r="C874" t="s">
        <v>355</v>
      </c>
      <c r="D874">
        <v>43</v>
      </c>
      <c r="E874" t="s">
        <v>23</v>
      </c>
      <c r="F874" t="s">
        <v>54</v>
      </c>
      <c r="G874" t="s">
        <v>237</v>
      </c>
      <c r="H874">
        <v>2</v>
      </c>
      <c r="I874">
        <v>49800</v>
      </c>
      <c r="J874">
        <v>0</v>
      </c>
      <c r="K874" t="s">
        <v>19</v>
      </c>
      <c r="L874" t="s">
        <v>20</v>
      </c>
      <c r="M874">
        <v>99600</v>
      </c>
      <c r="N874" t="s">
        <v>45</v>
      </c>
    </row>
    <row r="875" spans="1:14" x14ac:dyDescent="0.25">
      <c r="A875" t="s">
        <v>1198</v>
      </c>
      <c r="B875" s="5">
        <v>45126</v>
      </c>
      <c r="D875">
        <v>20</v>
      </c>
      <c r="E875" t="s">
        <v>16</v>
      </c>
      <c r="F875" t="s">
        <v>17</v>
      </c>
      <c r="G875" t="s">
        <v>18</v>
      </c>
      <c r="H875">
        <v>1</v>
      </c>
      <c r="I875">
        <v>2800</v>
      </c>
      <c r="J875">
        <v>5</v>
      </c>
      <c r="K875" t="s">
        <v>41</v>
      </c>
      <c r="L875" t="s">
        <v>56</v>
      </c>
      <c r="M875">
        <v>2660</v>
      </c>
      <c r="N875" t="s">
        <v>349</v>
      </c>
    </row>
    <row r="876" spans="1:14" x14ac:dyDescent="0.25">
      <c r="A876" t="s">
        <v>1199</v>
      </c>
      <c r="B876" s="5">
        <v>44936</v>
      </c>
      <c r="C876" t="s">
        <v>173</v>
      </c>
      <c r="D876">
        <v>26</v>
      </c>
      <c r="E876" t="s">
        <v>138</v>
      </c>
      <c r="F876" t="s">
        <v>54</v>
      </c>
      <c r="G876" t="s">
        <v>144</v>
      </c>
      <c r="H876">
        <v>2</v>
      </c>
      <c r="I876">
        <v>9</v>
      </c>
      <c r="J876">
        <v>0</v>
      </c>
      <c r="K876" t="s">
        <v>83</v>
      </c>
      <c r="L876" t="s">
        <v>20</v>
      </c>
      <c r="M876">
        <v>18</v>
      </c>
      <c r="N876" t="s">
        <v>21</v>
      </c>
    </row>
    <row r="877" spans="1:14" x14ac:dyDescent="0.25">
      <c r="A877" t="s">
        <v>1200</v>
      </c>
      <c r="B877" s="5" t="s">
        <v>1201</v>
      </c>
      <c r="D877">
        <v>50</v>
      </c>
      <c r="E877" t="s">
        <v>23</v>
      </c>
      <c r="F877" t="s">
        <v>17</v>
      </c>
      <c r="G877" t="s">
        <v>124</v>
      </c>
      <c r="H877">
        <v>2</v>
      </c>
      <c r="I877">
        <v>5800</v>
      </c>
      <c r="J877">
        <v>20</v>
      </c>
      <c r="K877" t="s">
        <v>50</v>
      </c>
      <c r="L877" t="s">
        <v>56</v>
      </c>
      <c r="M877">
        <v>9280</v>
      </c>
      <c r="N877" t="s">
        <v>26</v>
      </c>
    </row>
    <row r="878" spans="1:14" x14ac:dyDescent="0.25">
      <c r="A878" t="s">
        <v>1202</v>
      </c>
      <c r="B878" s="5">
        <v>45195</v>
      </c>
      <c r="C878" t="s">
        <v>87</v>
      </c>
      <c r="D878">
        <v>54</v>
      </c>
      <c r="E878" t="s">
        <v>16</v>
      </c>
      <c r="F878" t="s">
        <v>17</v>
      </c>
      <c r="G878" t="s">
        <v>259</v>
      </c>
      <c r="H878">
        <v>3</v>
      </c>
      <c r="I878">
        <v>2800</v>
      </c>
      <c r="J878">
        <v>5</v>
      </c>
      <c r="K878" t="s">
        <v>25</v>
      </c>
      <c r="L878" t="s">
        <v>20</v>
      </c>
      <c r="M878">
        <v>7980</v>
      </c>
      <c r="N878" t="s">
        <v>38</v>
      </c>
    </row>
    <row r="879" spans="1:14" x14ac:dyDescent="0.25">
      <c r="A879" t="s">
        <v>688</v>
      </c>
      <c r="B879" s="5">
        <v>45191</v>
      </c>
      <c r="D879">
        <v>64</v>
      </c>
      <c r="E879" t="s">
        <v>16</v>
      </c>
      <c r="F879" t="s">
        <v>30</v>
      </c>
      <c r="G879" t="s">
        <v>235</v>
      </c>
      <c r="H879">
        <v>10</v>
      </c>
      <c r="I879">
        <v>2432</v>
      </c>
      <c r="J879">
        <v>0</v>
      </c>
      <c r="K879" t="s">
        <v>487</v>
      </c>
      <c r="L879" t="s">
        <v>20</v>
      </c>
      <c r="M879">
        <v>24320</v>
      </c>
      <c r="N879" t="s">
        <v>45</v>
      </c>
    </row>
    <row r="880" spans="1:14" x14ac:dyDescent="0.25">
      <c r="A880" t="s">
        <v>795</v>
      </c>
      <c r="B880" s="5">
        <v>45054</v>
      </c>
      <c r="C880" t="s">
        <v>66</v>
      </c>
      <c r="D880">
        <v>47</v>
      </c>
      <c r="E880" t="s">
        <v>23</v>
      </c>
      <c r="F880" t="s">
        <v>17</v>
      </c>
      <c r="G880" t="s">
        <v>186</v>
      </c>
      <c r="H880">
        <v>1</v>
      </c>
      <c r="I880">
        <v>1200</v>
      </c>
      <c r="J880">
        <v>10</v>
      </c>
      <c r="K880" t="s">
        <v>19</v>
      </c>
      <c r="L880" t="s">
        <v>20</v>
      </c>
      <c r="M880">
        <v>1080</v>
      </c>
      <c r="N880" t="s">
        <v>45</v>
      </c>
    </row>
    <row r="881" spans="1:14" x14ac:dyDescent="0.25">
      <c r="A881" t="s">
        <v>1203</v>
      </c>
      <c r="B881" s="5">
        <v>45261</v>
      </c>
      <c r="C881" t="s">
        <v>43</v>
      </c>
      <c r="D881">
        <v>52</v>
      </c>
      <c r="E881" t="s">
        <v>23</v>
      </c>
      <c r="F881" t="s">
        <v>30</v>
      </c>
      <c r="G881" t="s">
        <v>294</v>
      </c>
      <c r="H881">
        <v>4</v>
      </c>
      <c r="I881">
        <v>741</v>
      </c>
      <c r="J881">
        <v>50</v>
      </c>
      <c r="K881" t="s">
        <v>41</v>
      </c>
      <c r="L881" t="s">
        <v>20</v>
      </c>
      <c r="M881">
        <v>1482</v>
      </c>
      <c r="N881" t="s">
        <v>26</v>
      </c>
    </row>
    <row r="882" spans="1:14" x14ac:dyDescent="0.25">
      <c r="A882" t="s">
        <v>1204</v>
      </c>
      <c r="B882" s="5" t="s">
        <v>1037</v>
      </c>
      <c r="E882" t="s">
        <v>23</v>
      </c>
      <c r="F882" t="s">
        <v>30</v>
      </c>
      <c r="G882" t="s">
        <v>153</v>
      </c>
      <c r="H882">
        <v>9</v>
      </c>
      <c r="I882">
        <v>2129</v>
      </c>
      <c r="J882">
        <v>15</v>
      </c>
      <c r="K882" t="s">
        <v>25</v>
      </c>
      <c r="L882" t="s">
        <v>51</v>
      </c>
      <c r="M882">
        <v>16286.85</v>
      </c>
      <c r="N882" t="s">
        <v>45</v>
      </c>
    </row>
    <row r="883" spans="1:14" x14ac:dyDescent="0.25">
      <c r="A883" t="s">
        <v>1205</v>
      </c>
      <c r="B883" s="5">
        <v>44938</v>
      </c>
      <c r="C883" t="s">
        <v>173</v>
      </c>
      <c r="D883">
        <v>37</v>
      </c>
      <c r="E883" t="s">
        <v>23</v>
      </c>
      <c r="F883" t="s">
        <v>35</v>
      </c>
      <c r="G883" t="s">
        <v>126</v>
      </c>
      <c r="H883">
        <v>3</v>
      </c>
      <c r="I883">
        <v>555</v>
      </c>
      <c r="J883">
        <v>30</v>
      </c>
      <c r="K883" t="s">
        <v>19</v>
      </c>
      <c r="L883" t="s">
        <v>107</v>
      </c>
      <c r="M883">
        <v>1165.5</v>
      </c>
      <c r="N883" t="s">
        <v>45</v>
      </c>
    </row>
    <row r="884" spans="1:14" x14ac:dyDescent="0.25">
      <c r="A884" t="s">
        <v>1206</v>
      </c>
      <c r="B884" s="5">
        <v>45062</v>
      </c>
      <c r="C884" t="s">
        <v>82</v>
      </c>
      <c r="D884">
        <v>24</v>
      </c>
      <c r="E884" t="s">
        <v>16</v>
      </c>
      <c r="F884" t="s">
        <v>35</v>
      </c>
      <c r="G884" t="s">
        <v>63</v>
      </c>
      <c r="H884">
        <v>3</v>
      </c>
      <c r="I884">
        <v>1696</v>
      </c>
      <c r="J884">
        <v>10</v>
      </c>
      <c r="K884" t="s">
        <v>50</v>
      </c>
      <c r="L884" t="s">
        <v>51</v>
      </c>
      <c r="M884">
        <v>4579.2</v>
      </c>
      <c r="N884" t="s">
        <v>26</v>
      </c>
    </row>
    <row r="885" spans="1:14" x14ac:dyDescent="0.25">
      <c r="A885" t="s">
        <v>1207</v>
      </c>
      <c r="B885" s="5">
        <v>44960</v>
      </c>
      <c r="C885" t="s">
        <v>757</v>
      </c>
      <c r="D885">
        <v>27</v>
      </c>
      <c r="E885" t="s">
        <v>16</v>
      </c>
      <c r="F885" t="s">
        <v>17</v>
      </c>
      <c r="G885" t="s">
        <v>94</v>
      </c>
      <c r="H885">
        <v>3</v>
      </c>
      <c r="I885">
        <v>1850</v>
      </c>
      <c r="J885">
        <v>10</v>
      </c>
      <c r="K885" t="s">
        <v>41</v>
      </c>
      <c r="L885" t="s">
        <v>51</v>
      </c>
      <c r="M885">
        <v>4995</v>
      </c>
      <c r="N885" t="s">
        <v>21</v>
      </c>
    </row>
    <row r="886" spans="1:14" x14ac:dyDescent="0.25">
      <c r="A886" t="s">
        <v>1208</v>
      </c>
      <c r="B886" s="5">
        <v>44984</v>
      </c>
      <c r="C886" t="s">
        <v>241</v>
      </c>
      <c r="D886">
        <v>58</v>
      </c>
      <c r="E886" t="s">
        <v>23</v>
      </c>
      <c r="F886" t="s">
        <v>97</v>
      </c>
      <c r="G886" t="s">
        <v>224</v>
      </c>
      <c r="H886">
        <v>9</v>
      </c>
      <c r="I886">
        <v>1043</v>
      </c>
      <c r="J886">
        <v>20</v>
      </c>
      <c r="K886" t="s">
        <v>19</v>
      </c>
      <c r="L886" t="s">
        <v>20</v>
      </c>
      <c r="M886">
        <v>7509.6</v>
      </c>
      <c r="N886" t="s">
        <v>45</v>
      </c>
    </row>
    <row r="887" spans="1:14" x14ac:dyDescent="0.25">
      <c r="A887" t="s">
        <v>1209</v>
      </c>
      <c r="B887" s="5">
        <v>45284</v>
      </c>
      <c r="C887" t="s">
        <v>192</v>
      </c>
      <c r="D887">
        <v>46</v>
      </c>
      <c r="E887" t="s">
        <v>16</v>
      </c>
      <c r="F887" t="s">
        <v>17</v>
      </c>
      <c r="G887" t="s">
        <v>40</v>
      </c>
      <c r="H887">
        <v>1</v>
      </c>
      <c r="I887">
        <v>4200</v>
      </c>
      <c r="J887">
        <v>5</v>
      </c>
      <c r="K887" t="s">
        <v>25</v>
      </c>
      <c r="L887" t="s">
        <v>20</v>
      </c>
      <c r="M887">
        <v>3990</v>
      </c>
      <c r="N887" t="s">
        <v>26</v>
      </c>
    </row>
    <row r="888" spans="1:14" x14ac:dyDescent="0.25">
      <c r="A888" t="s">
        <v>1210</v>
      </c>
      <c r="B888" s="5">
        <v>44975</v>
      </c>
      <c r="D888">
        <v>37</v>
      </c>
      <c r="E888" t="s">
        <v>16</v>
      </c>
      <c r="F888" t="s">
        <v>54</v>
      </c>
      <c r="G888" t="s">
        <v>348</v>
      </c>
      <c r="H888">
        <v>1</v>
      </c>
      <c r="I888">
        <v>2500</v>
      </c>
      <c r="J888">
        <v>75</v>
      </c>
      <c r="K888" t="s">
        <v>19</v>
      </c>
      <c r="L888" t="s">
        <v>20</v>
      </c>
      <c r="M888">
        <v>625</v>
      </c>
      <c r="N888" t="s">
        <v>225</v>
      </c>
    </row>
    <row r="889" spans="1:14" x14ac:dyDescent="0.25">
      <c r="A889" t="s">
        <v>1211</v>
      </c>
      <c r="B889" s="5">
        <v>45130</v>
      </c>
      <c r="D889">
        <v>32</v>
      </c>
      <c r="E889" t="s">
        <v>16</v>
      </c>
      <c r="F889" t="s">
        <v>54</v>
      </c>
      <c r="G889" t="s">
        <v>237</v>
      </c>
      <c r="H889">
        <v>2</v>
      </c>
      <c r="I889">
        <v>43300</v>
      </c>
      <c r="J889">
        <v>10</v>
      </c>
      <c r="K889" t="s">
        <v>19</v>
      </c>
      <c r="L889" t="s">
        <v>20</v>
      </c>
      <c r="M889">
        <v>77940</v>
      </c>
      <c r="N889" t="s">
        <v>38</v>
      </c>
    </row>
    <row r="890" spans="1:14" x14ac:dyDescent="0.25">
      <c r="A890" t="s">
        <v>1212</v>
      </c>
      <c r="B890" s="5">
        <v>45079</v>
      </c>
      <c r="C890" t="s">
        <v>128</v>
      </c>
      <c r="D890">
        <v>39</v>
      </c>
      <c r="E890" t="s">
        <v>16</v>
      </c>
      <c r="F890" t="s">
        <v>17</v>
      </c>
      <c r="G890" t="s">
        <v>259</v>
      </c>
      <c r="H890">
        <v>2</v>
      </c>
      <c r="I890">
        <v>4950</v>
      </c>
      <c r="J890">
        <v>0</v>
      </c>
      <c r="K890" t="s">
        <v>50</v>
      </c>
      <c r="L890" t="s">
        <v>20</v>
      </c>
      <c r="M890">
        <v>9900</v>
      </c>
      <c r="N890" t="s">
        <v>38</v>
      </c>
    </row>
    <row r="891" spans="1:14" x14ac:dyDescent="0.25">
      <c r="A891" t="s">
        <v>1213</v>
      </c>
      <c r="B891" s="5">
        <v>45129</v>
      </c>
      <c r="C891" t="s">
        <v>62</v>
      </c>
      <c r="D891">
        <v>42</v>
      </c>
      <c r="E891" t="s">
        <v>16</v>
      </c>
      <c r="F891" t="s">
        <v>17</v>
      </c>
      <c r="G891" t="s">
        <v>297</v>
      </c>
      <c r="H891">
        <v>1</v>
      </c>
      <c r="I891">
        <v>4650</v>
      </c>
      <c r="J891">
        <v>10</v>
      </c>
      <c r="K891" t="s">
        <v>41</v>
      </c>
      <c r="L891" t="s">
        <v>20</v>
      </c>
      <c r="M891">
        <v>4185</v>
      </c>
      <c r="N891" t="s">
        <v>26</v>
      </c>
    </row>
    <row r="892" spans="1:14" x14ac:dyDescent="0.25">
      <c r="A892" t="s">
        <v>1214</v>
      </c>
      <c r="B892" s="5" t="s">
        <v>1215</v>
      </c>
      <c r="C892" t="s">
        <v>211</v>
      </c>
      <c r="D892">
        <v>65</v>
      </c>
      <c r="E892" t="s">
        <v>171</v>
      </c>
      <c r="F892" t="s">
        <v>30</v>
      </c>
      <c r="G892" t="s">
        <v>224</v>
      </c>
      <c r="H892">
        <v>10</v>
      </c>
      <c r="I892">
        <v>749</v>
      </c>
      <c r="J892">
        <v>20</v>
      </c>
      <c r="K892" t="s">
        <v>25</v>
      </c>
      <c r="L892" t="s">
        <v>51</v>
      </c>
      <c r="M892">
        <v>5992</v>
      </c>
      <c r="N892" t="s">
        <v>45</v>
      </c>
    </row>
    <row r="893" spans="1:14" x14ac:dyDescent="0.25">
      <c r="A893" t="s">
        <v>1216</v>
      </c>
      <c r="B893" s="5">
        <v>45149</v>
      </c>
      <c r="C893" t="s">
        <v>207</v>
      </c>
      <c r="D893">
        <v>27</v>
      </c>
      <c r="E893" t="s">
        <v>23</v>
      </c>
      <c r="F893" t="s">
        <v>54</v>
      </c>
      <c r="G893" t="s">
        <v>180</v>
      </c>
      <c r="H893">
        <v>2</v>
      </c>
      <c r="I893">
        <v>23000</v>
      </c>
      <c r="J893">
        <v>50</v>
      </c>
      <c r="K893" t="s">
        <v>19</v>
      </c>
      <c r="L893" t="s">
        <v>20</v>
      </c>
      <c r="M893">
        <v>23000</v>
      </c>
      <c r="N893" t="s">
        <v>45</v>
      </c>
    </row>
    <row r="894" spans="1:14" x14ac:dyDescent="0.25">
      <c r="A894" t="s">
        <v>1217</v>
      </c>
      <c r="B894" s="5">
        <v>45055</v>
      </c>
      <c r="C894" t="s">
        <v>82</v>
      </c>
      <c r="D894">
        <v>45</v>
      </c>
      <c r="E894" t="s">
        <v>1218</v>
      </c>
      <c r="F894" t="s">
        <v>35</v>
      </c>
      <c r="G894" t="s">
        <v>331</v>
      </c>
      <c r="H894">
        <v>5</v>
      </c>
      <c r="I894">
        <v>386</v>
      </c>
      <c r="J894">
        <v>10</v>
      </c>
      <c r="K894" t="s">
        <v>487</v>
      </c>
      <c r="L894" t="s">
        <v>56</v>
      </c>
      <c r="M894">
        <v>1737</v>
      </c>
      <c r="N894" t="s">
        <v>26</v>
      </c>
    </row>
    <row r="895" spans="1:14" x14ac:dyDescent="0.25">
      <c r="A895" t="s">
        <v>1219</v>
      </c>
      <c r="B895" s="5">
        <v>45189</v>
      </c>
      <c r="C895" t="s">
        <v>156</v>
      </c>
      <c r="D895">
        <v>59</v>
      </c>
      <c r="E895" t="s">
        <v>23</v>
      </c>
      <c r="F895" t="s">
        <v>17</v>
      </c>
      <c r="G895" t="s">
        <v>18</v>
      </c>
      <c r="H895">
        <v>1</v>
      </c>
      <c r="I895">
        <v>2100</v>
      </c>
      <c r="J895">
        <v>0</v>
      </c>
      <c r="K895" t="s">
        <v>19</v>
      </c>
      <c r="L895" t="s">
        <v>51</v>
      </c>
      <c r="M895">
        <v>2100</v>
      </c>
      <c r="N895" t="s">
        <v>21</v>
      </c>
    </row>
    <row r="896" spans="1:14" x14ac:dyDescent="0.25">
      <c r="A896" t="s">
        <v>1220</v>
      </c>
      <c r="B896" s="5" t="s">
        <v>1215</v>
      </c>
      <c r="C896" t="s">
        <v>192</v>
      </c>
      <c r="D896">
        <v>30</v>
      </c>
      <c r="E896" t="s">
        <v>475</v>
      </c>
      <c r="F896" t="s">
        <v>17</v>
      </c>
      <c r="G896" t="s">
        <v>49</v>
      </c>
      <c r="H896">
        <v>2</v>
      </c>
      <c r="I896">
        <v>1650</v>
      </c>
      <c r="J896">
        <v>40</v>
      </c>
      <c r="K896" t="s">
        <v>41</v>
      </c>
      <c r="L896" t="s">
        <v>20</v>
      </c>
      <c r="M896">
        <v>1980</v>
      </c>
      <c r="N896" t="s">
        <v>379</v>
      </c>
    </row>
    <row r="897" spans="1:14" x14ac:dyDescent="0.25">
      <c r="A897" t="s">
        <v>1221</v>
      </c>
      <c r="B897" s="5">
        <v>44953</v>
      </c>
      <c r="C897" t="s">
        <v>517</v>
      </c>
      <c r="D897">
        <v>26</v>
      </c>
      <c r="E897" t="s">
        <v>23</v>
      </c>
      <c r="F897" t="s">
        <v>17</v>
      </c>
      <c r="G897" t="s">
        <v>94</v>
      </c>
      <c r="H897">
        <v>3</v>
      </c>
      <c r="I897">
        <v>3350</v>
      </c>
      <c r="J897">
        <v>20</v>
      </c>
      <c r="K897" t="s">
        <v>19</v>
      </c>
      <c r="L897" t="s">
        <v>20</v>
      </c>
      <c r="M897">
        <v>8040</v>
      </c>
      <c r="N897" t="s">
        <v>38</v>
      </c>
    </row>
    <row r="898" spans="1:14" x14ac:dyDescent="0.25">
      <c r="A898" t="s">
        <v>1222</v>
      </c>
      <c r="B898" s="5" t="s">
        <v>1223</v>
      </c>
      <c r="C898" t="s">
        <v>152</v>
      </c>
      <c r="D898">
        <v>47</v>
      </c>
      <c r="E898" t="s">
        <v>23</v>
      </c>
      <c r="F898" t="s">
        <v>30</v>
      </c>
      <c r="G898" t="s">
        <v>540</v>
      </c>
      <c r="H898">
        <v>3</v>
      </c>
      <c r="I898">
        <v>3132</v>
      </c>
      <c r="J898">
        <v>15</v>
      </c>
      <c r="K898" t="s">
        <v>19</v>
      </c>
      <c r="L898" t="s">
        <v>20</v>
      </c>
      <c r="M898">
        <v>7986.6</v>
      </c>
      <c r="N898" t="s">
        <v>45</v>
      </c>
    </row>
    <row r="899" spans="1:14" x14ac:dyDescent="0.25">
      <c r="A899" t="s">
        <v>1224</v>
      </c>
      <c r="B899" s="5">
        <v>45168</v>
      </c>
      <c r="C899" t="s">
        <v>128</v>
      </c>
      <c r="D899">
        <v>19</v>
      </c>
      <c r="E899" t="s">
        <v>23</v>
      </c>
      <c r="F899" t="s">
        <v>35</v>
      </c>
      <c r="G899" t="s">
        <v>158</v>
      </c>
      <c r="H899">
        <v>2</v>
      </c>
      <c r="I899">
        <v>866</v>
      </c>
      <c r="J899">
        <v>0</v>
      </c>
      <c r="K899" t="s">
        <v>41</v>
      </c>
      <c r="L899" t="s">
        <v>20</v>
      </c>
      <c r="M899">
        <v>1732</v>
      </c>
      <c r="N899" t="s">
        <v>38</v>
      </c>
    </row>
    <row r="900" spans="1:14" x14ac:dyDescent="0.25">
      <c r="A900" t="s">
        <v>1225</v>
      </c>
      <c r="B900" s="5">
        <v>45145</v>
      </c>
      <c r="C900" t="s">
        <v>156</v>
      </c>
      <c r="D900">
        <v>60</v>
      </c>
      <c r="E900" t="s">
        <v>16</v>
      </c>
      <c r="F900" t="s">
        <v>17</v>
      </c>
      <c r="G900" t="s">
        <v>274</v>
      </c>
      <c r="H900">
        <v>3</v>
      </c>
      <c r="I900">
        <v>3950</v>
      </c>
      <c r="J900">
        <v>0</v>
      </c>
      <c r="K900" t="s">
        <v>25</v>
      </c>
      <c r="L900" t="s">
        <v>20</v>
      </c>
      <c r="M900">
        <v>11850</v>
      </c>
      <c r="N900" t="s">
        <v>894</v>
      </c>
    </row>
    <row r="901" spans="1:14" x14ac:dyDescent="0.25">
      <c r="A901" t="s">
        <v>1226</v>
      </c>
      <c r="B901" s="5">
        <v>45236</v>
      </c>
      <c r="C901" t="s">
        <v>102</v>
      </c>
      <c r="D901">
        <v>34</v>
      </c>
      <c r="E901" t="s">
        <v>23</v>
      </c>
      <c r="F901" t="s">
        <v>54</v>
      </c>
      <c r="G901" t="s">
        <v>311</v>
      </c>
      <c r="H901">
        <v>2</v>
      </c>
      <c r="I901">
        <v>4000</v>
      </c>
      <c r="J901">
        <v>5</v>
      </c>
      <c r="K901" t="s">
        <v>41</v>
      </c>
      <c r="L901" t="s">
        <v>51</v>
      </c>
      <c r="M901">
        <v>7600</v>
      </c>
      <c r="N901" t="s">
        <v>894</v>
      </c>
    </row>
    <row r="902" spans="1:14" x14ac:dyDescent="0.25">
      <c r="A902" t="s">
        <v>1227</v>
      </c>
      <c r="B902" s="5">
        <v>45181</v>
      </c>
      <c r="C902" t="s">
        <v>587</v>
      </c>
      <c r="D902">
        <v>55</v>
      </c>
      <c r="E902" t="s">
        <v>443</v>
      </c>
      <c r="F902" t="s">
        <v>17</v>
      </c>
      <c r="G902" t="s">
        <v>259</v>
      </c>
      <c r="H902">
        <v>2</v>
      </c>
      <c r="I902">
        <v>4800</v>
      </c>
      <c r="J902">
        <v>20</v>
      </c>
      <c r="K902" t="s">
        <v>19</v>
      </c>
      <c r="L902" t="s">
        <v>20</v>
      </c>
      <c r="M902">
        <v>7680</v>
      </c>
      <c r="N902" t="s">
        <v>26</v>
      </c>
    </row>
    <row r="903" spans="1:14" x14ac:dyDescent="0.25">
      <c r="A903" t="s">
        <v>1228</v>
      </c>
      <c r="B903" s="5">
        <v>44931</v>
      </c>
      <c r="D903">
        <v>54</v>
      </c>
      <c r="E903" t="s">
        <v>16</v>
      </c>
      <c r="F903" t="s">
        <v>17</v>
      </c>
      <c r="G903" t="s">
        <v>186</v>
      </c>
      <c r="H903">
        <v>2</v>
      </c>
      <c r="I903">
        <v>2500</v>
      </c>
      <c r="J903">
        <v>10</v>
      </c>
      <c r="K903" t="s">
        <v>41</v>
      </c>
      <c r="L903" t="s">
        <v>20</v>
      </c>
      <c r="M903">
        <v>4500</v>
      </c>
      <c r="N903" t="s">
        <v>45</v>
      </c>
    </row>
    <row r="904" spans="1:14" x14ac:dyDescent="0.25">
      <c r="A904" t="s">
        <v>1229</v>
      </c>
      <c r="B904" s="5">
        <v>45239</v>
      </c>
      <c r="C904" t="s">
        <v>192</v>
      </c>
      <c r="D904">
        <v>26</v>
      </c>
      <c r="E904" t="s">
        <v>16</v>
      </c>
      <c r="F904" t="s">
        <v>30</v>
      </c>
      <c r="G904" t="s">
        <v>540</v>
      </c>
      <c r="H904">
        <v>0</v>
      </c>
      <c r="I904">
        <v>4331</v>
      </c>
      <c r="J904">
        <v>30</v>
      </c>
      <c r="K904" t="s">
        <v>19</v>
      </c>
      <c r="L904" t="s">
        <v>20</v>
      </c>
      <c r="M904">
        <v>0</v>
      </c>
      <c r="N904" t="s">
        <v>38</v>
      </c>
    </row>
    <row r="905" spans="1:14" x14ac:dyDescent="0.25">
      <c r="A905" t="s">
        <v>1230</v>
      </c>
      <c r="B905" s="5" t="s">
        <v>273</v>
      </c>
      <c r="D905">
        <v>41</v>
      </c>
      <c r="E905" t="s">
        <v>23</v>
      </c>
      <c r="F905" t="s">
        <v>30</v>
      </c>
      <c r="G905" t="s">
        <v>135</v>
      </c>
      <c r="H905">
        <v>10</v>
      </c>
      <c r="I905">
        <v>9793</v>
      </c>
      <c r="J905">
        <v>50</v>
      </c>
      <c r="K905" t="s">
        <v>50</v>
      </c>
      <c r="L905" t="s">
        <v>449</v>
      </c>
      <c r="M905">
        <v>48965</v>
      </c>
      <c r="N905" t="s">
        <v>45</v>
      </c>
    </row>
    <row r="906" spans="1:14" x14ac:dyDescent="0.25">
      <c r="A906" t="s">
        <v>1231</v>
      </c>
      <c r="B906" s="5">
        <v>45265</v>
      </c>
      <c r="D906">
        <v>27</v>
      </c>
      <c r="E906" t="s">
        <v>23</v>
      </c>
      <c r="F906" t="s">
        <v>30</v>
      </c>
      <c r="G906" t="s">
        <v>540</v>
      </c>
      <c r="H906">
        <v>8</v>
      </c>
      <c r="I906">
        <v>2670</v>
      </c>
      <c r="J906">
        <v>15</v>
      </c>
      <c r="K906" t="s">
        <v>19</v>
      </c>
      <c r="L906" t="s">
        <v>51</v>
      </c>
      <c r="M906">
        <v>18156</v>
      </c>
      <c r="N906" t="s">
        <v>21</v>
      </c>
    </row>
    <row r="907" spans="1:14" x14ac:dyDescent="0.25">
      <c r="A907" t="s">
        <v>1232</v>
      </c>
      <c r="B907" s="5">
        <v>44964</v>
      </c>
      <c r="D907">
        <v>29</v>
      </c>
      <c r="E907" t="s">
        <v>16</v>
      </c>
      <c r="F907" t="s">
        <v>17</v>
      </c>
      <c r="G907" t="s">
        <v>492</v>
      </c>
      <c r="H907">
        <v>1</v>
      </c>
      <c r="I907">
        <v>4950</v>
      </c>
      <c r="J907">
        <v>10</v>
      </c>
      <c r="K907" t="s">
        <v>41</v>
      </c>
      <c r="L907" t="s">
        <v>20</v>
      </c>
      <c r="M907">
        <v>4455</v>
      </c>
      <c r="N907" t="s">
        <v>38</v>
      </c>
    </row>
    <row r="908" spans="1:14" x14ac:dyDescent="0.25">
      <c r="A908" t="s">
        <v>1233</v>
      </c>
      <c r="B908" s="5">
        <v>45198</v>
      </c>
      <c r="C908" t="s">
        <v>156</v>
      </c>
      <c r="D908">
        <v>20</v>
      </c>
      <c r="E908" t="s">
        <v>29</v>
      </c>
      <c r="F908" t="s">
        <v>54</v>
      </c>
      <c r="G908" t="s">
        <v>114</v>
      </c>
      <c r="H908">
        <v>1</v>
      </c>
      <c r="I908">
        <v>91100</v>
      </c>
      <c r="J908">
        <v>15</v>
      </c>
      <c r="K908" t="s">
        <v>326</v>
      </c>
      <c r="L908" t="s">
        <v>20</v>
      </c>
      <c r="M908">
        <v>77435</v>
      </c>
      <c r="N908" t="s">
        <v>38</v>
      </c>
    </row>
    <row r="909" spans="1:14" x14ac:dyDescent="0.25">
      <c r="A909" t="s">
        <v>1234</v>
      </c>
      <c r="B909" s="5">
        <v>45223</v>
      </c>
      <c r="C909" t="s">
        <v>87</v>
      </c>
      <c r="D909">
        <v>24</v>
      </c>
      <c r="E909" t="s">
        <v>23</v>
      </c>
      <c r="F909" t="s">
        <v>54</v>
      </c>
      <c r="G909" t="s">
        <v>77</v>
      </c>
      <c r="H909">
        <v>2</v>
      </c>
      <c r="I909">
        <v>16200</v>
      </c>
      <c r="J909">
        <v>50</v>
      </c>
      <c r="K909" t="s">
        <v>41</v>
      </c>
      <c r="L909" t="s">
        <v>20</v>
      </c>
      <c r="M909">
        <v>16200</v>
      </c>
      <c r="N909" t="s">
        <v>38</v>
      </c>
    </row>
    <row r="910" spans="1:14" x14ac:dyDescent="0.25">
      <c r="A910" t="s">
        <v>1235</v>
      </c>
      <c r="B910" s="5" t="s">
        <v>320</v>
      </c>
      <c r="C910" t="s">
        <v>170</v>
      </c>
      <c r="D910">
        <v>31</v>
      </c>
      <c r="E910" t="s">
        <v>16</v>
      </c>
      <c r="F910" t="s">
        <v>54</v>
      </c>
      <c r="G910" t="s">
        <v>348</v>
      </c>
      <c r="H910">
        <v>2</v>
      </c>
      <c r="I910">
        <v>3300</v>
      </c>
      <c r="J910">
        <v>-5</v>
      </c>
      <c r="K910" t="s">
        <v>19</v>
      </c>
      <c r="L910" t="s">
        <v>100</v>
      </c>
      <c r="M910">
        <v>6930</v>
      </c>
      <c r="N910" t="s">
        <v>26</v>
      </c>
    </row>
    <row r="911" spans="1:14" x14ac:dyDescent="0.25">
      <c r="A911" t="s">
        <v>1236</v>
      </c>
      <c r="B911" s="5">
        <v>45200</v>
      </c>
      <c r="C911" t="s">
        <v>53</v>
      </c>
      <c r="D911">
        <v>21</v>
      </c>
      <c r="E911" t="s">
        <v>23</v>
      </c>
      <c r="F911" t="s">
        <v>30</v>
      </c>
      <c r="G911" t="s">
        <v>294</v>
      </c>
      <c r="H911">
        <v>8</v>
      </c>
      <c r="I911">
        <v>478</v>
      </c>
      <c r="J911">
        <v>0</v>
      </c>
      <c r="K911" t="s">
        <v>50</v>
      </c>
      <c r="L911" t="s">
        <v>20</v>
      </c>
      <c r="M911">
        <v>3824</v>
      </c>
      <c r="N911" t="s">
        <v>38</v>
      </c>
    </row>
    <row r="912" spans="1:14" x14ac:dyDescent="0.25">
      <c r="A912" t="s">
        <v>1237</v>
      </c>
      <c r="B912" s="5">
        <v>45081</v>
      </c>
      <c r="C912" t="s">
        <v>211</v>
      </c>
      <c r="D912">
        <v>55</v>
      </c>
      <c r="E912" t="s">
        <v>16</v>
      </c>
      <c r="F912" t="s">
        <v>17</v>
      </c>
      <c r="G912" t="s">
        <v>18</v>
      </c>
      <c r="H912">
        <v>2</v>
      </c>
      <c r="I912">
        <v>2300</v>
      </c>
      <c r="J912">
        <v>0</v>
      </c>
      <c r="K912" t="s">
        <v>64</v>
      </c>
      <c r="L912" t="s">
        <v>20</v>
      </c>
      <c r="M912">
        <v>4600</v>
      </c>
      <c r="N912" t="s">
        <v>26</v>
      </c>
    </row>
    <row r="913" spans="1:14" x14ac:dyDescent="0.25">
      <c r="A913" t="s">
        <v>1238</v>
      </c>
      <c r="B913" s="5">
        <v>45179</v>
      </c>
      <c r="C913" t="s">
        <v>128</v>
      </c>
      <c r="D913">
        <v>33</v>
      </c>
      <c r="E913" t="s">
        <v>23</v>
      </c>
      <c r="F913" t="s">
        <v>54</v>
      </c>
      <c r="G913" t="s">
        <v>114</v>
      </c>
      <c r="H913">
        <v>2</v>
      </c>
      <c r="I913">
        <v>76800</v>
      </c>
      <c r="J913">
        <v>5</v>
      </c>
      <c r="K913" t="s">
        <v>41</v>
      </c>
      <c r="L913" t="s">
        <v>20</v>
      </c>
      <c r="M913">
        <v>145920</v>
      </c>
      <c r="N913" t="s">
        <v>45</v>
      </c>
    </row>
    <row r="914" spans="1:14" x14ac:dyDescent="0.25">
      <c r="A914" t="s">
        <v>1239</v>
      </c>
      <c r="B914" s="5">
        <v>44956</v>
      </c>
      <c r="C914" t="s">
        <v>243</v>
      </c>
      <c r="D914">
        <v>31</v>
      </c>
      <c r="E914" t="s">
        <v>23</v>
      </c>
      <c r="F914" t="s">
        <v>35</v>
      </c>
      <c r="G914" t="s">
        <v>126</v>
      </c>
      <c r="H914">
        <v>8</v>
      </c>
      <c r="I914">
        <v>393</v>
      </c>
      <c r="J914">
        <v>50</v>
      </c>
      <c r="K914" t="s">
        <v>19</v>
      </c>
      <c r="L914" t="s">
        <v>51</v>
      </c>
      <c r="M914">
        <v>1572</v>
      </c>
      <c r="N914" t="s">
        <v>38</v>
      </c>
    </row>
    <row r="915" spans="1:14" x14ac:dyDescent="0.25">
      <c r="A915" t="s">
        <v>1240</v>
      </c>
      <c r="B915" s="5">
        <v>44983</v>
      </c>
      <c r="D915">
        <v>52</v>
      </c>
      <c r="E915" t="s">
        <v>146</v>
      </c>
      <c r="F915" t="s">
        <v>30</v>
      </c>
      <c r="G915" t="s">
        <v>294</v>
      </c>
      <c r="H915">
        <v>8</v>
      </c>
      <c r="I915">
        <v>628</v>
      </c>
      <c r="J915">
        <v>0</v>
      </c>
      <c r="K915" t="s">
        <v>25</v>
      </c>
      <c r="L915" t="s">
        <v>56</v>
      </c>
      <c r="M915">
        <v>5024</v>
      </c>
      <c r="N915" t="s">
        <v>21</v>
      </c>
    </row>
    <row r="916" spans="1:14" x14ac:dyDescent="0.25">
      <c r="A916" t="s">
        <v>1241</v>
      </c>
      <c r="B916" s="5">
        <v>45186</v>
      </c>
      <c r="C916" t="s">
        <v>82</v>
      </c>
      <c r="D916">
        <v>33</v>
      </c>
      <c r="E916" t="s">
        <v>23</v>
      </c>
      <c r="F916" t="s">
        <v>35</v>
      </c>
      <c r="G916" t="s">
        <v>213</v>
      </c>
      <c r="H916">
        <v>4</v>
      </c>
      <c r="I916">
        <v>493</v>
      </c>
      <c r="J916">
        <v>10</v>
      </c>
      <c r="K916" t="s">
        <v>41</v>
      </c>
      <c r="L916" t="s">
        <v>20</v>
      </c>
      <c r="M916">
        <v>1774.8</v>
      </c>
      <c r="N916" t="s">
        <v>26</v>
      </c>
    </row>
    <row r="917" spans="1:14" x14ac:dyDescent="0.25">
      <c r="A917" t="s">
        <v>1242</v>
      </c>
      <c r="B917" s="5">
        <v>45237</v>
      </c>
      <c r="C917" t="s">
        <v>128</v>
      </c>
      <c r="D917">
        <v>46</v>
      </c>
      <c r="E917" t="s">
        <v>16</v>
      </c>
      <c r="F917" t="s">
        <v>17</v>
      </c>
      <c r="G917" t="s">
        <v>24</v>
      </c>
      <c r="H917">
        <v>2</v>
      </c>
      <c r="I917">
        <v>1550</v>
      </c>
      <c r="J917">
        <v>15</v>
      </c>
      <c r="K917" t="s">
        <v>50</v>
      </c>
      <c r="L917" t="s">
        <v>56</v>
      </c>
      <c r="M917">
        <v>2635</v>
      </c>
      <c r="N917" t="s">
        <v>21</v>
      </c>
    </row>
    <row r="918" spans="1:14" x14ac:dyDescent="0.25">
      <c r="A918" t="s">
        <v>1243</v>
      </c>
      <c r="B918" s="5">
        <v>45154</v>
      </c>
      <c r="C918" t="s">
        <v>43</v>
      </c>
      <c r="D918">
        <v>33</v>
      </c>
      <c r="E918" t="s">
        <v>23</v>
      </c>
      <c r="F918" t="s">
        <v>17</v>
      </c>
      <c r="G918" t="s">
        <v>94</v>
      </c>
      <c r="H918">
        <v>1</v>
      </c>
      <c r="I918">
        <v>2150</v>
      </c>
      <c r="J918">
        <v>50</v>
      </c>
      <c r="K918" t="s">
        <v>50</v>
      </c>
      <c r="L918" t="s">
        <v>20</v>
      </c>
      <c r="M918">
        <v>1075</v>
      </c>
      <c r="N918" t="s">
        <v>38</v>
      </c>
    </row>
    <row r="919" spans="1:14" x14ac:dyDescent="0.25">
      <c r="A919" t="s">
        <v>1244</v>
      </c>
      <c r="B919" s="5">
        <v>45247</v>
      </c>
      <c r="D919">
        <v>49</v>
      </c>
      <c r="E919" t="s">
        <v>443</v>
      </c>
      <c r="F919" t="s">
        <v>54</v>
      </c>
      <c r="G919" t="s">
        <v>280</v>
      </c>
      <c r="H919">
        <v>2</v>
      </c>
      <c r="I919">
        <v>40900</v>
      </c>
      <c r="J919">
        <v>0</v>
      </c>
      <c r="K919" t="s">
        <v>41</v>
      </c>
      <c r="L919" t="s">
        <v>20</v>
      </c>
      <c r="M919">
        <v>81800</v>
      </c>
      <c r="N919" t="s">
        <v>26</v>
      </c>
    </row>
    <row r="920" spans="1:14" x14ac:dyDescent="0.25">
      <c r="A920" t="s">
        <v>1245</v>
      </c>
      <c r="B920" s="5">
        <v>45270</v>
      </c>
      <c r="C920" t="s">
        <v>152</v>
      </c>
      <c r="D920">
        <v>39</v>
      </c>
      <c r="E920" t="s">
        <v>44</v>
      </c>
      <c r="F920" t="s">
        <v>17</v>
      </c>
      <c r="G920" t="s">
        <v>18</v>
      </c>
      <c r="H920">
        <v>2</v>
      </c>
      <c r="I920">
        <v>1850</v>
      </c>
      <c r="J920">
        <v>30</v>
      </c>
      <c r="K920" t="s">
        <v>19</v>
      </c>
      <c r="L920" t="s">
        <v>51</v>
      </c>
      <c r="M920">
        <v>2590</v>
      </c>
      <c r="N920" t="s">
        <v>45</v>
      </c>
    </row>
    <row r="921" spans="1:14" x14ac:dyDescent="0.25">
      <c r="A921" t="s">
        <v>1246</v>
      </c>
      <c r="B921" s="5" t="s">
        <v>1388</v>
      </c>
      <c r="C921" t="s">
        <v>79</v>
      </c>
      <c r="D921">
        <v>23</v>
      </c>
      <c r="E921" t="s">
        <v>23</v>
      </c>
      <c r="F921" t="s">
        <v>17</v>
      </c>
      <c r="G921" t="s">
        <v>94</v>
      </c>
      <c r="H921">
        <v>3</v>
      </c>
      <c r="I921">
        <v>1700</v>
      </c>
      <c r="J921">
        <v>-5</v>
      </c>
      <c r="K921" t="s">
        <v>19</v>
      </c>
      <c r="L921" t="s">
        <v>20</v>
      </c>
      <c r="M921">
        <v>5100</v>
      </c>
      <c r="N921" t="s">
        <v>45</v>
      </c>
    </row>
    <row r="922" spans="1:14" x14ac:dyDescent="0.25">
      <c r="A922" t="s">
        <v>1247</v>
      </c>
      <c r="B922" s="5" t="s">
        <v>1248</v>
      </c>
      <c r="C922" t="s">
        <v>1249</v>
      </c>
      <c r="D922">
        <v>32</v>
      </c>
      <c r="E922" t="s">
        <v>16</v>
      </c>
      <c r="F922" t="s">
        <v>17</v>
      </c>
      <c r="G922" t="s">
        <v>49</v>
      </c>
      <c r="H922">
        <v>3</v>
      </c>
      <c r="I922">
        <v>1250</v>
      </c>
      <c r="J922">
        <v>5</v>
      </c>
      <c r="K922" t="s">
        <v>25</v>
      </c>
      <c r="L922" t="s">
        <v>56</v>
      </c>
      <c r="M922">
        <v>3562.5</v>
      </c>
      <c r="N922" t="s">
        <v>26</v>
      </c>
    </row>
    <row r="923" spans="1:14" x14ac:dyDescent="0.25">
      <c r="A923" t="s">
        <v>1250</v>
      </c>
      <c r="B923" s="5" t="s">
        <v>1180</v>
      </c>
      <c r="D923">
        <v>34</v>
      </c>
      <c r="E923" t="s">
        <v>16</v>
      </c>
      <c r="F923" t="s">
        <v>35</v>
      </c>
      <c r="G923" t="s">
        <v>213</v>
      </c>
      <c r="H923">
        <v>10</v>
      </c>
      <c r="I923">
        <v>664</v>
      </c>
      <c r="J923">
        <v>15</v>
      </c>
      <c r="K923" t="s">
        <v>19</v>
      </c>
      <c r="L923" t="s">
        <v>20</v>
      </c>
      <c r="M923">
        <v>5644</v>
      </c>
      <c r="N923" t="s">
        <v>26</v>
      </c>
    </row>
    <row r="924" spans="1:14" x14ac:dyDescent="0.25">
      <c r="A924" t="s">
        <v>1251</v>
      </c>
      <c r="B924" s="5">
        <v>45147</v>
      </c>
      <c r="C924" t="s">
        <v>156</v>
      </c>
      <c r="D924">
        <v>32</v>
      </c>
      <c r="E924" t="s">
        <v>16</v>
      </c>
      <c r="F924" t="s">
        <v>30</v>
      </c>
      <c r="G924" t="s">
        <v>130</v>
      </c>
      <c r="H924">
        <v>5</v>
      </c>
      <c r="I924">
        <v>3369</v>
      </c>
      <c r="J924">
        <v>20</v>
      </c>
      <c r="K924" t="s">
        <v>19</v>
      </c>
      <c r="L924" t="s">
        <v>20</v>
      </c>
      <c r="M924">
        <v>13476</v>
      </c>
      <c r="N924" t="s">
        <v>375</v>
      </c>
    </row>
    <row r="925" spans="1:14" x14ac:dyDescent="0.25">
      <c r="A925" t="s">
        <v>1252</v>
      </c>
      <c r="B925" s="5">
        <v>44933</v>
      </c>
      <c r="C925" t="s">
        <v>128</v>
      </c>
      <c r="D925">
        <v>37</v>
      </c>
      <c r="E925" t="s">
        <v>23</v>
      </c>
      <c r="F925" t="s">
        <v>54</v>
      </c>
      <c r="G925" t="s">
        <v>348</v>
      </c>
      <c r="H925">
        <v>2</v>
      </c>
      <c r="I925">
        <v>1600</v>
      </c>
      <c r="J925">
        <v>-5</v>
      </c>
      <c r="K925" t="s">
        <v>41</v>
      </c>
      <c r="L925" t="s">
        <v>20</v>
      </c>
      <c r="M925">
        <v>3360</v>
      </c>
      <c r="N925" t="s">
        <v>38</v>
      </c>
    </row>
    <row r="926" spans="1:14" x14ac:dyDescent="0.25">
      <c r="A926" t="s">
        <v>1253</v>
      </c>
      <c r="B926" s="5" t="s">
        <v>1367</v>
      </c>
      <c r="C926" t="s">
        <v>587</v>
      </c>
      <c r="D926">
        <v>30</v>
      </c>
      <c r="E926" t="s">
        <v>16</v>
      </c>
      <c r="F926" t="s">
        <v>17</v>
      </c>
      <c r="G926" t="s">
        <v>49</v>
      </c>
      <c r="H926">
        <v>1</v>
      </c>
      <c r="I926">
        <v>1550</v>
      </c>
      <c r="J926">
        <v>10</v>
      </c>
      <c r="K926" t="s">
        <v>50</v>
      </c>
      <c r="L926" t="s">
        <v>915</v>
      </c>
      <c r="M926">
        <v>1395</v>
      </c>
      <c r="N926" t="s">
        <v>38</v>
      </c>
    </row>
    <row r="927" spans="1:14" x14ac:dyDescent="0.25">
      <c r="A927" t="s">
        <v>1254</v>
      </c>
      <c r="B927" s="5">
        <v>45291</v>
      </c>
      <c r="C927" t="s">
        <v>188</v>
      </c>
      <c r="D927">
        <v>19</v>
      </c>
      <c r="E927" t="s">
        <v>16</v>
      </c>
      <c r="F927" t="s">
        <v>54</v>
      </c>
      <c r="G927" t="s">
        <v>237</v>
      </c>
      <c r="H927">
        <v>2</v>
      </c>
      <c r="I927">
        <v>38600</v>
      </c>
      <c r="J927">
        <v>0</v>
      </c>
      <c r="K927" t="s">
        <v>50</v>
      </c>
      <c r="L927" t="s">
        <v>20</v>
      </c>
      <c r="M927">
        <v>77200</v>
      </c>
      <c r="N927" t="s">
        <v>26</v>
      </c>
    </row>
    <row r="928" spans="1:14" x14ac:dyDescent="0.25">
      <c r="A928" t="s">
        <v>1255</v>
      </c>
      <c r="B928" s="5">
        <v>45034</v>
      </c>
      <c r="C928" t="s">
        <v>43</v>
      </c>
      <c r="D928">
        <v>21</v>
      </c>
      <c r="E928" t="s">
        <v>16</v>
      </c>
      <c r="F928" t="s">
        <v>17</v>
      </c>
      <c r="G928" t="s">
        <v>117</v>
      </c>
      <c r="H928">
        <v>3</v>
      </c>
      <c r="I928">
        <v>7250</v>
      </c>
      <c r="J928">
        <v>5</v>
      </c>
      <c r="K928" t="s">
        <v>50</v>
      </c>
      <c r="L928" t="s">
        <v>20</v>
      </c>
      <c r="M928">
        <v>21750</v>
      </c>
      <c r="N928" t="s">
        <v>33</v>
      </c>
    </row>
    <row r="929" spans="1:14" x14ac:dyDescent="0.25">
      <c r="A929" t="s">
        <v>1256</v>
      </c>
      <c r="B929" s="5" t="s">
        <v>1367</v>
      </c>
      <c r="C929" t="s">
        <v>102</v>
      </c>
      <c r="D929">
        <v>24</v>
      </c>
      <c r="E929" t="s">
        <v>23</v>
      </c>
      <c r="F929" t="s">
        <v>35</v>
      </c>
      <c r="G929" t="s">
        <v>63</v>
      </c>
      <c r="H929">
        <v>10</v>
      </c>
      <c r="I929">
        <v>4604</v>
      </c>
      <c r="J929">
        <v>0</v>
      </c>
      <c r="K929" t="s">
        <v>41</v>
      </c>
      <c r="L929" t="s">
        <v>20</v>
      </c>
      <c r="M929">
        <v>46040</v>
      </c>
      <c r="N929" t="s">
        <v>38</v>
      </c>
    </row>
    <row r="930" spans="1:14" x14ac:dyDescent="0.25">
      <c r="A930" t="s">
        <v>1257</v>
      </c>
      <c r="B930" s="5" t="s">
        <v>1258</v>
      </c>
      <c r="C930" t="s">
        <v>28</v>
      </c>
      <c r="D930">
        <v>22</v>
      </c>
      <c r="E930" t="s">
        <v>23</v>
      </c>
      <c r="F930" t="s">
        <v>220</v>
      </c>
      <c r="G930" t="s">
        <v>218</v>
      </c>
      <c r="H930">
        <v>6</v>
      </c>
      <c r="I930">
        <v>2694</v>
      </c>
      <c r="K930" t="s">
        <v>50</v>
      </c>
      <c r="L930" t="s">
        <v>20</v>
      </c>
      <c r="M930">
        <v>2694</v>
      </c>
      <c r="N930" t="s">
        <v>26</v>
      </c>
    </row>
    <row r="931" spans="1:14" x14ac:dyDescent="0.25">
      <c r="A931" t="s">
        <v>1259</v>
      </c>
      <c r="B931" s="5">
        <v>45247</v>
      </c>
      <c r="C931" t="s">
        <v>170</v>
      </c>
      <c r="D931">
        <v>60</v>
      </c>
      <c r="E931" t="s">
        <v>16</v>
      </c>
      <c r="F931" t="s">
        <v>291</v>
      </c>
      <c r="G931" t="s">
        <v>124</v>
      </c>
      <c r="H931">
        <v>1</v>
      </c>
      <c r="I931">
        <v>5250</v>
      </c>
      <c r="J931">
        <v>5</v>
      </c>
      <c r="K931" t="s">
        <v>64</v>
      </c>
      <c r="L931" t="s">
        <v>56</v>
      </c>
      <c r="M931">
        <v>19950</v>
      </c>
      <c r="N931" t="s">
        <v>276</v>
      </c>
    </row>
    <row r="932" spans="1:14" x14ac:dyDescent="0.25">
      <c r="A932" t="s">
        <v>1260</v>
      </c>
      <c r="B932" s="5">
        <v>45237</v>
      </c>
      <c r="C932" t="s">
        <v>142</v>
      </c>
      <c r="D932">
        <v>36</v>
      </c>
      <c r="E932" t="s">
        <v>16</v>
      </c>
      <c r="F932" t="s">
        <v>54</v>
      </c>
      <c r="G932" t="s">
        <v>114</v>
      </c>
      <c r="H932">
        <v>1</v>
      </c>
      <c r="I932">
        <v>85400</v>
      </c>
      <c r="J932">
        <v>30</v>
      </c>
      <c r="K932" t="s">
        <v>19</v>
      </c>
      <c r="L932" t="s">
        <v>20</v>
      </c>
      <c r="M932">
        <v>59780</v>
      </c>
      <c r="N932" t="s">
        <v>21</v>
      </c>
    </row>
    <row r="933" spans="1:14" x14ac:dyDescent="0.25">
      <c r="A933" t="s">
        <v>269</v>
      </c>
      <c r="B933" s="5" t="s">
        <v>134</v>
      </c>
      <c r="C933" t="s">
        <v>192</v>
      </c>
      <c r="D933">
        <v>58</v>
      </c>
      <c r="E933" t="s">
        <v>16</v>
      </c>
      <c r="F933" t="s">
        <v>35</v>
      </c>
      <c r="G933" t="s">
        <v>166</v>
      </c>
      <c r="H933">
        <v>8</v>
      </c>
      <c r="I933">
        <v>599</v>
      </c>
      <c r="J933">
        <v>5</v>
      </c>
      <c r="K933" t="s">
        <v>41</v>
      </c>
      <c r="L933" t="s">
        <v>51</v>
      </c>
      <c r="M933">
        <v>4552.3999999999996</v>
      </c>
      <c r="N933" t="s">
        <v>38</v>
      </c>
    </row>
    <row r="934" spans="1:14" x14ac:dyDescent="0.25">
      <c r="A934" t="s">
        <v>1261</v>
      </c>
      <c r="B934" s="5">
        <v>45245</v>
      </c>
      <c r="C934" t="s">
        <v>152</v>
      </c>
      <c r="D934">
        <v>39</v>
      </c>
      <c r="E934" t="s">
        <v>146</v>
      </c>
      <c r="F934" t="s">
        <v>17</v>
      </c>
      <c r="G934" t="s">
        <v>18</v>
      </c>
      <c r="H934">
        <v>2</v>
      </c>
      <c r="I934">
        <v>3750</v>
      </c>
      <c r="K934" t="s">
        <v>19</v>
      </c>
      <c r="L934" t="s">
        <v>56</v>
      </c>
      <c r="M934">
        <v>7500</v>
      </c>
      <c r="N934" t="s">
        <v>295</v>
      </c>
    </row>
    <row r="935" spans="1:14" x14ac:dyDescent="0.25">
      <c r="A935" t="s">
        <v>1262</v>
      </c>
      <c r="B935" s="5" t="s">
        <v>535</v>
      </c>
      <c r="C935" t="s">
        <v>79</v>
      </c>
      <c r="D935">
        <v>62</v>
      </c>
      <c r="E935" t="s">
        <v>16</v>
      </c>
      <c r="F935" t="s">
        <v>30</v>
      </c>
      <c r="G935" t="s">
        <v>31</v>
      </c>
      <c r="H935">
        <v>6</v>
      </c>
      <c r="I935">
        <v>2823</v>
      </c>
      <c r="J935">
        <v>10</v>
      </c>
      <c r="K935" t="s">
        <v>50</v>
      </c>
      <c r="L935" t="s">
        <v>20</v>
      </c>
      <c r="M935">
        <v>15244.2</v>
      </c>
      <c r="N935" t="s">
        <v>57</v>
      </c>
    </row>
    <row r="936" spans="1:14" x14ac:dyDescent="0.25">
      <c r="A936" t="s">
        <v>329</v>
      </c>
      <c r="B936" s="5" t="s">
        <v>330</v>
      </c>
      <c r="C936" t="s">
        <v>156</v>
      </c>
      <c r="D936">
        <v>48</v>
      </c>
      <c r="E936" t="s">
        <v>23</v>
      </c>
      <c r="F936" t="s">
        <v>35</v>
      </c>
      <c r="G936" t="s">
        <v>331</v>
      </c>
      <c r="H936">
        <v>10</v>
      </c>
      <c r="I936">
        <v>781586</v>
      </c>
      <c r="J936">
        <v>10</v>
      </c>
      <c r="K936" t="s">
        <v>50</v>
      </c>
      <c r="L936" t="s">
        <v>51</v>
      </c>
      <c r="M936">
        <v>7034274</v>
      </c>
      <c r="N936" t="s">
        <v>332</v>
      </c>
    </row>
    <row r="937" spans="1:14" x14ac:dyDescent="0.25">
      <c r="A937" t="s">
        <v>1263</v>
      </c>
      <c r="B937" s="5">
        <v>45052</v>
      </c>
      <c r="C937" t="s">
        <v>192</v>
      </c>
      <c r="D937">
        <v>41</v>
      </c>
      <c r="E937" t="s">
        <v>23</v>
      </c>
      <c r="F937" t="s">
        <v>30</v>
      </c>
      <c r="G937" t="s">
        <v>294</v>
      </c>
      <c r="H937">
        <v>5</v>
      </c>
      <c r="K937" t="s">
        <v>64</v>
      </c>
      <c r="L937" t="s">
        <v>20</v>
      </c>
      <c r="N937" t="s">
        <v>108</v>
      </c>
    </row>
    <row r="938" spans="1:14" x14ac:dyDescent="0.25">
      <c r="A938" t="s">
        <v>1264</v>
      </c>
      <c r="B938" s="5" t="s">
        <v>1265</v>
      </c>
      <c r="C938" t="s">
        <v>170</v>
      </c>
      <c r="D938">
        <v>19</v>
      </c>
      <c r="E938" t="s">
        <v>138</v>
      </c>
      <c r="F938" t="s">
        <v>35</v>
      </c>
      <c r="G938" t="s">
        <v>111</v>
      </c>
      <c r="H938">
        <v>3</v>
      </c>
      <c r="I938">
        <v>493</v>
      </c>
      <c r="J938">
        <v>50</v>
      </c>
      <c r="K938" t="s">
        <v>25</v>
      </c>
      <c r="L938" t="s">
        <v>56</v>
      </c>
      <c r="M938">
        <v>-739.5</v>
      </c>
      <c r="N938" t="s">
        <v>26</v>
      </c>
    </row>
    <row r="939" spans="1:14" x14ac:dyDescent="0.25">
      <c r="A939" t="s">
        <v>1266</v>
      </c>
      <c r="B939" s="5">
        <v>45084</v>
      </c>
      <c r="C939" t="s">
        <v>156</v>
      </c>
      <c r="D939">
        <v>65</v>
      </c>
      <c r="E939" t="s">
        <v>73</v>
      </c>
      <c r="F939" t="s">
        <v>30</v>
      </c>
      <c r="G939" t="s">
        <v>540</v>
      </c>
      <c r="H939">
        <v>5</v>
      </c>
      <c r="I939">
        <v>4487</v>
      </c>
      <c r="J939">
        <v>0</v>
      </c>
      <c r="K939" t="s">
        <v>25</v>
      </c>
      <c r="L939" t="s">
        <v>56</v>
      </c>
      <c r="M939">
        <v>22435</v>
      </c>
      <c r="N939" t="s">
        <v>45</v>
      </c>
    </row>
    <row r="940" spans="1:14" x14ac:dyDescent="0.25">
      <c r="A940" t="s">
        <v>1267</v>
      </c>
      <c r="B940" s="5">
        <v>45243</v>
      </c>
      <c r="C940" t="s">
        <v>1268</v>
      </c>
      <c r="D940">
        <v>29</v>
      </c>
      <c r="E940" t="s">
        <v>16</v>
      </c>
      <c r="F940" t="s">
        <v>35</v>
      </c>
      <c r="G940" t="s">
        <v>203</v>
      </c>
      <c r="H940">
        <v>1</v>
      </c>
      <c r="I940">
        <v>1144</v>
      </c>
      <c r="J940">
        <v>75</v>
      </c>
      <c r="K940" t="s">
        <v>50</v>
      </c>
      <c r="L940" t="s">
        <v>20</v>
      </c>
      <c r="M940">
        <v>286</v>
      </c>
      <c r="N940" t="s">
        <v>45</v>
      </c>
    </row>
    <row r="941" spans="1:14" x14ac:dyDescent="0.25">
      <c r="A941" t="s">
        <v>1269</v>
      </c>
      <c r="B941" s="5">
        <v>45202</v>
      </c>
      <c r="D941">
        <v>23</v>
      </c>
      <c r="E941" t="s">
        <v>16</v>
      </c>
      <c r="F941" t="s">
        <v>54</v>
      </c>
      <c r="G941" t="s">
        <v>144</v>
      </c>
      <c r="H941">
        <v>2</v>
      </c>
      <c r="I941">
        <v>62200</v>
      </c>
      <c r="J941">
        <v>50</v>
      </c>
      <c r="K941" t="s">
        <v>25</v>
      </c>
      <c r="L941" t="s">
        <v>51</v>
      </c>
      <c r="M941">
        <v>62200</v>
      </c>
      <c r="N941" t="s">
        <v>38</v>
      </c>
    </row>
    <row r="942" spans="1:14" x14ac:dyDescent="0.25">
      <c r="A942" t="s">
        <v>1270</v>
      </c>
      <c r="B942" s="5">
        <v>45257</v>
      </c>
      <c r="C942" t="s">
        <v>156</v>
      </c>
      <c r="D942">
        <v>32</v>
      </c>
      <c r="E942" t="s">
        <v>16</v>
      </c>
      <c r="F942" t="s">
        <v>35</v>
      </c>
      <c r="G942" t="s">
        <v>63</v>
      </c>
      <c r="H942">
        <v>4</v>
      </c>
      <c r="I942">
        <v>1881</v>
      </c>
      <c r="J942">
        <v>25</v>
      </c>
      <c r="K942" t="s">
        <v>41</v>
      </c>
      <c r="L942" t="s">
        <v>51</v>
      </c>
      <c r="M942">
        <v>5643</v>
      </c>
      <c r="N942" t="s">
        <v>33</v>
      </c>
    </row>
    <row r="943" spans="1:14" x14ac:dyDescent="0.25">
      <c r="A943" t="s">
        <v>1271</v>
      </c>
      <c r="B943" s="5">
        <v>44974</v>
      </c>
      <c r="C943" t="s">
        <v>43</v>
      </c>
      <c r="D943">
        <v>27</v>
      </c>
      <c r="E943" t="s">
        <v>23</v>
      </c>
      <c r="F943" t="s">
        <v>17</v>
      </c>
      <c r="G943" t="s">
        <v>492</v>
      </c>
      <c r="H943">
        <v>1</v>
      </c>
      <c r="I943">
        <v>3150</v>
      </c>
      <c r="K943" t="s">
        <v>50</v>
      </c>
      <c r="L943" t="s">
        <v>20</v>
      </c>
      <c r="M943">
        <v>3150</v>
      </c>
      <c r="N943" t="s">
        <v>356</v>
      </c>
    </row>
    <row r="944" spans="1:14" x14ac:dyDescent="0.25">
      <c r="A944" t="s">
        <v>1272</v>
      </c>
      <c r="B944" s="5" t="s">
        <v>1376</v>
      </c>
      <c r="C944" t="s">
        <v>102</v>
      </c>
      <c r="D944">
        <v>52</v>
      </c>
      <c r="E944" t="s">
        <v>23</v>
      </c>
      <c r="F944" t="s">
        <v>54</v>
      </c>
      <c r="G944" t="s">
        <v>55</v>
      </c>
      <c r="H944">
        <v>1</v>
      </c>
      <c r="I944">
        <v>29700</v>
      </c>
      <c r="J944">
        <v>40</v>
      </c>
      <c r="K944" t="s">
        <v>41</v>
      </c>
      <c r="L944" t="s">
        <v>20</v>
      </c>
      <c r="M944">
        <v>17820</v>
      </c>
      <c r="N944" t="s">
        <v>149</v>
      </c>
    </row>
    <row r="945" spans="1:14" x14ac:dyDescent="0.25">
      <c r="A945" t="s">
        <v>1273</v>
      </c>
      <c r="B945" s="5">
        <v>45003</v>
      </c>
      <c r="C945" t="s">
        <v>243</v>
      </c>
      <c r="D945">
        <v>52</v>
      </c>
      <c r="E945" t="s">
        <v>23</v>
      </c>
      <c r="F945" t="s">
        <v>384</v>
      </c>
      <c r="G945" t="s">
        <v>153</v>
      </c>
      <c r="H945">
        <v>3</v>
      </c>
      <c r="I945">
        <v>2412</v>
      </c>
      <c r="J945">
        <v>30</v>
      </c>
      <c r="K945" t="s">
        <v>25</v>
      </c>
      <c r="L945" t="s">
        <v>20</v>
      </c>
      <c r="M945">
        <v>5065.2</v>
      </c>
      <c r="N945" t="s">
        <v>21</v>
      </c>
    </row>
    <row r="946" spans="1:14" x14ac:dyDescent="0.25">
      <c r="A946" t="s">
        <v>1274</v>
      </c>
      <c r="B946" s="5">
        <v>45282</v>
      </c>
      <c r="C946" t="s">
        <v>170</v>
      </c>
      <c r="D946">
        <v>45</v>
      </c>
      <c r="E946" t="s">
        <v>16</v>
      </c>
      <c r="F946" t="s">
        <v>30</v>
      </c>
      <c r="G946" t="s">
        <v>31</v>
      </c>
      <c r="H946">
        <v>4</v>
      </c>
      <c r="I946">
        <v>2539</v>
      </c>
      <c r="J946">
        <v>25</v>
      </c>
      <c r="K946" t="s">
        <v>115</v>
      </c>
      <c r="L946" t="s">
        <v>20</v>
      </c>
      <c r="M946">
        <v>30468</v>
      </c>
      <c r="N946" t="s">
        <v>45</v>
      </c>
    </row>
    <row r="947" spans="1:14" x14ac:dyDescent="0.25">
      <c r="A947" t="s">
        <v>1275</v>
      </c>
      <c r="B947" s="5">
        <v>45178</v>
      </c>
      <c r="C947" t="s">
        <v>142</v>
      </c>
      <c r="D947">
        <v>51</v>
      </c>
      <c r="E947" t="s">
        <v>138</v>
      </c>
      <c r="F947" t="s">
        <v>759</v>
      </c>
      <c r="G947" t="s">
        <v>235</v>
      </c>
      <c r="H947">
        <v>2</v>
      </c>
      <c r="I947">
        <v>2482</v>
      </c>
      <c r="J947">
        <v>0</v>
      </c>
      <c r="K947" t="s">
        <v>41</v>
      </c>
      <c r="L947" t="s">
        <v>51</v>
      </c>
      <c r="M947">
        <v>4964</v>
      </c>
      <c r="N947" t="s">
        <v>21</v>
      </c>
    </row>
    <row r="948" spans="1:14" x14ac:dyDescent="0.25">
      <c r="A948" t="s">
        <v>1276</v>
      </c>
      <c r="B948" s="5" t="s">
        <v>1277</v>
      </c>
      <c r="C948" t="s">
        <v>43</v>
      </c>
      <c r="D948">
        <v>28</v>
      </c>
      <c r="E948" t="s">
        <v>16</v>
      </c>
      <c r="F948" t="s">
        <v>17</v>
      </c>
      <c r="G948" t="s">
        <v>186</v>
      </c>
      <c r="H948">
        <v>2</v>
      </c>
      <c r="I948">
        <v>1700</v>
      </c>
      <c r="J948">
        <v>30</v>
      </c>
      <c r="K948" t="s">
        <v>41</v>
      </c>
      <c r="L948" t="s">
        <v>56</v>
      </c>
      <c r="M948">
        <v>2380</v>
      </c>
      <c r="N948" t="s">
        <v>149</v>
      </c>
    </row>
    <row r="949" spans="1:14" x14ac:dyDescent="0.25">
      <c r="A949" t="s">
        <v>1278</v>
      </c>
      <c r="B949" s="5">
        <v>45053</v>
      </c>
      <c r="C949" t="s">
        <v>87</v>
      </c>
      <c r="D949">
        <v>18</v>
      </c>
      <c r="E949" t="s">
        <v>16</v>
      </c>
      <c r="F949" t="s">
        <v>384</v>
      </c>
      <c r="G949" t="s">
        <v>31</v>
      </c>
      <c r="H949">
        <v>9</v>
      </c>
      <c r="I949">
        <v>2477</v>
      </c>
      <c r="J949">
        <v>10</v>
      </c>
      <c r="K949" t="s">
        <v>41</v>
      </c>
      <c r="L949" t="s">
        <v>20</v>
      </c>
      <c r="M949">
        <v>20063.7</v>
      </c>
      <c r="N949" t="s">
        <v>33</v>
      </c>
    </row>
    <row r="950" spans="1:14" x14ac:dyDescent="0.25">
      <c r="A950" t="s">
        <v>1279</v>
      </c>
      <c r="B950" s="5">
        <v>45176</v>
      </c>
      <c r="C950" t="s">
        <v>48</v>
      </c>
      <c r="D950">
        <v>31</v>
      </c>
      <c r="E950" t="s">
        <v>16</v>
      </c>
      <c r="F950" t="s">
        <v>35</v>
      </c>
      <c r="G950" t="s">
        <v>111</v>
      </c>
      <c r="H950">
        <v>6</v>
      </c>
      <c r="I950">
        <v>318</v>
      </c>
      <c r="J950">
        <v>30</v>
      </c>
      <c r="K950" t="s">
        <v>83</v>
      </c>
      <c r="L950" t="s">
        <v>20</v>
      </c>
      <c r="M950">
        <v>1335.6</v>
      </c>
      <c r="N950" t="s">
        <v>45</v>
      </c>
    </row>
    <row r="951" spans="1:14" x14ac:dyDescent="0.25">
      <c r="A951" t="s">
        <v>1280</v>
      </c>
      <c r="B951" s="5">
        <v>45085</v>
      </c>
      <c r="C951" t="s">
        <v>28</v>
      </c>
      <c r="D951">
        <v>28</v>
      </c>
      <c r="E951" t="s">
        <v>16</v>
      </c>
      <c r="F951" t="s">
        <v>35</v>
      </c>
      <c r="G951" t="s">
        <v>213</v>
      </c>
      <c r="H951">
        <v>6</v>
      </c>
      <c r="I951">
        <v>519</v>
      </c>
      <c r="J951">
        <v>25</v>
      </c>
      <c r="K951" t="s">
        <v>19</v>
      </c>
      <c r="L951" t="s">
        <v>56</v>
      </c>
      <c r="M951">
        <v>2335.5</v>
      </c>
      <c r="N951" t="s">
        <v>349</v>
      </c>
    </row>
    <row r="952" spans="1:14" x14ac:dyDescent="0.25">
      <c r="A952" t="s">
        <v>1281</v>
      </c>
      <c r="B952" s="5">
        <v>45274</v>
      </c>
      <c r="C952" t="s">
        <v>160</v>
      </c>
      <c r="D952">
        <v>31</v>
      </c>
      <c r="E952" t="s">
        <v>23</v>
      </c>
      <c r="F952" t="s">
        <v>35</v>
      </c>
      <c r="G952" t="s">
        <v>203</v>
      </c>
      <c r="H952">
        <v>10</v>
      </c>
      <c r="I952">
        <v>1306</v>
      </c>
      <c r="J952">
        <v>25</v>
      </c>
      <c r="K952" t="s">
        <v>41</v>
      </c>
      <c r="L952" t="s">
        <v>100</v>
      </c>
      <c r="M952">
        <v>9795</v>
      </c>
      <c r="N952" t="s">
        <v>26</v>
      </c>
    </row>
    <row r="953" spans="1:14" x14ac:dyDescent="0.25">
      <c r="A953" t="s">
        <v>1282</v>
      </c>
      <c r="B953" s="5">
        <v>45260</v>
      </c>
      <c r="C953" t="s">
        <v>79</v>
      </c>
      <c r="D953">
        <v>56</v>
      </c>
      <c r="E953" t="s">
        <v>29</v>
      </c>
      <c r="F953" t="s">
        <v>30</v>
      </c>
      <c r="G953" t="s">
        <v>67</v>
      </c>
      <c r="H953">
        <v>7</v>
      </c>
      <c r="I953">
        <v>3708</v>
      </c>
      <c r="J953">
        <v>5</v>
      </c>
      <c r="K953" t="s">
        <v>41</v>
      </c>
      <c r="L953" t="s">
        <v>20</v>
      </c>
      <c r="M953">
        <v>24658.2</v>
      </c>
      <c r="N953" t="s">
        <v>45</v>
      </c>
    </row>
    <row r="954" spans="1:14" x14ac:dyDescent="0.25">
      <c r="A954" t="s">
        <v>1283</v>
      </c>
      <c r="B954" s="5">
        <v>44982</v>
      </c>
      <c r="C954" t="s">
        <v>128</v>
      </c>
      <c r="D954">
        <v>58</v>
      </c>
      <c r="E954" t="s">
        <v>23</v>
      </c>
      <c r="F954" t="s">
        <v>17</v>
      </c>
      <c r="G954" t="s">
        <v>124</v>
      </c>
      <c r="H954">
        <v>3</v>
      </c>
      <c r="I954">
        <v>8000</v>
      </c>
      <c r="J954">
        <v>0</v>
      </c>
      <c r="K954" t="s">
        <v>50</v>
      </c>
      <c r="L954" t="s">
        <v>20</v>
      </c>
      <c r="M954">
        <v>24000</v>
      </c>
      <c r="N954" t="s">
        <v>38</v>
      </c>
    </row>
    <row r="955" spans="1:14" x14ac:dyDescent="0.25">
      <c r="A955" t="s">
        <v>1284</v>
      </c>
      <c r="B955" s="5">
        <v>45260</v>
      </c>
      <c r="C955" t="s">
        <v>76</v>
      </c>
      <c r="D955">
        <v>53</v>
      </c>
      <c r="E955" t="s">
        <v>16</v>
      </c>
      <c r="F955" t="s">
        <v>30</v>
      </c>
      <c r="G955" t="s">
        <v>268</v>
      </c>
      <c r="H955">
        <v>8</v>
      </c>
      <c r="I955">
        <v>1081</v>
      </c>
      <c r="J955">
        <v>50</v>
      </c>
      <c r="K955" t="s">
        <v>50</v>
      </c>
      <c r="L955" t="s">
        <v>51</v>
      </c>
      <c r="M955">
        <v>17296</v>
      </c>
      <c r="N955" t="s">
        <v>38</v>
      </c>
    </row>
    <row r="956" spans="1:14" x14ac:dyDescent="0.25">
      <c r="A956" t="s">
        <v>1285</v>
      </c>
      <c r="B956" s="5">
        <v>45261</v>
      </c>
      <c r="C956" t="s">
        <v>243</v>
      </c>
      <c r="D956">
        <v>44</v>
      </c>
      <c r="E956" t="s">
        <v>23</v>
      </c>
      <c r="F956" t="s">
        <v>54</v>
      </c>
      <c r="G956" t="s">
        <v>104</v>
      </c>
      <c r="H956">
        <v>1</v>
      </c>
      <c r="I956">
        <v>11400</v>
      </c>
      <c r="J956">
        <v>15</v>
      </c>
      <c r="K956" t="s">
        <v>41</v>
      </c>
      <c r="L956" t="s">
        <v>20</v>
      </c>
      <c r="M956">
        <v>9690</v>
      </c>
      <c r="N956" t="s">
        <v>45</v>
      </c>
    </row>
    <row r="957" spans="1:14" x14ac:dyDescent="0.25">
      <c r="A957" t="s">
        <v>1286</v>
      </c>
      <c r="B957" s="5">
        <v>45268</v>
      </c>
      <c r="C957" t="s">
        <v>176</v>
      </c>
      <c r="D957">
        <v>42</v>
      </c>
      <c r="E957" t="s">
        <v>16</v>
      </c>
      <c r="F957" t="s">
        <v>54</v>
      </c>
      <c r="G957" t="s">
        <v>144</v>
      </c>
      <c r="H957">
        <v>1</v>
      </c>
      <c r="I957">
        <v>55400</v>
      </c>
      <c r="J957">
        <v>50</v>
      </c>
      <c r="K957" t="s">
        <v>19</v>
      </c>
      <c r="L957" t="s">
        <v>20</v>
      </c>
      <c r="M957">
        <v>83100</v>
      </c>
      <c r="N957" t="s">
        <v>21</v>
      </c>
    </row>
    <row r="958" spans="1:14" x14ac:dyDescent="0.25">
      <c r="A958" t="s">
        <v>1287</v>
      </c>
      <c r="B958" s="5" t="s">
        <v>1288</v>
      </c>
      <c r="D958">
        <v>39</v>
      </c>
      <c r="E958" t="s">
        <v>23</v>
      </c>
      <c r="F958" t="s">
        <v>54</v>
      </c>
      <c r="G958" t="s">
        <v>237</v>
      </c>
      <c r="H958">
        <v>1</v>
      </c>
      <c r="I958">
        <v>55000</v>
      </c>
      <c r="J958">
        <v>50</v>
      </c>
      <c r="K958" t="s">
        <v>64</v>
      </c>
      <c r="L958" t="s">
        <v>20</v>
      </c>
      <c r="M958">
        <v>27500</v>
      </c>
      <c r="N958" t="s">
        <v>45</v>
      </c>
    </row>
    <row r="959" spans="1:14" x14ac:dyDescent="0.25">
      <c r="A959" t="s">
        <v>1289</v>
      </c>
      <c r="B959" s="5" t="s">
        <v>881</v>
      </c>
      <c r="C959" t="s">
        <v>28</v>
      </c>
      <c r="D959">
        <v>20</v>
      </c>
      <c r="E959" t="s">
        <v>16</v>
      </c>
      <c r="F959" t="s">
        <v>35</v>
      </c>
      <c r="G959" t="s">
        <v>99</v>
      </c>
      <c r="H959">
        <v>10</v>
      </c>
      <c r="J959">
        <v>10</v>
      </c>
      <c r="K959" t="s">
        <v>19</v>
      </c>
      <c r="L959" t="s">
        <v>20</v>
      </c>
      <c r="N959" t="s">
        <v>38</v>
      </c>
    </row>
    <row r="960" spans="1:14" x14ac:dyDescent="0.25">
      <c r="A960" t="s">
        <v>1290</v>
      </c>
      <c r="B960" s="5" t="s">
        <v>830</v>
      </c>
      <c r="C960" t="s">
        <v>48</v>
      </c>
      <c r="D960">
        <v>63</v>
      </c>
      <c r="E960" t="s">
        <v>23</v>
      </c>
      <c r="F960" t="s">
        <v>54</v>
      </c>
      <c r="G960" t="s">
        <v>348</v>
      </c>
      <c r="H960">
        <v>2</v>
      </c>
      <c r="I960">
        <v>3600</v>
      </c>
      <c r="J960">
        <v>25</v>
      </c>
      <c r="K960" t="s">
        <v>41</v>
      </c>
      <c r="L960" t="s">
        <v>20</v>
      </c>
      <c r="M960">
        <v>5400</v>
      </c>
      <c r="N960" t="s">
        <v>38</v>
      </c>
    </row>
    <row r="961" spans="1:14" x14ac:dyDescent="0.25">
      <c r="A961" t="s">
        <v>1291</v>
      </c>
      <c r="B961" s="5">
        <v>45120</v>
      </c>
      <c r="D961">
        <v>63</v>
      </c>
      <c r="E961" t="s">
        <v>23</v>
      </c>
      <c r="F961" t="s">
        <v>54</v>
      </c>
      <c r="G961" t="s">
        <v>88</v>
      </c>
      <c r="H961">
        <v>1</v>
      </c>
      <c r="I961">
        <v>48100</v>
      </c>
      <c r="J961">
        <v>5</v>
      </c>
      <c r="K961" t="s">
        <v>19</v>
      </c>
      <c r="L961" t="s">
        <v>20</v>
      </c>
      <c r="M961">
        <v>45695</v>
      </c>
      <c r="N961" t="s">
        <v>26</v>
      </c>
    </row>
    <row r="962" spans="1:14" x14ac:dyDescent="0.25">
      <c r="A962" t="s">
        <v>1292</v>
      </c>
      <c r="B962" s="5">
        <v>45201</v>
      </c>
      <c r="C962" t="s">
        <v>160</v>
      </c>
      <c r="D962">
        <v>43</v>
      </c>
      <c r="E962" t="s">
        <v>16</v>
      </c>
      <c r="F962" t="s">
        <v>35</v>
      </c>
      <c r="G962" t="s">
        <v>111</v>
      </c>
      <c r="H962">
        <v>1</v>
      </c>
      <c r="I962">
        <v>351</v>
      </c>
      <c r="J962">
        <v>0</v>
      </c>
      <c r="K962" t="s">
        <v>41</v>
      </c>
      <c r="L962" t="s">
        <v>51</v>
      </c>
      <c r="M962">
        <v>351</v>
      </c>
      <c r="N962" t="s">
        <v>45</v>
      </c>
    </row>
    <row r="963" spans="1:14" x14ac:dyDescent="0.25">
      <c r="A963" t="s">
        <v>1293</v>
      </c>
      <c r="B963" s="5">
        <v>45178</v>
      </c>
      <c r="C963" t="s">
        <v>628</v>
      </c>
      <c r="D963">
        <v>38</v>
      </c>
      <c r="E963" t="s">
        <v>23</v>
      </c>
      <c r="F963" t="s">
        <v>17</v>
      </c>
      <c r="G963" t="s">
        <v>189</v>
      </c>
      <c r="H963">
        <v>1</v>
      </c>
      <c r="J963">
        <v>0</v>
      </c>
      <c r="K963" t="s">
        <v>19</v>
      </c>
      <c r="L963" t="s">
        <v>20</v>
      </c>
      <c r="N963" t="s">
        <v>45</v>
      </c>
    </row>
    <row r="964" spans="1:14" x14ac:dyDescent="0.25">
      <c r="A964" t="s">
        <v>1294</v>
      </c>
      <c r="B964" s="5">
        <v>45234</v>
      </c>
      <c r="C964" t="s">
        <v>66</v>
      </c>
      <c r="D964">
        <v>20</v>
      </c>
      <c r="E964" t="s">
        <v>23</v>
      </c>
      <c r="F964" t="s">
        <v>17</v>
      </c>
      <c r="G964" t="s">
        <v>80</v>
      </c>
      <c r="H964">
        <v>1</v>
      </c>
      <c r="I964">
        <v>4800</v>
      </c>
      <c r="K964" t="s">
        <v>83</v>
      </c>
      <c r="L964" t="s">
        <v>56</v>
      </c>
      <c r="M964">
        <v>4800</v>
      </c>
      <c r="N964" t="s">
        <v>21</v>
      </c>
    </row>
    <row r="965" spans="1:14" x14ac:dyDescent="0.25">
      <c r="A965" t="s">
        <v>1295</v>
      </c>
      <c r="B965" s="5" t="s">
        <v>229</v>
      </c>
      <c r="C965" t="s">
        <v>48</v>
      </c>
      <c r="D965">
        <v>61</v>
      </c>
      <c r="E965" t="s">
        <v>23</v>
      </c>
      <c r="F965" t="s">
        <v>35</v>
      </c>
      <c r="G965" t="s">
        <v>158</v>
      </c>
      <c r="H965">
        <v>5</v>
      </c>
      <c r="I965">
        <v>885</v>
      </c>
      <c r="J965">
        <v>0</v>
      </c>
      <c r="K965" t="s">
        <v>25</v>
      </c>
      <c r="L965" t="s">
        <v>20</v>
      </c>
      <c r="M965">
        <v>4425</v>
      </c>
      <c r="N965" t="s">
        <v>21</v>
      </c>
    </row>
    <row r="966" spans="1:14" x14ac:dyDescent="0.25">
      <c r="A966" t="s">
        <v>1296</v>
      </c>
      <c r="B966" s="5">
        <v>45003</v>
      </c>
      <c r="C966" t="s">
        <v>179</v>
      </c>
      <c r="D966">
        <v>21</v>
      </c>
      <c r="E966" t="s">
        <v>16</v>
      </c>
      <c r="F966" t="s">
        <v>17</v>
      </c>
      <c r="G966" t="s">
        <v>297</v>
      </c>
      <c r="H966">
        <v>2</v>
      </c>
      <c r="I966">
        <v>6700</v>
      </c>
      <c r="J966">
        <v>5</v>
      </c>
      <c r="K966" t="s">
        <v>50</v>
      </c>
      <c r="L966" t="s">
        <v>51</v>
      </c>
      <c r="M966">
        <v>12730</v>
      </c>
      <c r="N966" t="s">
        <v>38</v>
      </c>
    </row>
    <row r="967" spans="1:14" x14ac:dyDescent="0.25">
      <c r="A967" t="s">
        <v>1297</v>
      </c>
      <c r="B967" s="5" t="s">
        <v>1367</v>
      </c>
      <c r="C967" t="s">
        <v>176</v>
      </c>
      <c r="D967">
        <v>58</v>
      </c>
      <c r="E967" t="s">
        <v>23</v>
      </c>
      <c r="F967" t="s">
        <v>17</v>
      </c>
      <c r="G967" t="s">
        <v>117</v>
      </c>
      <c r="H967">
        <v>2</v>
      </c>
      <c r="I967">
        <v>7000</v>
      </c>
      <c r="J967">
        <v>40</v>
      </c>
      <c r="K967" t="s">
        <v>261</v>
      </c>
      <c r="L967" t="s">
        <v>20</v>
      </c>
      <c r="M967">
        <v>8400</v>
      </c>
      <c r="N967" t="s">
        <v>38</v>
      </c>
    </row>
    <row r="968" spans="1:14" x14ac:dyDescent="0.25">
      <c r="A968" t="s">
        <v>1298</v>
      </c>
      <c r="B968" s="5">
        <v>44969</v>
      </c>
      <c r="C968" t="s">
        <v>142</v>
      </c>
      <c r="D968">
        <v>20</v>
      </c>
      <c r="E968" t="s">
        <v>23</v>
      </c>
      <c r="F968" t="s">
        <v>30</v>
      </c>
      <c r="G968" t="s">
        <v>67</v>
      </c>
      <c r="H968">
        <v>5</v>
      </c>
      <c r="I968">
        <v>2318</v>
      </c>
      <c r="J968">
        <v>5</v>
      </c>
      <c r="K968" t="s">
        <v>41</v>
      </c>
      <c r="L968" t="s">
        <v>56</v>
      </c>
      <c r="M968">
        <v>11010.5</v>
      </c>
      <c r="N968" t="s">
        <v>33</v>
      </c>
    </row>
    <row r="969" spans="1:14" x14ac:dyDescent="0.25">
      <c r="A969" t="s">
        <v>1299</v>
      </c>
      <c r="B969" s="5">
        <v>45167</v>
      </c>
      <c r="C969" t="s">
        <v>102</v>
      </c>
      <c r="D969">
        <v>51</v>
      </c>
      <c r="E969" t="s">
        <v>143</v>
      </c>
      <c r="F969" t="s">
        <v>54</v>
      </c>
      <c r="G969" t="s">
        <v>77</v>
      </c>
      <c r="H969">
        <v>2</v>
      </c>
      <c r="I969">
        <v>15600</v>
      </c>
      <c r="J969">
        <v>15</v>
      </c>
      <c r="K969" t="s">
        <v>50</v>
      </c>
      <c r="L969" t="s">
        <v>20</v>
      </c>
      <c r="M969">
        <v>26520</v>
      </c>
      <c r="N969" t="s">
        <v>21</v>
      </c>
    </row>
    <row r="970" spans="1:14" x14ac:dyDescent="0.25">
      <c r="A970" t="s">
        <v>1300</v>
      </c>
      <c r="B970" s="5">
        <v>44936</v>
      </c>
      <c r="C970" t="s">
        <v>165</v>
      </c>
      <c r="D970">
        <v>54</v>
      </c>
      <c r="E970" t="s">
        <v>475</v>
      </c>
      <c r="F970" t="s">
        <v>177</v>
      </c>
      <c r="G970" t="s">
        <v>147</v>
      </c>
      <c r="H970">
        <v>8</v>
      </c>
      <c r="I970">
        <v>560</v>
      </c>
      <c r="J970">
        <v>25</v>
      </c>
      <c r="K970" t="s">
        <v>41</v>
      </c>
      <c r="L970" t="s">
        <v>363</v>
      </c>
      <c r="M970">
        <v>560</v>
      </c>
      <c r="N970" t="s">
        <v>26</v>
      </c>
    </row>
    <row r="971" spans="1:14" x14ac:dyDescent="0.25">
      <c r="A971" t="s">
        <v>1301</v>
      </c>
      <c r="B971" s="5">
        <v>45197</v>
      </c>
      <c r="C971" t="s">
        <v>102</v>
      </c>
      <c r="D971">
        <v>29</v>
      </c>
      <c r="E971" t="s">
        <v>23</v>
      </c>
      <c r="F971" t="s">
        <v>30</v>
      </c>
      <c r="G971" t="s">
        <v>121</v>
      </c>
      <c r="H971">
        <v>4</v>
      </c>
      <c r="I971">
        <v>6663</v>
      </c>
      <c r="J971">
        <v>25</v>
      </c>
      <c r="K971" t="s">
        <v>50</v>
      </c>
      <c r="L971" t="s">
        <v>56</v>
      </c>
      <c r="M971">
        <v>19989</v>
      </c>
      <c r="N971" t="s">
        <v>21</v>
      </c>
    </row>
    <row r="972" spans="1:14" x14ac:dyDescent="0.25">
      <c r="A972" t="s">
        <v>1302</v>
      </c>
      <c r="B972" s="5">
        <v>45072</v>
      </c>
      <c r="C972" t="s">
        <v>170</v>
      </c>
      <c r="D972">
        <v>45</v>
      </c>
      <c r="E972" t="s">
        <v>16</v>
      </c>
      <c r="F972" t="s">
        <v>17</v>
      </c>
      <c r="G972" t="s">
        <v>80</v>
      </c>
      <c r="H972">
        <v>1</v>
      </c>
      <c r="I972">
        <v>7000</v>
      </c>
      <c r="J972">
        <v>20</v>
      </c>
      <c r="K972" t="s">
        <v>41</v>
      </c>
      <c r="L972" t="s">
        <v>20</v>
      </c>
      <c r="M972">
        <v>5600</v>
      </c>
      <c r="N972" t="s">
        <v>26</v>
      </c>
    </row>
    <row r="973" spans="1:14" x14ac:dyDescent="0.25">
      <c r="A973" t="s">
        <v>1303</v>
      </c>
      <c r="B973" s="5" t="s">
        <v>632</v>
      </c>
      <c r="D973">
        <v>56</v>
      </c>
      <c r="E973" t="s">
        <v>23</v>
      </c>
      <c r="F973" t="s">
        <v>35</v>
      </c>
      <c r="G973" t="s">
        <v>36</v>
      </c>
      <c r="H973">
        <v>4</v>
      </c>
      <c r="I973">
        <v>733</v>
      </c>
      <c r="J973">
        <v>25</v>
      </c>
      <c r="K973" t="s">
        <v>50</v>
      </c>
      <c r="L973" t="s">
        <v>20</v>
      </c>
      <c r="M973">
        <v>2199</v>
      </c>
      <c r="N973" t="s">
        <v>167</v>
      </c>
    </row>
    <row r="974" spans="1:14" x14ac:dyDescent="0.25">
      <c r="A974" t="s">
        <v>1304</v>
      </c>
      <c r="B974" s="5">
        <v>45215</v>
      </c>
      <c r="C974" t="s">
        <v>110</v>
      </c>
      <c r="D974">
        <v>32</v>
      </c>
      <c r="E974" t="s">
        <v>44</v>
      </c>
      <c r="F974" t="s">
        <v>17</v>
      </c>
      <c r="G974" t="s">
        <v>40</v>
      </c>
      <c r="H974">
        <v>2</v>
      </c>
      <c r="J974">
        <v>40</v>
      </c>
      <c r="K974" t="s">
        <v>50</v>
      </c>
      <c r="L974" t="s">
        <v>20</v>
      </c>
      <c r="N974" t="s">
        <v>38</v>
      </c>
    </row>
    <row r="975" spans="1:14" x14ac:dyDescent="0.25">
      <c r="A975" t="s">
        <v>1305</v>
      </c>
      <c r="B975" s="5" t="s">
        <v>273</v>
      </c>
      <c r="D975">
        <v>65</v>
      </c>
      <c r="E975" t="s">
        <v>16</v>
      </c>
      <c r="F975" t="s">
        <v>384</v>
      </c>
      <c r="G975" t="s">
        <v>218</v>
      </c>
      <c r="H975">
        <v>6</v>
      </c>
      <c r="I975">
        <v>6</v>
      </c>
      <c r="J975">
        <v>10</v>
      </c>
      <c r="K975" t="s">
        <v>531</v>
      </c>
      <c r="L975" t="s">
        <v>449</v>
      </c>
      <c r="M975">
        <v>32.4</v>
      </c>
      <c r="N975" t="s">
        <v>45</v>
      </c>
    </row>
    <row r="976" spans="1:14" x14ac:dyDescent="0.25">
      <c r="A976" t="s">
        <v>1306</v>
      </c>
      <c r="B976" s="5">
        <v>45103</v>
      </c>
      <c r="D976">
        <v>39</v>
      </c>
      <c r="E976" t="s">
        <v>23</v>
      </c>
      <c r="F976" t="s">
        <v>17</v>
      </c>
      <c r="G976" t="s">
        <v>40</v>
      </c>
      <c r="H976">
        <v>1</v>
      </c>
      <c r="I976">
        <v>4350</v>
      </c>
      <c r="J976">
        <v>5</v>
      </c>
      <c r="K976" t="s">
        <v>41</v>
      </c>
      <c r="L976" t="s">
        <v>20</v>
      </c>
      <c r="M976">
        <v>4132.5</v>
      </c>
      <c r="N976" t="s">
        <v>38</v>
      </c>
    </row>
    <row r="977" spans="1:14" x14ac:dyDescent="0.25">
      <c r="A977" t="s">
        <v>1307</v>
      </c>
      <c r="B977" s="5" t="s">
        <v>155</v>
      </c>
      <c r="C977" t="s">
        <v>48</v>
      </c>
      <c r="D977">
        <v>47</v>
      </c>
      <c r="E977" t="s">
        <v>16</v>
      </c>
      <c r="F977" t="s">
        <v>35</v>
      </c>
      <c r="G977" t="s">
        <v>139</v>
      </c>
      <c r="H977">
        <v>20</v>
      </c>
      <c r="I977">
        <v>569</v>
      </c>
      <c r="J977">
        <v>-5</v>
      </c>
      <c r="K977" t="s">
        <v>261</v>
      </c>
      <c r="L977" t="s">
        <v>56</v>
      </c>
      <c r="M977">
        <v>11949</v>
      </c>
      <c r="N977" t="s">
        <v>21</v>
      </c>
    </row>
    <row r="978" spans="1:14" x14ac:dyDescent="0.25">
      <c r="A978" t="s">
        <v>1308</v>
      </c>
      <c r="B978" s="5">
        <v>45262</v>
      </c>
      <c r="C978" t="s">
        <v>897</v>
      </c>
      <c r="D978">
        <v>50</v>
      </c>
      <c r="E978" t="s">
        <v>16</v>
      </c>
      <c r="F978" t="s">
        <v>17</v>
      </c>
      <c r="G978" t="s">
        <v>49</v>
      </c>
      <c r="H978">
        <v>1</v>
      </c>
      <c r="I978">
        <v>1300</v>
      </c>
      <c r="J978">
        <v>25</v>
      </c>
      <c r="K978" t="s">
        <v>19</v>
      </c>
      <c r="L978" t="s">
        <v>56</v>
      </c>
      <c r="M978">
        <v>975</v>
      </c>
      <c r="N978" t="s">
        <v>45</v>
      </c>
    </row>
    <row r="979" spans="1:14" x14ac:dyDescent="0.25">
      <c r="A979" t="s">
        <v>1309</v>
      </c>
      <c r="B979" s="5">
        <v>45278</v>
      </c>
      <c r="C979" t="s">
        <v>66</v>
      </c>
      <c r="D979">
        <v>44</v>
      </c>
      <c r="E979" t="s">
        <v>16</v>
      </c>
      <c r="F979" t="s">
        <v>17</v>
      </c>
      <c r="G979" t="s">
        <v>259</v>
      </c>
      <c r="H979">
        <v>1</v>
      </c>
      <c r="I979">
        <v>3500</v>
      </c>
      <c r="J979">
        <v>25</v>
      </c>
      <c r="K979" t="s">
        <v>41</v>
      </c>
      <c r="L979" t="s">
        <v>56</v>
      </c>
      <c r="M979">
        <v>2625</v>
      </c>
      <c r="N979" t="s">
        <v>45</v>
      </c>
    </row>
    <row r="980" spans="1:14" x14ac:dyDescent="0.25">
      <c r="A980" t="s">
        <v>1310</v>
      </c>
      <c r="B980" s="5" t="s">
        <v>1146</v>
      </c>
      <c r="C980" t="s">
        <v>188</v>
      </c>
      <c r="D980">
        <v>35</v>
      </c>
      <c r="E980" t="s">
        <v>23</v>
      </c>
      <c r="F980" t="s">
        <v>35</v>
      </c>
      <c r="G980" t="s">
        <v>147</v>
      </c>
      <c r="H980">
        <v>6</v>
      </c>
      <c r="I980">
        <v>310</v>
      </c>
      <c r="J980">
        <v>5</v>
      </c>
      <c r="K980" t="s">
        <v>381</v>
      </c>
      <c r="L980" t="s">
        <v>20</v>
      </c>
      <c r="M980">
        <v>1767</v>
      </c>
      <c r="N980" t="s">
        <v>38</v>
      </c>
    </row>
    <row r="981" spans="1:14" x14ac:dyDescent="0.25">
      <c r="A981" t="s">
        <v>1311</v>
      </c>
      <c r="B981" s="5">
        <v>45024</v>
      </c>
      <c r="C981" t="s">
        <v>192</v>
      </c>
      <c r="D981">
        <v>23</v>
      </c>
      <c r="E981" t="s">
        <v>23</v>
      </c>
      <c r="F981" t="s">
        <v>54</v>
      </c>
      <c r="G981" t="s">
        <v>348</v>
      </c>
      <c r="H981">
        <v>2</v>
      </c>
      <c r="I981">
        <v>2600</v>
      </c>
      <c r="J981">
        <v>50</v>
      </c>
      <c r="K981" t="s">
        <v>95</v>
      </c>
      <c r="L981" t="s">
        <v>20</v>
      </c>
      <c r="M981">
        <v>2600</v>
      </c>
      <c r="N981" t="s">
        <v>38</v>
      </c>
    </row>
    <row r="982" spans="1:14" x14ac:dyDescent="0.25">
      <c r="A982" t="s">
        <v>1312</v>
      </c>
      <c r="B982" s="5">
        <v>45083</v>
      </c>
      <c r="C982" t="s">
        <v>176</v>
      </c>
      <c r="D982">
        <v>23</v>
      </c>
      <c r="E982" t="s">
        <v>23</v>
      </c>
      <c r="F982" t="s">
        <v>35</v>
      </c>
      <c r="G982" t="s">
        <v>126</v>
      </c>
      <c r="H982">
        <v>1</v>
      </c>
      <c r="I982">
        <v>308</v>
      </c>
      <c r="J982">
        <v>20</v>
      </c>
      <c r="K982" t="s">
        <v>50</v>
      </c>
      <c r="L982" t="s">
        <v>20</v>
      </c>
      <c r="M982">
        <v>246.4</v>
      </c>
      <c r="N982" t="s">
        <v>21</v>
      </c>
    </row>
    <row r="983" spans="1:14" x14ac:dyDescent="0.25">
      <c r="A983" t="s">
        <v>1313</v>
      </c>
      <c r="B983" s="5">
        <v>44934</v>
      </c>
      <c r="D983">
        <v>47</v>
      </c>
      <c r="E983" t="s">
        <v>23</v>
      </c>
      <c r="F983" t="s">
        <v>17</v>
      </c>
      <c r="G983" t="s">
        <v>259</v>
      </c>
      <c r="H983">
        <v>3</v>
      </c>
      <c r="I983">
        <v>3050</v>
      </c>
      <c r="J983">
        <v>10</v>
      </c>
      <c r="K983" t="s">
        <v>25</v>
      </c>
      <c r="L983" t="s">
        <v>37</v>
      </c>
      <c r="M983">
        <v>8235</v>
      </c>
      <c r="N983" t="s">
        <v>26</v>
      </c>
    </row>
    <row r="984" spans="1:14" x14ac:dyDescent="0.25">
      <c r="A984" t="s">
        <v>1314</v>
      </c>
      <c r="B984" s="5">
        <v>45050</v>
      </c>
      <c r="D984">
        <v>48</v>
      </c>
      <c r="E984" t="s">
        <v>23</v>
      </c>
      <c r="F984" t="s">
        <v>54</v>
      </c>
      <c r="G984" t="s">
        <v>280</v>
      </c>
      <c r="H984">
        <v>1</v>
      </c>
      <c r="I984">
        <v>49900</v>
      </c>
      <c r="J984">
        <v>50</v>
      </c>
      <c r="K984" t="s">
        <v>19</v>
      </c>
      <c r="L984" t="s">
        <v>20</v>
      </c>
      <c r="M984">
        <v>24950</v>
      </c>
      <c r="N984" t="s">
        <v>38</v>
      </c>
    </row>
    <row r="985" spans="1:14" x14ac:dyDescent="0.25">
      <c r="A985" t="s">
        <v>1315</v>
      </c>
      <c r="B985" s="5">
        <v>45243</v>
      </c>
      <c r="C985" t="s">
        <v>152</v>
      </c>
      <c r="D985">
        <v>27</v>
      </c>
      <c r="E985" t="s">
        <v>23</v>
      </c>
      <c r="F985" t="s">
        <v>30</v>
      </c>
      <c r="G985" t="s">
        <v>294</v>
      </c>
      <c r="H985">
        <v>8</v>
      </c>
      <c r="I985">
        <v>720</v>
      </c>
      <c r="J985">
        <v>30</v>
      </c>
      <c r="K985" t="s">
        <v>25</v>
      </c>
      <c r="L985" t="s">
        <v>51</v>
      </c>
      <c r="M985">
        <v>4032</v>
      </c>
      <c r="N985" t="s">
        <v>45</v>
      </c>
    </row>
    <row r="986" spans="1:14" x14ac:dyDescent="0.25">
      <c r="A986" t="s">
        <v>1316</v>
      </c>
      <c r="B986" s="5" t="s">
        <v>440</v>
      </c>
      <c r="D986">
        <v>63</v>
      </c>
      <c r="E986" t="s">
        <v>16</v>
      </c>
      <c r="F986" t="s">
        <v>220</v>
      </c>
      <c r="G986" t="s">
        <v>195</v>
      </c>
      <c r="H986">
        <v>-1</v>
      </c>
      <c r="I986">
        <v>3572</v>
      </c>
      <c r="J986">
        <v>25</v>
      </c>
      <c r="K986" t="s">
        <v>50</v>
      </c>
      <c r="L986" t="s">
        <v>20</v>
      </c>
      <c r="M986">
        <v>-2679</v>
      </c>
      <c r="N986" t="s">
        <v>21</v>
      </c>
    </row>
    <row r="987" spans="1:14" x14ac:dyDescent="0.25">
      <c r="A987" t="s">
        <v>1317</v>
      </c>
      <c r="B987" s="5" t="s">
        <v>229</v>
      </c>
      <c r="C987" t="s">
        <v>217</v>
      </c>
      <c r="D987">
        <v>65</v>
      </c>
      <c r="E987" t="s">
        <v>16</v>
      </c>
      <c r="F987" t="s">
        <v>30</v>
      </c>
      <c r="G987" t="s">
        <v>60</v>
      </c>
      <c r="H987">
        <v>1</v>
      </c>
      <c r="I987">
        <v>8665</v>
      </c>
      <c r="J987">
        <v>0</v>
      </c>
      <c r="K987" t="s">
        <v>50</v>
      </c>
      <c r="L987" t="s">
        <v>51</v>
      </c>
      <c r="M987">
        <v>8665</v>
      </c>
      <c r="N987" t="s">
        <v>26</v>
      </c>
    </row>
    <row r="988" spans="1:14" x14ac:dyDescent="0.25">
      <c r="A988" t="s">
        <v>1318</v>
      </c>
      <c r="B988" s="5">
        <v>45128</v>
      </c>
      <c r="D988">
        <v>19</v>
      </c>
      <c r="E988" t="s">
        <v>23</v>
      </c>
      <c r="F988" t="s">
        <v>129</v>
      </c>
      <c r="G988" t="s">
        <v>135</v>
      </c>
      <c r="H988">
        <v>7</v>
      </c>
      <c r="I988">
        <v>685509</v>
      </c>
      <c r="J988">
        <v>5</v>
      </c>
      <c r="K988" t="s">
        <v>41</v>
      </c>
      <c r="L988" t="s">
        <v>20</v>
      </c>
      <c r="M988">
        <v>4558634.8499999996</v>
      </c>
      <c r="N988" t="s">
        <v>21</v>
      </c>
    </row>
    <row r="989" spans="1:14" x14ac:dyDescent="0.25">
      <c r="A989" t="s">
        <v>1319</v>
      </c>
      <c r="B989" s="5">
        <v>45097</v>
      </c>
      <c r="C989" t="s">
        <v>87</v>
      </c>
      <c r="D989">
        <v>56</v>
      </c>
      <c r="E989" t="s">
        <v>16</v>
      </c>
      <c r="F989" t="s">
        <v>17</v>
      </c>
      <c r="G989" t="s">
        <v>492</v>
      </c>
      <c r="H989">
        <v>3</v>
      </c>
      <c r="I989">
        <v>1950</v>
      </c>
      <c r="J989">
        <v>10</v>
      </c>
      <c r="K989" t="s">
        <v>19</v>
      </c>
      <c r="L989" t="s">
        <v>51</v>
      </c>
      <c r="M989">
        <v>5265</v>
      </c>
      <c r="N989" t="s">
        <v>21</v>
      </c>
    </row>
    <row r="990" spans="1:14" x14ac:dyDescent="0.25">
      <c r="A990" t="s">
        <v>1320</v>
      </c>
      <c r="B990" s="5" t="s">
        <v>1321</v>
      </c>
      <c r="C990" t="s">
        <v>358</v>
      </c>
      <c r="D990">
        <v>32</v>
      </c>
      <c r="E990" t="s">
        <v>16</v>
      </c>
      <c r="F990" t="s">
        <v>30</v>
      </c>
      <c r="G990" t="s">
        <v>121</v>
      </c>
      <c r="H990">
        <v>6</v>
      </c>
      <c r="I990">
        <v>7803</v>
      </c>
      <c r="J990">
        <v>5</v>
      </c>
      <c r="K990" t="s">
        <v>41</v>
      </c>
      <c r="L990" t="s">
        <v>20</v>
      </c>
      <c r="M990">
        <v>46818</v>
      </c>
      <c r="N990" t="s">
        <v>108</v>
      </c>
    </row>
    <row r="991" spans="1:14" x14ac:dyDescent="0.25">
      <c r="A991" t="s">
        <v>1322</v>
      </c>
      <c r="B991" s="5" t="s">
        <v>1323</v>
      </c>
      <c r="C991" t="s">
        <v>431</v>
      </c>
      <c r="D991">
        <v>40</v>
      </c>
      <c r="E991" t="s">
        <v>143</v>
      </c>
      <c r="F991" t="s">
        <v>30</v>
      </c>
      <c r="G991" t="s">
        <v>235</v>
      </c>
      <c r="H991">
        <v>6</v>
      </c>
      <c r="I991">
        <v>2523</v>
      </c>
      <c r="J991">
        <v>10</v>
      </c>
      <c r="K991" t="s">
        <v>25</v>
      </c>
      <c r="L991" t="s">
        <v>363</v>
      </c>
      <c r="M991">
        <v>13624.2</v>
      </c>
      <c r="N991" t="s">
        <v>45</v>
      </c>
    </row>
    <row r="992" spans="1:14" x14ac:dyDescent="0.25">
      <c r="A992" t="s">
        <v>1324</v>
      </c>
      <c r="B992" s="5" t="s">
        <v>1356</v>
      </c>
      <c r="C992" t="s">
        <v>165</v>
      </c>
      <c r="D992">
        <v>58</v>
      </c>
      <c r="E992" t="s">
        <v>23</v>
      </c>
      <c r="F992" t="s">
        <v>54</v>
      </c>
      <c r="G992" t="s">
        <v>144</v>
      </c>
      <c r="H992">
        <v>2</v>
      </c>
      <c r="I992">
        <v>73300</v>
      </c>
      <c r="J992">
        <v>5</v>
      </c>
      <c r="K992" t="s">
        <v>41</v>
      </c>
      <c r="L992" t="s">
        <v>20</v>
      </c>
      <c r="M992">
        <v>139270</v>
      </c>
      <c r="N992" t="s">
        <v>26</v>
      </c>
    </row>
    <row r="993" spans="1:14" x14ac:dyDescent="0.25">
      <c r="A993" t="s">
        <v>1325</v>
      </c>
      <c r="B993" s="5" t="s">
        <v>1321</v>
      </c>
      <c r="C993" t="s">
        <v>66</v>
      </c>
      <c r="D993">
        <v>40</v>
      </c>
      <c r="E993" t="s">
        <v>475</v>
      </c>
      <c r="F993" t="s">
        <v>97</v>
      </c>
      <c r="G993" t="s">
        <v>67</v>
      </c>
      <c r="H993">
        <v>8</v>
      </c>
      <c r="I993">
        <v>2472</v>
      </c>
      <c r="J993">
        <v>10</v>
      </c>
      <c r="K993" t="s">
        <v>41</v>
      </c>
      <c r="L993" t="s">
        <v>20</v>
      </c>
      <c r="M993">
        <v>17798.400000000001</v>
      </c>
      <c r="N993" t="s">
        <v>21</v>
      </c>
    </row>
    <row r="994" spans="1:14" x14ac:dyDescent="0.25">
      <c r="A994" t="s">
        <v>1326</v>
      </c>
      <c r="B994" s="5" t="s">
        <v>1389</v>
      </c>
      <c r="C994" t="s">
        <v>156</v>
      </c>
      <c r="D994">
        <v>37</v>
      </c>
      <c r="E994" t="s">
        <v>23</v>
      </c>
      <c r="F994" t="s">
        <v>30</v>
      </c>
      <c r="G994" t="s">
        <v>195</v>
      </c>
      <c r="H994">
        <v>6</v>
      </c>
      <c r="I994">
        <v>734488</v>
      </c>
      <c r="J994">
        <v>0</v>
      </c>
      <c r="K994" t="s">
        <v>50</v>
      </c>
      <c r="L994" t="s">
        <v>20</v>
      </c>
      <c r="M994">
        <v>4406928</v>
      </c>
      <c r="N994" t="s">
        <v>21</v>
      </c>
    </row>
    <row r="995" spans="1:14" x14ac:dyDescent="0.25">
      <c r="A995" t="s">
        <v>1327</v>
      </c>
      <c r="B995" s="5">
        <v>45206</v>
      </c>
      <c r="D995">
        <v>50</v>
      </c>
      <c r="E995" t="s">
        <v>23</v>
      </c>
      <c r="F995" t="s">
        <v>17</v>
      </c>
      <c r="G995" t="s">
        <v>94</v>
      </c>
      <c r="H995">
        <v>1</v>
      </c>
      <c r="I995">
        <v>3950</v>
      </c>
      <c r="J995">
        <v>5</v>
      </c>
      <c r="K995" t="s">
        <v>41</v>
      </c>
      <c r="L995" t="s">
        <v>20</v>
      </c>
      <c r="M995">
        <v>3752.5</v>
      </c>
      <c r="N995" t="s">
        <v>26</v>
      </c>
    </row>
    <row r="996" spans="1:14" x14ac:dyDescent="0.25">
      <c r="A996" t="s">
        <v>1328</v>
      </c>
      <c r="B996" s="5">
        <v>44944</v>
      </c>
      <c r="D996">
        <v>31</v>
      </c>
      <c r="E996" t="s">
        <v>23</v>
      </c>
      <c r="F996" t="s">
        <v>384</v>
      </c>
      <c r="G996" t="s">
        <v>235</v>
      </c>
      <c r="H996">
        <v>9</v>
      </c>
      <c r="I996">
        <v>2606</v>
      </c>
      <c r="J996">
        <v>0</v>
      </c>
      <c r="K996" t="s">
        <v>19</v>
      </c>
      <c r="L996" t="s">
        <v>51</v>
      </c>
      <c r="M996">
        <v>23454</v>
      </c>
      <c r="N996" t="s">
        <v>45</v>
      </c>
    </row>
    <row r="997" spans="1:14" x14ac:dyDescent="0.25">
      <c r="A997" t="s">
        <v>1329</v>
      </c>
      <c r="B997" s="5">
        <v>45172</v>
      </c>
      <c r="C997" t="s">
        <v>265</v>
      </c>
      <c r="D997">
        <v>39</v>
      </c>
      <c r="E997" t="s">
        <v>16</v>
      </c>
      <c r="F997" t="s">
        <v>35</v>
      </c>
      <c r="G997" t="s">
        <v>36</v>
      </c>
      <c r="H997">
        <v>1</v>
      </c>
      <c r="I997">
        <v>591</v>
      </c>
      <c r="J997">
        <v>5</v>
      </c>
      <c r="K997" t="s">
        <v>50</v>
      </c>
      <c r="L997" t="s">
        <v>20</v>
      </c>
      <c r="M997">
        <v>591</v>
      </c>
      <c r="N997" t="s">
        <v>45</v>
      </c>
    </row>
    <row r="998" spans="1:14" x14ac:dyDescent="0.25">
      <c r="A998" t="s">
        <v>1330</v>
      </c>
      <c r="B998" s="5">
        <v>45233</v>
      </c>
      <c r="C998" t="s">
        <v>217</v>
      </c>
      <c r="D998">
        <v>40</v>
      </c>
      <c r="E998" t="s">
        <v>16</v>
      </c>
      <c r="F998" t="s">
        <v>70</v>
      </c>
      <c r="G998" t="s">
        <v>274</v>
      </c>
      <c r="H998">
        <v>1</v>
      </c>
      <c r="I998">
        <v>2950</v>
      </c>
      <c r="J998">
        <v>5</v>
      </c>
      <c r="K998" t="s">
        <v>445</v>
      </c>
      <c r="L998" t="s">
        <v>37</v>
      </c>
      <c r="M998">
        <v>2802.5</v>
      </c>
      <c r="N998" t="s">
        <v>21</v>
      </c>
    </row>
    <row r="999" spans="1:14" x14ac:dyDescent="0.25">
      <c r="A999" t="s">
        <v>1331</v>
      </c>
      <c r="B999" s="5" t="s">
        <v>1332</v>
      </c>
      <c r="C999" t="s">
        <v>152</v>
      </c>
      <c r="D999">
        <v>44</v>
      </c>
      <c r="E999" t="s">
        <v>16</v>
      </c>
      <c r="F999" t="s">
        <v>54</v>
      </c>
      <c r="G999" t="s">
        <v>237</v>
      </c>
      <c r="H999">
        <v>1</v>
      </c>
      <c r="I999">
        <v>49100</v>
      </c>
      <c r="J999">
        <v>25</v>
      </c>
      <c r="K999" t="s">
        <v>19</v>
      </c>
      <c r="L999" t="s">
        <v>449</v>
      </c>
      <c r="M999">
        <v>36825</v>
      </c>
      <c r="N999" t="s">
        <v>26</v>
      </c>
    </row>
    <row r="1000" spans="1:14" x14ac:dyDescent="0.25">
      <c r="A1000" t="s">
        <v>1333</v>
      </c>
      <c r="B1000" s="5" t="s">
        <v>1334</v>
      </c>
      <c r="C1000" t="s">
        <v>431</v>
      </c>
      <c r="D1000">
        <v>27</v>
      </c>
      <c r="E1000" t="s">
        <v>23</v>
      </c>
      <c r="F1000" t="s">
        <v>30</v>
      </c>
      <c r="G1000" t="s">
        <v>224</v>
      </c>
      <c r="H1000">
        <v>1</v>
      </c>
      <c r="I1000">
        <v>1228</v>
      </c>
      <c r="J1000">
        <v>0</v>
      </c>
      <c r="K1000" t="s">
        <v>41</v>
      </c>
      <c r="L1000" t="s">
        <v>493</v>
      </c>
      <c r="M1000">
        <v>1228</v>
      </c>
      <c r="N1000" t="s">
        <v>21</v>
      </c>
    </row>
    <row r="1001" spans="1:14" x14ac:dyDescent="0.25">
      <c r="A1001" t="s">
        <v>1335</v>
      </c>
      <c r="B1001" s="5">
        <v>45012</v>
      </c>
      <c r="C1001" t="s">
        <v>87</v>
      </c>
      <c r="D1001">
        <v>20</v>
      </c>
      <c r="E1001" t="s">
        <v>23</v>
      </c>
      <c r="F1001" t="s">
        <v>35</v>
      </c>
      <c r="G1001" t="s">
        <v>271</v>
      </c>
      <c r="H1001">
        <v>6</v>
      </c>
      <c r="I1001">
        <v>319</v>
      </c>
      <c r="J1001">
        <v>40</v>
      </c>
      <c r="K1001" t="s">
        <v>19</v>
      </c>
      <c r="L1001" t="s">
        <v>20</v>
      </c>
      <c r="M1001">
        <v>-1148.4000000000001</v>
      </c>
      <c r="N1001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87E6E5-BD02-4BED-8B60-9A57573233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Insights</vt:lpstr>
      <vt:lpstr>Pivot_analysis</vt:lpstr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astle g</dc:creator>
  <cp:lastModifiedBy>astle g</cp:lastModifiedBy>
  <dcterms:created xsi:type="dcterms:W3CDTF">2026-03-23T07:20:53Z</dcterms:created>
  <dcterms:modified xsi:type="dcterms:W3CDTF">2026-04-24T13:41:06Z</dcterms:modified>
</cp:coreProperties>
</file>